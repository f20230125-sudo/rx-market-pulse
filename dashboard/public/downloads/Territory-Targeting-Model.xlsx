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D:\claude-workspace\rx-analytics\excel\"/>
    </mc:Choice>
  </mc:AlternateContent>
  <xr:revisionPtr revIDLastSave="0" documentId="13_ncr:1_{00CC7619-EB6A-43D8-9874-A28BA247EDC9}" xr6:coauthVersionLast="47" xr6:coauthVersionMax="47" xr10:uidLastSave="{00000000-0000-0000-0000-000000000000}"/>
  <bookViews>
    <workbookView xWindow="1116" yWindow="1116" windowWidth="17280" windowHeight="8880" activeTab="1" xr2:uid="{00000000-000D-0000-FFFF-FFFF00000000}"/>
  </bookViews>
  <sheets>
    <sheet name="Read me" sheetId="1" r:id="rId1"/>
    <sheet name="Inputs" sheetId="2" r:id="rId2"/>
    <sheet name="Scorecard" sheetId="3" r:id="rId3"/>
    <sheet name="Summary" sheetId="4" r:id="rId4"/>
    <sheet name="Checks" sheetId="5" r:id="rId5"/>
    <sheet name="Data" sheetId="6" r:id="rId6"/>
    <sheet name="Enrollment" sheetId="7" r:id="rId7"/>
    <sheet name="National" sheetId="8" r:id="rId8"/>
    <sheet name="Flags" sheetId="9" r:id="rId9"/>
    <sheet name="Lists" sheetId="10" state="hidden" r:id="rId10"/>
  </sheets>
  <definedNames>
    <definedName name="_xlnm._FilterDatabase" localSheetId="5" hidden="1">Data!$A$1:$F$6070</definedName>
    <definedName name="_xlnm._FilterDatabase" localSheetId="2" hidden="1">Scorecard!$A$6:$X$57</definedName>
    <definedName name="ffs_thr">Inputs!$C$31</definedName>
    <definedName name="min_base">Inputs!$C$8</definedName>
    <definedName name="neutralise">Inputs!$C$30</definedName>
    <definedName name="sel_area">Inputs!$C$5</definedName>
    <definedName name="sel_lookback">Inputs!$C$7</definedName>
    <definedName name="sel_year">Inputs!$C$6</definedName>
    <definedName name="swing_thr">Inputs!$C$32</definedName>
    <definedName name="target_growth">Inputs!$C$11</definedName>
    <definedName name="tier_a">Inputs!$C$12</definedName>
    <definedName name="tier_b">Inputs!$C$13</definedName>
    <definedName name="w_brand">Inputs!$G$20</definedName>
    <definedName name="w_growth">Inputs!$G$18</definedName>
    <definedName name="w_intensity">Inputs!$G$19</definedName>
    <definedName name="w_size">Inputs!$G$17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8" i="9" l="1"/>
  <c r="E357" i="9"/>
  <c r="E356" i="9"/>
  <c r="E355" i="9"/>
  <c r="E354" i="9"/>
  <c r="E353" i="9"/>
  <c r="E351" i="9"/>
  <c r="E350" i="9"/>
  <c r="E349" i="9"/>
  <c r="E348" i="9"/>
  <c r="E347" i="9"/>
  <c r="E346" i="9"/>
  <c r="E344" i="9"/>
  <c r="E343" i="9"/>
  <c r="E342" i="9"/>
  <c r="W56" i="3" s="1"/>
  <c r="E341" i="9"/>
  <c r="E340" i="9"/>
  <c r="E339" i="9"/>
  <c r="E337" i="9"/>
  <c r="E336" i="9"/>
  <c r="E335" i="9"/>
  <c r="W54" i="3" s="1"/>
  <c r="E334" i="9"/>
  <c r="E333" i="9"/>
  <c r="E332" i="9"/>
  <c r="E330" i="9"/>
  <c r="E329" i="9"/>
  <c r="E328" i="9"/>
  <c r="W52" i="3" s="1"/>
  <c r="X52" i="3" s="1"/>
  <c r="E327" i="9"/>
  <c r="E326" i="9"/>
  <c r="E325" i="9"/>
  <c r="E323" i="9"/>
  <c r="E322" i="9"/>
  <c r="E321" i="9"/>
  <c r="E320" i="9"/>
  <c r="E319" i="9"/>
  <c r="E318" i="9"/>
  <c r="E316" i="9"/>
  <c r="E315" i="9"/>
  <c r="E314" i="9"/>
  <c r="E313" i="9"/>
  <c r="E312" i="9"/>
  <c r="E311" i="9"/>
  <c r="E309" i="9"/>
  <c r="E308" i="9"/>
  <c r="E307" i="9"/>
  <c r="W50" i="3" s="1"/>
  <c r="E306" i="9"/>
  <c r="E305" i="9"/>
  <c r="E304" i="9"/>
  <c r="E302" i="9"/>
  <c r="E301" i="9"/>
  <c r="E300" i="9"/>
  <c r="W49" i="3" s="1"/>
  <c r="X49" i="3" s="1"/>
  <c r="E299" i="9"/>
  <c r="E298" i="9"/>
  <c r="E297" i="9"/>
  <c r="E295" i="9"/>
  <c r="E294" i="9"/>
  <c r="W48" i="3" s="1"/>
  <c r="X48" i="3" s="1"/>
  <c r="E293" i="9"/>
  <c r="E292" i="9"/>
  <c r="E291" i="9"/>
  <c r="E290" i="9"/>
  <c r="E288" i="9"/>
  <c r="E287" i="9"/>
  <c r="E286" i="9"/>
  <c r="W47" i="3" s="1"/>
  <c r="E285" i="9"/>
  <c r="E284" i="9"/>
  <c r="E283" i="9"/>
  <c r="E281" i="9"/>
  <c r="E280" i="9"/>
  <c r="E279" i="9"/>
  <c r="E278" i="9"/>
  <c r="E277" i="9"/>
  <c r="E276" i="9"/>
  <c r="E274" i="9"/>
  <c r="W45" i="3" s="1"/>
  <c r="E273" i="9"/>
  <c r="E272" i="9"/>
  <c r="E271" i="9"/>
  <c r="E270" i="9"/>
  <c r="E269" i="9"/>
  <c r="E267" i="9"/>
  <c r="E266" i="9"/>
  <c r="E265" i="9"/>
  <c r="W44" i="3" s="1"/>
  <c r="X44" i="3" s="1"/>
  <c r="E264" i="9"/>
  <c r="E263" i="9"/>
  <c r="E262" i="9"/>
  <c r="E260" i="9"/>
  <c r="E259" i="9"/>
  <c r="E258" i="9"/>
  <c r="E257" i="9"/>
  <c r="E256" i="9"/>
  <c r="E255" i="9"/>
  <c r="E253" i="9"/>
  <c r="E252" i="9"/>
  <c r="E251" i="9"/>
  <c r="E250" i="9"/>
  <c r="E249" i="9"/>
  <c r="E248" i="9"/>
  <c r="E246" i="9"/>
  <c r="E245" i="9"/>
  <c r="E244" i="9"/>
  <c r="W39" i="3" s="1"/>
  <c r="E243" i="9"/>
  <c r="E242" i="9"/>
  <c r="E241" i="9"/>
  <c r="E239" i="9"/>
  <c r="E238" i="9"/>
  <c r="E237" i="9"/>
  <c r="W35" i="3" s="1"/>
  <c r="X35" i="3" s="1"/>
  <c r="E236" i="9"/>
  <c r="E235" i="9"/>
  <c r="E234" i="9"/>
  <c r="E232" i="9"/>
  <c r="E231" i="9"/>
  <c r="E230" i="9"/>
  <c r="W38" i="3" s="1"/>
  <c r="E229" i="9"/>
  <c r="E228" i="9"/>
  <c r="E227" i="9"/>
  <c r="E225" i="9"/>
  <c r="E224" i="9"/>
  <c r="E223" i="9"/>
  <c r="E222" i="9"/>
  <c r="E221" i="9"/>
  <c r="E220" i="9"/>
  <c r="E218" i="9"/>
  <c r="E217" i="9"/>
  <c r="E216" i="9"/>
  <c r="E215" i="9"/>
  <c r="E214" i="9"/>
  <c r="E213" i="9"/>
  <c r="E211" i="9"/>
  <c r="E210" i="9"/>
  <c r="E209" i="9"/>
  <c r="E208" i="9"/>
  <c r="E207" i="9"/>
  <c r="E206" i="9"/>
  <c r="E204" i="9"/>
  <c r="E203" i="9"/>
  <c r="E202" i="9"/>
  <c r="W41" i="3" s="1"/>
  <c r="E201" i="9"/>
  <c r="E200" i="9"/>
  <c r="E199" i="9"/>
  <c r="E197" i="9"/>
  <c r="E196" i="9"/>
  <c r="W40" i="3" s="1"/>
  <c r="X40" i="3" s="1"/>
  <c r="E195" i="9"/>
  <c r="E194" i="9"/>
  <c r="E193" i="9"/>
  <c r="E192" i="9"/>
  <c r="E190" i="9"/>
  <c r="E189" i="9"/>
  <c r="E188" i="9"/>
  <c r="E187" i="9"/>
  <c r="E186" i="9"/>
  <c r="E185" i="9"/>
  <c r="E183" i="9"/>
  <c r="E182" i="9"/>
  <c r="E181" i="9"/>
  <c r="W31" i="3" s="1"/>
  <c r="X31" i="3" s="1"/>
  <c r="E180" i="9"/>
  <c r="E179" i="9"/>
  <c r="E178" i="9"/>
  <c r="E176" i="9"/>
  <c r="W32" i="3" s="1"/>
  <c r="E175" i="9"/>
  <c r="E174" i="9"/>
  <c r="E173" i="9"/>
  <c r="E172" i="9"/>
  <c r="E171" i="9"/>
  <c r="E169" i="9"/>
  <c r="E168" i="9"/>
  <c r="E167" i="9"/>
  <c r="W30" i="3" s="1"/>
  <c r="E166" i="9"/>
  <c r="E165" i="9"/>
  <c r="E164" i="9"/>
  <c r="E162" i="9"/>
  <c r="E161" i="9"/>
  <c r="E160" i="9"/>
  <c r="E159" i="9"/>
  <c r="E158" i="9"/>
  <c r="E157" i="9"/>
  <c r="E155" i="9"/>
  <c r="E154" i="9"/>
  <c r="E153" i="9"/>
  <c r="E152" i="9"/>
  <c r="E151" i="9"/>
  <c r="E150" i="9"/>
  <c r="E148" i="9"/>
  <c r="E147" i="9"/>
  <c r="E146" i="9"/>
  <c r="W27" i="3" s="1"/>
  <c r="X27" i="3" s="1"/>
  <c r="E145" i="9"/>
  <c r="E144" i="9"/>
  <c r="E143" i="9"/>
  <c r="E141" i="9"/>
  <c r="E140" i="9"/>
  <c r="E139" i="9"/>
  <c r="W28" i="3" s="1"/>
  <c r="E138" i="9"/>
  <c r="E137" i="9"/>
  <c r="E136" i="9"/>
  <c r="E134" i="9"/>
  <c r="E133" i="9"/>
  <c r="E132" i="9"/>
  <c r="W25" i="3" s="1"/>
  <c r="X25" i="3" s="1"/>
  <c r="E131" i="9"/>
  <c r="E130" i="9"/>
  <c r="E129" i="9"/>
  <c r="E127" i="9"/>
  <c r="E126" i="9"/>
  <c r="E125" i="9"/>
  <c r="W24" i="3" s="1"/>
  <c r="E124" i="9"/>
  <c r="E123" i="9"/>
  <c r="E122" i="9"/>
  <c r="E120" i="9"/>
  <c r="E119" i="9"/>
  <c r="E118" i="9"/>
  <c r="E117" i="9"/>
  <c r="E116" i="9"/>
  <c r="E115" i="9"/>
  <c r="E113" i="9"/>
  <c r="E112" i="9"/>
  <c r="E111" i="9"/>
  <c r="W21" i="3" s="1"/>
  <c r="E110" i="9"/>
  <c r="E109" i="9"/>
  <c r="E108" i="9"/>
  <c r="E106" i="9"/>
  <c r="E105" i="9"/>
  <c r="E104" i="9"/>
  <c r="W20" i="3" s="1"/>
  <c r="X20" i="3" s="1"/>
  <c r="E103" i="9"/>
  <c r="E102" i="9"/>
  <c r="E101" i="9"/>
  <c r="E99" i="9"/>
  <c r="E98" i="9"/>
  <c r="W19" i="3" s="1"/>
  <c r="X19" i="3" s="1"/>
  <c r="E97" i="9"/>
  <c r="E96" i="9"/>
  <c r="E95" i="9"/>
  <c r="E94" i="9"/>
  <c r="E92" i="9"/>
  <c r="E91" i="9"/>
  <c r="E90" i="9"/>
  <c r="W22" i="3" s="1"/>
  <c r="E89" i="9"/>
  <c r="E88" i="9"/>
  <c r="E87" i="9"/>
  <c r="E85" i="9"/>
  <c r="E84" i="9"/>
  <c r="E83" i="9"/>
  <c r="W18" i="3" s="1"/>
  <c r="E82" i="9"/>
  <c r="E81" i="9"/>
  <c r="E80" i="9"/>
  <c r="E78" i="9"/>
  <c r="W17" i="3" s="1"/>
  <c r="X17" i="3" s="1"/>
  <c r="E77" i="9"/>
  <c r="E76" i="9"/>
  <c r="E75" i="9"/>
  <c r="E74" i="9"/>
  <c r="E73" i="9"/>
  <c r="E71" i="9"/>
  <c r="E70" i="9"/>
  <c r="E69" i="9"/>
  <c r="W16" i="3" s="1"/>
  <c r="X16" i="3" s="1"/>
  <c r="E68" i="9"/>
  <c r="E67" i="9"/>
  <c r="E66" i="9"/>
  <c r="E64" i="9"/>
  <c r="E63" i="9"/>
  <c r="E62" i="9"/>
  <c r="E61" i="9"/>
  <c r="E60" i="9"/>
  <c r="E59" i="9"/>
  <c r="E57" i="9"/>
  <c r="E56" i="9"/>
  <c r="E55" i="9"/>
  <c r="E54" i="9"/>
  <c r="E53" i="9"/>
  <c r="E52" i="9"/>
  <c r="E50" i="9"/>
  <c r="E49" i="9"/>
  <c r="E48" i="9"/>
  <c r="W13" i="3" s="1"/>
  <c r="E47" i="9"/>
  <c r="E46" i="9"/>
  <c r="E45" i="9"/>
  <c r="E43" i="9"/>
  <c r="E42" i="9"/>
  <c r="E41" i="9"/>
  <c r="W12" i="3" s="1"/>
  <c r="E40" i="9"/>
  <c r="E39" i="9"/>
  <c r="E38" i="9"/>
  <c r="E36" i="9"/>
  <c r="E35" i="9"/>
  <c r="E34" i="9"/>
  <c r="W11" i="3" s="1"/>
  <c r="X11" i="3" s="1"/>
  <c r="E33" i="9"/>
  <c r="E32" i="9"/>
  <c r="E31" i="9"/>
  <c r="E29" i="9"/>
  <c r="E28" i="9"/>
  <c r="E27" i="9"/>
  <c r="E26" i="9"/>
  <c r="E25" i="9"/>
  <c r="E24" i="9"/>
  <c r="E22" i="9"/>
  <c r="E21" i="9"/>
  <c r="E20" i="9"/>
  <c r="E19" i="9"/>
  <c r="E18" i="9"/>
  <c r="E17" i="9"/>
  <c r="E15" i="9"/>
  <c r="E14" i="9"/>
  <c r="E13" i="9"/>
  <c r="W7" i="3" s="1"/>
  <c r="X7" i="3" s="1"/>
  <c r="E12" i="9"/>
  <c r="E11" i="9"/>
  <c r="E10" i="9"/>
  <c r="E8" i="9"/>
  <c r="E7" i="9"/>
  <c r="E6" i="9"/>
  <c r="W8" i="3" s="1"/>
  <c r="X8" i="3" s="1"/>
  <c r="E5" i="9"/>
  <c r="E4" i="9"/>
  <c r="E3" i="9"/>
  <c r="D11" i="5"/>
  <c r="E11" i="5" s="1"/>
  <c r="C11" i="5"/>
  <c r="D10" i="5"/>
  <c r="C10" i="5"/>
  <c r="E10" i="5" s="1"/>
  <c r="D9" i="5"/>
  <c r="D8" i="5"/>
  <c r="D6" i="5"/>
  <c r="D5" i="5"/>
  <c r="C31" i="4"/>
  <c r="C30" i="4"/>
  <c r="C29" i="4"/>
  <c r="C28" i="4"/>
  <c r="C27" i="4"/>
  <c r="C26" i="4"/>
  <c r="C25" i="4"/>
  <c r="B2" i="4"/>
  <c r="W57" i="3"/>
  <c r="V57" i="3"/>
  <c r="U57" i="3"/>
  <c r="H57" i="3"/>
  <c r="E57" i="3"/>
  <c r="D57" i="3"/>
  <c r="V56" i="3"/>
  <c r="U56" i="3"/>
  <c r="H56" i="3"/>
  <c r="E56" i="3"/>
  <c r="D56" i="3"/>
  <c r="J56" i="3" s="1"/>
  <c r="V55" i="3"/>
  <c r="U55" i="3"/>
  <c r="H55" i="3"/>
  <c r="E55" i="3"/>
  <c r="D55" i="3"/>
  <c r="I55" i="3" s="1"/>
  <c r="V54" i="3"/>
  <c r="U54" i="3"/>
  <c r="H54" i="3"/>
  <c r="E54" i="3"/>
  <c r="D54" i="3"/>
  <c r="J54" i="3" s="1"/>
  <c r="W53" i="3"/>
  <c r="V53" i="3"/>
  <c r="U53" i="3"/>
  <c r="H53" i="3"/>
  <c r="E53" i="3"/>
  <c r="D53" i="3"/>
  <c r="J53" i="3" s="1"/>
  <c r="V52" i="3"/>
  <c r="U52" i="3"/>
  <c r="H52" i="3"/>
  <c r="E52" i="3"/>
  <c r="F52" i="3" s="1"/>
  <c r="D52" i="3"/>
  <c r="J52" i="3" s="1"/>
  <c r="W51" i="3"/>
  <c r="V51" i="3"/>
  <c r="U51" i="3"/>
  <c r="H51" i="3"/>
  <c r="I51" i="3" s="1"/>
  <c r="E51" i="3"/>
  <c r="D51" i="3"/>
  <c r="V50" i="3"/>
  <c r="U50" i="3"/>
  <c r="H50" i="3"/>
  <c r="E50" i="3"/>
  <c r="D50" i="3"/>
  <c r="J50" i="3" s="1"/>
  <c r="V49" i="3"/>
  <c r="U49" i="3"/>
  <c r="H49" i="3"/>
  <c r="E49" i="3"/>
  <c r="D49" i="3"/>
  <c r="J49" i="3" s="1"/>
  <c r="V48" i="3"/>
  <c r="U48" i="3"/>
  <c r="J48" i="3"/>
  <c r="H48" i="3"/>
  <c r="I48" i="3" s="1"/>
  <c r="E48" i="3"/>
  <c r="D48" i="3"/>
  <c r="V47" i="3"/>
  <c r="U47" i="3"/>
  <c r="H47" i="3"/>
  <c r="E47" i="3"/>
  <c r="D47" i="3"/>
  <c r="J47" i="3" s="1"/>
  <c r="W46" i="3"/>
  <c r="V46" i="3"/>
  <c r="U46" i="3"/>
  <c r="X46" i="3" s="1"/>
  <c r="H46" i="3"/>
  <c r="E46" i="3"/>
  <c r="D46" i="3"/>
  <c r="J46" i="3" s="1"/>
  <c r="V45" i="3"/>
  <c r="U45" i="3"/>
  <c r="H45" i="3"/>
  <c r="I45" i="3" s="1"/>
  <c r="E45" i="3"/>
  <c r="D45" i="3"/>
  <c r="J45" i="3" s="1"/>
  <c r="V44" i="3"/>
  <c r="U44" i="3"/>
  <c r="H44" i="3"/>
  <c r="E44" i="3"/>
  <c r="D44" i="3"/>
  <c r="J44" i="3" s="1"/>
  <c r="W43" i="3"/>
  <c r="V43" i="3"/>
  <c r="U43" i="3"/>
  <c r="H43" i="3"/>
  <c r="E43" i="3"/>
  <c r="D43" i="3"/>
  <c r="J43" i="3" s="1"/>
  <c r="V42" i="3"/>
  <c r="U42" i="3"/>
  <c r="J42" i="3"/>
  <c r="H42" i="3"/>
  <c r="I42" i="3" s="1"/>
  <c r="E42" i="3"/>
  <c r="D42" i="3"/>
  <c r="V41" i="3"/>
  <c r="U41" i="3"/>
  <c r="H41" i="3"/>
  <c r="E41" i="3"/>
  <c r="D41" i="3"/>
  <c r="J41" i="3" s="1"/>
  <c r="V40" i="3"/>
  <c r="U40" i="3"/>
  <c r="H40" i="3"/>
  <c r="E40" i="3"/>
  <c r="D40" i="3"/>
  <c r="V39" i="3"/>
  <c r="U39" i="3"/>
  <c r="J39" i="3"/>
  <c r="H39" i="3"/>
  <c r="I39" i="3" s="1"/>
  <c r="E39" i="3"/>
  <c r="D39" i="3"/>
  <c r="V38" i="3"/>
  <c r="U38" i="3"/>
  <c r="H38" i="3"/>
  <c r="E38" i="3"/>
  <c r="D38" i="3"/>
  <c r="J38" i="3" s="1"/>
  <c r="W37" i="3"/>
  <c r="V37" i="3"/>
  <c r="U37" i="3"/>
  <c r="X37" i="3" s="1"/>
  <c r="H37" i="3"/>
  <c r="E37" i="3"/>
  <c r="D37" i="3"/>
  <c r="V36" i="3"/>
  <c r="U36" i="3"/>
  <c r="H36" i="3"/>
  <c r="E36" i="3"/>
  <c r="D36" i="3"/>
  <c r="V35" i="3"/>
  <c r="U35" i="3"/>
  <c r="H35" i="3"/>
  <c r="E35" i="3"/>
  <c r="D35" i="3"/>
  <c r="J35" i="3" s="1"/>
  <c r="W34" i="3"/>
  <c r="V34" i="3"/>
  <c r="U34" i="3"/>
  <c r="H34" i="3"/>
  <c r="E34" i="3"/>
  <c r="D34" i="3"/>
  <c r="J34" i="3" s="1"/>
  <c r="W33" i="3"/>
  <c r="V33" i="3"/>
  <c r="U33" i="3"/>
  <c r="X33" i="3" s="1"/>
  <c r="H33" i="3"/>
  <c r="E33" i="3"/>
  <c r="D33" i="3"/>
  <c r="V32" i="3"/>
  <c r="X32" i="3" s="1"/>
  <c r="U32" i="3"/>
  <c r="H32" i="3"/>
  <c r="E32" i="3"/>
  <c r="D32" i="3"/>
  <c r="V31" i="3"/>
  <c r="U31" i="3"/>
  <c r="H31" i="3"/>
  <c r="E31" i="3"/>
  <c r="D31" i="3"/>
  <c r="J31" i="3" s="1"/>
  <c r="V30" i="3"/>
  <c r="U30" i="3"/>
  <c r="J30" i="3"/>
  <c r="H30" i="3"/>
  <c r="E30" i="3"/>
  <c r="D30" i="3"/>
  <c r="W29" i="3"/>
  <c r="V29" i="3"/>
  <c r="U29" i="3"/>
  <c r="X29" i="3" s="1"/>
  <c r="H29" i="3"/>
  <c r="I29" i="3" s="1"/>
  <c r="E29" i="3"/>
  <c r="D29" i="3"/>
  <c r="V28" i="3"/>
  <c r="U28" i="3"/>
  <c r="H28" i="3"/>
  <c r="E28" i="3"/>
  <c r="D28" i="3"/>
  <c r="V27" i="3"/>
  <c r="U27" i="3"/>
  <c r="H27" i="3"/>
  <c r="E27" i="3"/>
  <c r="D27" i="3"/>
  <c r="V26" i="3"/>
  <c r="U26" i="3"/>
  <c r="H26" i="3"/>
  <c r="E26" i="3"/>
  <c r="D26" i="3"/>
  <c r="J26" i="3" s="1"/>
  <c r="V25" i="3"/>
  <c r="U25" i="3"/>
  <c r="H25" i="3"/>
  <c r="E25" i="3"/>
  <c r="D25" i="3"/>
  <c r="V24" i="3"/>
  <c r="U24" i="3"/>
  <c r="X24" i="3" s="1"/>
  <c r="H24" i="3"/>
  <c r="E24" i="3"/>
  <c r="D24" i="3"/>
  <c r="J24" i="3" s="1"/>
  <c r="W23" i="3"/>
  <c r="X23" i="3" s="1"/>
  <c r="V23" i="3"/>
  <c r="U23" i="3"/>
  <c r="H23" i="3"/>
  <c r="E23" i="3"/>
  <c r="D23" i="3"/>
  <c r="V22" i="3"/>
  <c r="U22" i="3"/>
  <c r="H22" i="3"/>
  <c r="E22" i="3"/>
  <c r="D22" i="3"/>
  <c r="J22" i="3" s="1"/>
  <c r="V21" i="3"/>
  <c r="U21" i="3"/>
  <c r="H21" i="3"/>
  <c r="E21" i="3"/>
  <c r="D21" i="3"/>
  <c r="V20" i="3"/>
  <c r="U20" i="3"/>
  <c r="H20" i="3"/>
  <c r="E20" i="3"/>
  <c r="D20" i="3"/>
  <c r="V19" i="3"/>
  <c r="U19" i="3"/>
  <c r="H19" i="3"/>
  <c r="E19" i="3"/>
  <c r="D19" i="3"/>
  <c r="I19" i="3" s="1"/>
  <c r="V18" i="3"/>
  <c r="U18" i="3"/>
  <c r="H18" i="3"/>
  <c r="E18" i="3"/>
  <c r="D18" i="3"/>
  <c r="J18" i="3" s="1"/>
  <c r="V17" i="3"/>
  <c r="U17" i="3"/>
  <c r="H17" i="3"/>
  <c r="E17" i="3"/>
  <c r="D17" i="3"/>
  <c r="I17" i="3" s="1"/>
  <c r="V16" i="3"/>
  <c r="U16" i="3"/>
  <c r="J16" i="3"/>
  <c r="H16" i="3"/>
  <c r="E16" i="3"/>
  <c r="D16" i="3"/>
  <c r="W15" i="3"/>
  <c r="V15" i="3"/>
  <c r="U15" i="3"/>
  <c r="H15" i="3"/>
  <c r="E15" i="3"/>
  <c r="D15" i="3"/>
  <c r="J15" i="3" s="1"/>
  <c r="W14" i="3"/>
  <c r="V14" i="3"/>
  <c r="U14" i="3"/>
  <c r="X14" i="3" s="1"/>
  <c r="H14" i="3"/>
  <c r="E14" i="3"/>
  <c r="D14" i="3"/>
  <c r="V13" i="3"/>
  <c r="U13" i="3"/>
  <c r="H13" i="3"/>
  <c r="E13" i="3"/>
  <c r="D13" i="3"/>
  <c r="V12" i="3"/>
  <c r="U12" i="3"/>
  <c r="X12" i="3" s="1"/>
  <c r="H12" i="3"/>
  <c r="E12" i="3"/>
  <c r="D12" i="3"/>
  <c r="V11" i="3"/>
  <c r="U11" i="3"/>
  <c r="H11" i="3"/>
  <c r="E11" i="3"/>
  <c r="D11" i="3"/>
  <c r="W10" i="3"/>
  <c r="V10" i="3"/>
  <c r="U10" i="3"/>
  <c r="X10" i="3" s="1"/>
  <c r="H10" i="3"/>
  <c r="E10" i="3"/>
  <c r="D10" i="3"/>
  <c r="W9" i="3"/>
  <c r="V9" i="3"/>
  <c r="U9" i="3"/>
  <c r="H9" i="3"/>
  <c r="E9" i="3"/>
  <c r="D9" i="3"/>
  <c r="I9" i="3" s="1"/>
  <c r="V8" i="3"/>
  <c r="U8" i="3"/>
  <c r="H8" i="3"/>
  <c r="I8" i="3" s="1"/>
  <c r="E8" i="3"/>
  <c r="D8" i="3"/>
  <c r="V7" i="3"/>
  <c r="U7" i="3"/>
  <c r="H7" i="3"/>
  <c r="E7" i="3"/>
  <c r="D7" i="3"/>
  <c r="A2" i="3"/>
  <c r="C25" i="2"/>
  <c r="F21" i="2"/>
  <c r="E21" i="2"/>
  <c r="D21" i="2"/>
  <c r="C21" i="2"/>
  <c r="G20" i="2"/>
  <c r="G19" i="2"/>
  <c r="G18" i="2"/>
  <c r="G17" i="2"/>
  <c r="I15" i="3" l="1"/>
  <c r="F20" i="3"/>
  <c r="I43" i="3"/>
  <c r="I47" i="3"/>
  <c r="I34" i="3"/>
  <c r="I52" i="3"/>
  <c r="X28" i="3"/>
  <c r="K44" i="3"/>
  <c r="X15" i="3"/>
  <c r="I21" i="3"/>
  <c r="I30" i="3"/>
  <c r="X43" i="3"/>
  <c r="G52" i="3"/>
  <c r="I24" i="3"/>
  <c r="X51" i="3"/>
  <c r="I38" i="3"/>
  <c r="F43" i="3"/>
  <c r="X21" i="3"/>
  <c r="X30" i="3"/>
  <c r="F12" i="3"/>
  <c r="G12" i="3" s="1"/>
  <c r="I26" i="3"/>
  <c r="X53" i="3"/>
  <c r="X22" i="3"/>
  <c r="W26" i="3"/>
  <c r="X26" i="3" s="1"/>
  <c r="W42" i="3"/>
  <c r="X42" i="3" s="1"/>
  <c r="G42" i="3" s="1"/>
  <c r="X47" i="3"/>
  <c r="W55" i="3"/>
  <c r="X55" i="3" s="1"/>
  <c r="X45" i="3"/>
  <c r="I50" i="3"/>
  <c r="I18" i="3"/>
  <c r="X9" i="3"/>
  <c r="X57" i="3"/>
  <c r="I12" i="3"/>
  <c r="I31" i="3"/>
  <c r="I40" i="3"/>
  <c r="I36" i="3"/>
  <c r="X54" i="3"/>
  <c r="I32" i="3"/>
  <c r="X18" i="3"/>
  <c r="I28" i="3"/>
  <c r="I46" i="3"/>
  <c r="I56" i="3"/>
  <c r="X39" i="3"/>
  <c r="X56" i="3"/>
  <c r="I35" i="3"/>
  <c r="F40" i="3"/>
  <c r="I22" i="3"/>
  <c r="I54" i="3"/>
  <c r="W36" i="3"/>
  <c r="X36" i="3" s="1"/>
  <c r="X13" i="3"/>
  <c r="K37" i="3"/>
  <c r="K14" i="3"/>
  <c r="K57" i="3"/>
  <c r="K25" i="3"/>
  <c r="X41" i="3"/>
  <c r="K38" i="3"/>
  <c r="X34" i="3"/>
  <c r="K20" i="3"/>
  <c r="J20" i="3"/>
  <c r="I27" i="3"/>
  <c r="K27" i="3"/>
  <c r="J27" i="3"/>
  <c r="K46" i="3"/>
  <c r="K16" i="3"/>
  <c r="F56" i="3"/>
  <c r="G56" i="3" s="1"/>
  <c r="G29" i="3"/>
  <c r="F11" i="3"/>
  <c r="G11" i="3" s="1"/>
  <c r="F27" i="3"/>
  <c r="G27" i="3" s="1"/>
  <c r="I20" i="3"/>
  <c r="K28" i="3"/>
  <c r="J13" i="3"/>
  <c r="K13" i="3"/>
  <c r="I13" i="3"/>
  <c r="K22" i="3"/>
  <c r="K48" i="3"/>
  <c r="K18" i="3"/>
  <c r="K50" i="3"/>
  <c r="K11" i="3"/>
  <c r="K52" i="3"/>
  <c r="J11" i="3"/>
  <c r="K42" i="3"/>
  <c r="X50" i="3"/>
  <c r="X38" i="3"/>
  <c r="I11" i="3"/>
  <c r="G20" i="3"/>
  <c r="J33" i="3"/>
  <c r="K33" i="3"/>
  <c r="I33" i="3"/>
  <c r="K9" i="3"/>
  <c r="K29" i="3"/>
  <c r="J29" i="3"/>
  <c r="K56" i="3"/>
  <c r="F8" i="3"/>
  <c r="G8" i="3" s="1"/>
  <c r="I37" i="3"/>
  <c r="K39" i="3"/>
  <c r="K35" i="3"/>
  <c r="K54" i="3"/>
  <c r="F35" i="3"/>
  <c r="G35" i="3" s="1"/>
  <c r="F15" i="3"/>
  <c r="G15" i="3" s="1"/>
  <c r="F24" i="3"/>
  <c r="G24" i="3" s="1"/>
  <c r="J37" i="3"/>
  <c r="F39" i="3"/>
  <c r="I41" i="3"/>
  <c r="K43" i="3"/>
  <c r="F45" i="3"/>
  <c r="G45" i="3" s="1"/>
  <c r="K31" i="3"/>
  <c r="J8" i="3"/>
  <c r="K15" i="3"/>
  <c r="F19" i="3"/>
  <c r="G19" i="3"/>
  <c r="K53" i="3"/>
  <c r="F13" i="3"/>
  <c r="F33" i="3"/>
  <c r="G33" i="3" s="1"/>
  <c r="K51" i="3"/>
  <c r="C26" i="2"/>
  <c r="C27" i="2" s="1"/>
  <c r="D27" i="2" s="1"/>
  <c r="J10" i="3"/>
  <c r="K49" i="3"/>
  <c r="I57" i="3"/>
  <c r="K10" i="3"/>
  <c r="F21" i="3"/>
  <c r="G21" i="3"/>
  <c r="J28" i="3"/>
  <c r="F32" i="3"/>
  <c r="G32" i="3" s="1"/>
  <c r="J51" i="3"/>
  <c r="J55" i="3"/>
  <c r="G14" i="3"/>
  <c r="G38" i="3"/>
  <c r="J57" i="3"/>
  <c r="F23" i="3"/>
  <c r="G23" i="3" s="1"/>
  <c r="F25" i="3"/>
  <c r="G25" i="3" s="1"/>
  <c r="K41" i="3"/>
  <c r="G21" i="2"/>
  <c r="K8" i="3"/>
  <c r="K19" i="3"/>
  <c r="K26" i="3"/>
  <c r="F55" i="3"/>
  <c r="G55" i="3" s="1"/>
  <c r="E58" i="3"/>
  <c r="F7" i="3"/>
  <c r="K12" i="3"/>
  <c r="K23" i="3"/>
  <c r="K30" i="3"/>
  <c r="J32" i="3"/>
  <c r="F9" i="3"/>
  <c r="G9" i="3" s="1"/>
  <c r="J14" i="3"/>
  <c r="F16" i="3"/>
  <c r="G16" i="3" s="1"/>
  <c r="K34" i="3"/>
  <c r="J36" i="3"/>
  <c r="F44" i="3"/>
  <c r="G44" i="3" s="1"/>
  <c r="J7" i="3"/>
  <c r="K36" i="3"/>
  <c r="K47" i="3"/>
  <c r="F47" i="3"/>
  <c r="K45" i="3"/>
  <c r="I49" i="3"/>
  <c r="F53" i="3"/>
  <c r="I10" i="3"/>
  <c r="M15" i="3" s="1"/>
  <c r="F51" i="3"/>
  <c r="G51" i="3" s="1"/>
  <c r="F57" i="3"/>
  <c r="G57" i="3" s="1"/>
  <c r="K17" i="3"/>
  <c r="I53" i="3"/>
  <c r="H58" i="3"/>
  <c r="K32" i="3"/>
  <c r="I7" i="3"/>
  <c r="K7" i="3"/>
  <c r="I23" i="3"/>
  <c r="I25" i="3"/>
  <c r="J40" i="3"/>
  <c r="F48" i="3"/>
  <c r="F31" i="3"/>
  <c r="G31" i="3" s="1"/>
  <c r="F17" i="3"/>
  <c r="G17" i="3" s="1"/>
  <c r="K24" i="3"/>
  <c r="F28" i="3"/>
  <c r="G28" i="3" s="1"/>
  <c r="J17" i="3"/>
  <c r="K55" i="3"/>
  <c r="D58" i="3"/>
  <c r="J12" i="3"/>
  <c r="F36" i="3"/>
  <c r="J19" i="3"/>
  <c r="J21" i="3"/>
  <c r="K21" i="3"/>
  <c r="I14" i="3"/>
  <c r="J9" i="3"/>
  <c r="I16" i="3"/>
  <c r="J23" i="3"/>
  <c r="J25" i="3"/>
  <c r="K40" i="3"/>
  <c r="I44" i="3"/>
  <c r="F10" i="3"/>
  <c r="G10" i="3" s="1"/>
  <c r="F14" i="3"/>
  <c r="F18" i="3"/>
  <c r="G18" i="3" s="1"/>
  <c r="F22" i="3"/>
  <c r="F26" i="3"/>
  <c r="F30" i="3"/>
  <c r="F34" i="3"/>
  <c r="G34" i="3" s="1"/>
  <c r="F38" i="3"/>
  <c r="F42" i="3"/>
  <c r="F46" i="3"/>
  <c r="G46" i="3" s="1"/>
  <c r="F50" i="3"/>
  <c r="G50" i="3" s="1"/>
  <c r="F54" i="3"/>
  <c r="G54" i="3" s="1"/>
  <c r="F29" i="3"/>
  <c r="F37" i="3"/>
  <c r="G37" i="3" s="1"/>
  <c r="F41" i="3"/>
  <c r="G41" i="3" s="1"/>
  <c r="F49" i="3"/>
  <c r="G49" i="3" s="1"/>
  <c r="G36" i="3" l="1"/>
  <c r="G13" i="3"/>
  <c r="G30" i="3"/>
  <c r="G43" i="3"/>
  <c r="G26" i="3"/>
  <c r="B21" i="4"/>
  <c r="M48" i="3"/>
  <c r="N20" i="3"/>
  <c r="G22" i="3"/>
  <c r="G53" i="3"/>
  <c r="G47" i="3"/>
  <c r="N46" i="3"/>
  <c r="N38" i="3"/>
  <c r="N21" i="3"/>
  <c r="G40" i="3"/>
  <c r="M17" i="3"/>
  <c r="M38" i="3"/>
  <c r="C5" i="5"/>
  <c r="E5" i="5" s="1"/>
  <c r="H21" i="2"/>
  <c r="M28" i="3"/>
  <c r="N48" i="3"/>
  <c r="N36" i="3"/>
  <c r="M24" i="3"/>
  <c r="M45" i="3"/>
  <c r="M56" i="3"/>
  <c r="N18" i="3"/>
  <c r="M54" i="3"/>
  <c r="N51" i="3"/>
  <c r="N43" i="3"/>
  <c r="N24" i="3"/>
  <c r="M18" i="3"/>
  <c r="N11" i="3"/>
  <c r="N29" i="3"/>
  <c r="N17" i="3"/>
  <c r="N13" i="3"/>
  <c r="N49" i="3"/>
  <c r="M44" i="3"/>
  <c r="N41" i="3"/>
  <c r="N42" i="3"/>
  <c r="N32" i="3"/>
  <c r="M57" i="3"/>
  <c r="M46" i="3"/>
  <c r="M32" i="3"/>
  <c r="M55" i="3"/>
  <c r="N53" i="3"/>
  <c r="N25" i="3"/>
  <c r="N30" i="3"/>
  <c r="N54" i="3"/>
  <c r="M35" i="3"/>
  <c r="M31" i="3"/>
  <c r="M52" i="3"/>
  <c r="N34" i="3"/>
  <c r="N45" i="3"/>
  <c r="N57" i="3"/>
  <c r="G48" i="3"/>
  <c r="G7" i="3"/>
  <c r="M7" i="3"/>
  <c r="M9" i="3"/>
  <c r="G39" i="3"/>
  <c r="N56" i="3"/>
  <c r="N12" i="3"/>
  <c r="D7" i="5"/>
  <c r="C6" i="5"/>
  <c r="E6" i="5" s="1"/>
  <c r="N33" i="3"/>
  <c r="M39" i="3"/>
  <c r="N15" i="3"/>
  <c r="M10" i="3"/>
  <c r="N27" i="3"/>
  <c r="M29" i="3"/>
  <c r="M16" i="3"/>
  <c r="N40" i="3"/>
  <c r="M30" i="3"/>
  <c r="M41" i="3"/>
  <c r="M37" i="3"/>
  <c r="M51" i="3"/>
  <c r="N37" i="3"/>
  <c r="N55" i="3"/>
  <c r="N28" i="3"/>
  <c r="N8" i="3"/>
  <c r="M19" i="3"/>
  <c r="N39" i="3"/>
  <c r="N35" i="3"/>
  <c r="M11" i="3"/>
  <c r="M36" i="3"/>
  <c r="N52" i="3"/>
  <c r="M49" i="3"/>
  <c r="N10" i="3"/>
  <c r="N50" i="3"/>
  <c r="M14" i="3"/>
  <c r="N31" i="3"/>
  <c r="M43" i="3"/>
  <c r="N16" i="3"/>
  <c r="M42" i="3"/>
  <c r="M25" i="3"/>
  <c r="M8" i="3"/>
  <c r="N22" i="3"/>
  <c r="N19" i="3"/>
  <c r="N7" i="3"/>
  <c r="M47" i="3"/>
  <c r="M22" i="3"/>
  <c r="M40" i="3"/>
  <c r="M33" i="3"/>
  <c r="M21" i="3"/>
  <c r="M26" i="3"/>
  <c r="M53" i="3"/>
  <c r="M13" i="3"/>
  <c r="N47" i="3"/>
  <c r="N14" i="3"/>
  <c r="N23" i="3"/>
  <c r="M20" i="3"/>
  <c r="N9" i="3"/>
  <c r="N26" i="3"/>
  <c r="M12" i="3"/>
  <c r="N44" i="3"/>
  <c r="M34" i="3"/>
  <c r="M23" i="3"/>
  <c r="M50" i="3"/>
  <c r="M27" i="3"/>
  <c r="L24" i="3" l="1"/>
  <c r="O24" i="3" s="1"/>
  <c r="L40" i="3"/>
  <c r="O40" i="3" s="1"/>
  <c r="R40" i="3" s="1"/>
  <c r="L39" i="3"/>
  <c r="O39" i="3" s="1"/>
  <c r="R24" i="3"/>
  <c r="L14" i="3"/>
  <c r="O14" i="3" s="1"/>
  <c r="L48" i="3"/>
  <c r="O48" i="3" s="1"/>
  <c r="L9" i="3"/>
  <c r="O9" i="3" s="1"/>
  <c r="L20" i="3"/>
  <c r="O20" i="3" s="1"/>
  <c r="L7" i="3"/>
  <c r="O7" i="3" s="1"/>
  <c r="L52" i="3"/>
  <c r="O52" i="3" s="1"/>
  <c r="L22" i="3"/>
  <c r="O22" i="3" s="1"/>
  <c r="L38" i="3"/>
  <c r="O38" i="3" s="1"/>
  <c r="L30" i="3"/>
  <c r="O30" i="3" s="1"/>
  <c r="L26" i="3"/>
  <c r="O26" i="3" s="1"/>
  <c r="L47" i="3"/>
  <c r="O47" i="3" s="1"/>
  <c r="L28" i="3"/>
  <c r="O28" i="3" s="1"/>
  <c r="L55" i="3"/>
  <c r="O55" i="3" s="1"/>
  <c r="R39" i="3"/>
  <c r="L46" i="3"/>
  <c r="O46" i="3" s="1"/>
  <c r="L42" i="3"/>
  <c r="O42" i="3" s="1"/>
  <c r="L8" i="3"/>
  <c r="O8" i="3" s="1"/>
  <c r="L29" i="3"/>
  <c r="O29" i="3" s="1"/>
  <c r="L25" i="3"/>
  <c r="O25" i="3" s="1"/>
  <c r="L43" i="3"/>
  <c r="O43" i="3" s="1"/>
  <c r="L15" i="3"/>
  <c r="O15" i="3" s="1"/>
  <c r="L57" i="3"/>
  <c r="O57" i="3" s="1"/>
  <c r="L53" i="3"/>
  <c r="O53" i="3" s="1"/>
  <c r="L12" i="3"/>
  <c r="O12" i="3" s="1"/>
  <c r="L37" i="3"/>
  <c r="O37" i="3" s="1"/>
  <c r="L49" i="3"/>
  <c r="O49" i="3" s="1"/>
  <c r="L27" i="3"/>
  <c r="O27" i="3" s="1"/>
  <c r="L10" i="3"/>
  <c r="O10" i="3" s="1"/>
  <c r="L16" i="3"/>
  <c r="O16" i="3" s="1"/>
  <c r="L17" i="3"/>
  <c r="O17" i="3" s="1"/>
  <c r="L41" i="3"/>
  <c r="O41" i="3" s="1"/>
  <c r="L45" i="3"/>
  <c r="O45" i="3" s="1"/>
  <c r="L54" i="3"/>
  <c r="O54" i="3" s="1"/>
  <c r="L44" i="3"/>
  <c r="O44" i="3" s="1"/>
  <c r="L21" i="3"/>
  <c r="O21" i="3" s="1"/>
  <c r="L23" i="3"/>
  <c r="O23" i="3" s="1"/>
  <c r="L11" i="3"/>
  <c r="O11" i="3" s="1"/>
  <c r="L35" i="3"/>
  <c r="O35" i="3" s="1"/>
  <c r="L13" i="3"/>
  <c r="O13" i="3" s="1"/>
  <c r="L50" i="3"/>
  <c r="O50" i="3" s="1"/>
  <c r="L56" i="3"/>
  <c r="O56" i="3" s="1"/>
  <c r="L32" i="3"/>
  <c r="O32" i="3" s="1"/>
  <c r="L34" i="3"/>
  <c r="O34" i="3" s="1"/>
  <c r="L36" i="3"/>
  <c r="O36" i="3" s="1"/>
  <c r="L18" i="3"/>
  <c r="O18" i="3" s="1"/>
  <c r="L19" i="3"/>
  <c r="O19" i="3" s="1"/>
  <c r="L31" i="3"/>
  <c r="O31" i="3" s="1"/>
  <c r="L51" i="3"/>
  <c r="O51" i="3" s="1"/>
  <c r="L33" i="3"/>
  <c r="O33" i="3" s="1"/>
  <c r="P39" i="3" l="1"/>
  <c r="Q39" i="3" s="1"/>
  <c r="P33" i="3"/>
  <c r="Q33" i="3" s="1"/>
  <c r="R33" i="3"/>
  <c r="P43" i="3"/>
  <c r="Q43" i="3" s="1"/>
  <c r="R43" i="3"/>
  <c r="R29" i="3"/>
  <c r="P29" i="3"/>
  <c r="Q29" i="3" s="1"/>
  <c r="R42" i="3"/>
  <c r="P42" i="3"/>
  <c r="Q42" i="3" s="1"/>
  <c r="R13" i="3"/>
  <c r="P13" i="3"/>
  <c r="Q13" i="3" s="1"/>
  <c r="P55" i="3"/>
  <c r="Q55" i="3" s="1"/>
  <c r="R55" i="3"/>
  <c r="R57" i="3"/>
  <c r="P57" i="3"/>
  <c r="Q57" i="3" s="1"/>
  <c r="R18" i="3"/>
  <c r="P18" i="3"/>
  <c r="Q18" i="3" s="1"/>
  <c r="R56" i="3"/>
  <c r="P56" i="3"/>
  <c r="Q56" i="3" s="1"/>
  <c r="P23" i="3"/>
  <c r="Q23" i="3" s="1"/>
  <c r="R23" i="3"/>
  <c r="R54" i="3"/>
  <c r="P54" i="3"/>
  <c r="Q54" i="3" s="1"/>
  <c r="P7" i="3"/>
  <c r="R7" i="3"/>
  <c r="P31" i="3"/>
  <c r="Q31" i="3" s="1"/>
  <c r="R31" i="3"/>
  <c r="R34" i="3"/>
  <c r="S34" i="3" s="1"/>
  <c r="T34" i="3" s="1"/>
  <c r="P34" i="3"/>
  <c r="Q34" i="3" s="1"/>
  <c r="P35" i="3"/>
  <c r="Q35" i="3" s="1"/>
  <c r="R35" i="3"/>
  <c r="P30" i="3"/>
  <c r="Q30" i="3" s="1"/>
  <c r="R30" i="3"/>
  <c r="P27" i="3"/>
  <c r="Q27" i="3" s="1"/>
  <c r="R27" i="3"/>
  <c r="P15" i="3"/>
  <c r="Q15" i="3" s="1"/>
  <c r="R15" i="3"/>
  <c r="P25" i="3"/>
  <c r="Q25" i="3" s="1"/>
  <c r="R25" i="3"/>
  <c r="R8" i="3"/>
  <c r="P8" i="3"/>
  <c r="Q8" i="3" s="1"/>
  <c r="R32" i="3"/>
  <c r="P32" i="3"/>
  <c r="Q32" i="3" s="1"/>
  <c r="R50" i="3"/>
  <c r="P50" i="3"/>
  <c r="Q50" i="3" s="1"/>
  <c r="P11" i="3"/>
  <c r="Q11" i="3" s="1"/>
  <c r="R11" i="3"/>
  <c r="R26" i="3"/>
  <c r="P26" i="3"/>
  <c r="Q26" i="3" s="1"/>
  <c r="R44" i="3"/>
  <c r="P44" i="3"/>
  <c r="Q44" i="3" s="1"/>
  <c r="R22" i="3"/>
  <c r="P22" i="3"/>
  <c r="Q22" i="3" s="1"/>
  <c r="R41" i="3"/>
  <c r="P41" i="3"/>
  <c r="Q41" i="3" s="1"/>
  <c r="R17" i="3"/>
  <c r="S17" i="3" s="1"/>
  <c r="T17" i="3" s="1"/>
  <c r="P17" i="3"/>
  <c r="Q17" i="3" s="1"/>
  <c r="R16" i="3"/>
  <c r="P16" i="3"/>
  <c r="Q16" i="3" s="1"/>
  <c r="R48" i="3"/>
  <c r="P48" i="3"/>
  <c r="Q48" i="3" s="1"/>
  <c r="R49" i="3"/>
  <c r="P49" i="3"/>
  <c r="Q49" i="3" s="1"/>
  <c r="P24" i="3"/>
  <c r="Q24" i="3" s="1"/>
  <c r="R52" i="3"/>
  <c r="P52" i="3"/>
  <c r="Q52" i="3" s="1"/>
  <c r="R20" i="3"/>
  <c r="P20" i="3"/>
  <c r="Q20" i="3" s="1"/>
  <c r="R10" i="3"/>
  <c r="P10" i="3"/>
  <c r="Q10" i="3" s="1"/>
  <c r="P14" i="3"/>
  <c r="Q14" i="3" s="1"/>
  <c r="R14" i="3"/>
  <c r="R37" i="3"/>
  <c r="P37" i="3"/>
  <c r="Q37" i="3" s="1"/>
  <c r="P51" i="3"/>
  <c r="Q51" i="3" s="1"/>
  <c r="R51" i="3"/>
  <c r="P19" i="3"/>
  <c r="Q19" i="3" s="1"/>
  <c r="R19" i="3"/>
  <c r="R36" i="3"/>
  <c r="P36" i="3"/>
  <c r="Q36" i="3" s="1"/>
  <c r="R46" i="3"/>
  <c r="P46" i="3"/>
  <c r="Q46" i="3" s="1"/>
  <c r="R28" i="3"/>
  <c r="P28" i="3"/>
  <c r="Q28" i="3" s="1"/>
  <c r="P47" i="3"/>
  <c r="Q47" i="3" s="1"/>
  <c r="R47" i="3"/>
  <c r="P21" i="3"/>
  <c r="Q21" i="3" s="1"/>
  <c r="R21" i="3"/>
  <c r="P38" i="3"/>
  <c r="Q38" i="3" s="1"/>
  <c r="R38" i="3"/>
  <c r="R45" i="3"/>
  <c r="P45" i="3"/>
  <c r="Q45" i="3" s="1"/>
  <c r="P9" i="3"/>
  <c r="Q9" i="3" s="1"/>
  <c r="R9" i="3"/>
  <c r="R12" i="3"/>
  <c r="P12" i="3"/>
  <c r="Q12" i="3" s="1"/>
  <c r="P40" i="3"/>
  <c r="Q40" i="3" s="1"/>
  <c r="R53" i="3"/>
  <c r="P53" i="3"/>
  <c r="Q53" i="3" s="1"/>
  <c r="S39" i="3" l="1"/>
  <c r="T39" i="3" s="1"/>
  <c r="S28" i="3"/>
  <c r="T28" i="3" s="1"/>
  <c r="S46" i="3"/>
  <c r="T46" i="3" s="1"/>
  <c r="G10" i="4"/>
  <c r="C6" i="4"/>
  <c r="F10" i="4"/>
  <c r="H5" i="4"/>
  <c r="D10" i="4"/>
  <c r="F5" i="4"/>
  <c r="G14" i="4"/>
  <c r="C10" i="4"/>
  <c r="E5" i="4"/>
  <c r="B18" i="4"/>
  <c r="E10" i="4"/>
  <c r="G5" i="4"/>
  <c r="H14" i="4"/>
  <c r="D14" i="4"/>
  <c r="F9" i="4"/>
  <c r="C14" i="4"/>
  <c r="E9" i="4"/>
  <c r="E13" i="4"/>
  <c r="G8" i="4"/>
  <c r="H13" i="4"/>
  <c r="D9" i="4"/>
  <c r="C8" i="5"/>
  <c r="E8" i="5" s="1"/>
  <c r="G13" i="4"/>
  <c r="C9" i="4"/>
  <c r="F13" i="4"/>
  <c r="H8" i="4"/>
  <c r="F12" i="4"/>
  <c r="H7" i="4"/>
  <c r="E12" i="4"/>
  <c r="G7" i="4"/>
  <c r="C12" i="4"/>
  <c r="Q7" i="3"/>
  <c r="D13" i="4"/>
  <c r="H11" i="4"/>
  <c r="H10" i="4"/>
  <c r="E7" i="4"/>
  <c r="C5" i="4"/>
  <c r="G11" i="4"/>
  <c r="F8" i="4"/>
  <c r="F7" i="4"/>
  <c r="D7" i="4"/>
  <c r="F11" i="4"/>
  <c r="E11" i="4"/>
  <c r="D11" i="4"/>
  <c r="C11" i="4"/>
  <c r="H9" i="4"/>
  <c r="E8" i="4"/>
  <c r="C8" i="4"/>
  <c r="G9" i="4"/>
  <c r="D8" i="4"/>
  <c r="C7" i="4"/>
  <c r="H6" i="4"/>
  <c r="F6" i="4"/>
  <c r="F14" i="4"/>
  <c r="E6" i="4"/>
  <c r="E14" i="4"/>
  <c r="D6" i="4"/>
  <c r="D5" i="4"/>
  <c r="G6" i="4"/>
  <c r="C13" i="4"/>
  <c r="H12" i="4"/>
  <c r="G12" i="4"/>
  <c r="D12" i="4"/>
  <c r="S44" i="3"/>
  <c r="T44" i="3" s="1"/>
  <c r="S23" i="3"/>
  <c r="T23" i="3" s="1"/>
  <c r="S24" i="3"/>
  <c r="T24" i="3" s="1"/>
  <c r="S56" i="3"/>
  <c r="T56" i="3" s="1"/>
  <c r="S22" i="3"/>
  <c r="T22" i="3" s="1"/>
  <c r="S29" i="3"/>
  <c r="T29" i="3" s="1"/>
  <c r="S50" i="3"/>
  <c r="T50" i="3" s="1"/>
  <c r="S32" i="3"/>
  <c r="T32" i="3" s="1"/>
  <c r="S10" i="3"/>
  <c r="T10" i="3" s="1"/>
  <c r="S52" i="3"/>
  <c r="T52" i="3" s="1"/>
  <c r="S45" i="3"/>
  <c r="T45" i="3" s="1"/>
  <c r="S30" i="3"/>
  <c r="T30" i="3" s="1"/>
  <c r="S48" i="3"/>
  <c r="T48" i="3" s="1"/>
  <c r="S43" i="3"/>
  <c r="T43" i="3" s="1"/>
  <c r="S31" i="3"/>
  <c r="T31" i="3" s="1"/>
  <c r="S7" i="3"/>
  <c r="S37" i="3"/>
  <c r="T37" i="3" s="1"/>
  <c r="S18" i="3"/>
  <c r="T18" i="3" s="1"/>
  <c r="S57" i="3"/>
  <c r="T57" i="3" s="1"/>
  <c r="S20" i="3"/>
  <c r="T20" i="3" s="1"/>
  <c r="S42" i="3"/>
  <c r="T42" i="3" s="1"/>
  <c r="S47" i="3"/>
  <c r="T47" i="3" s="1"/>
  <c r="S11" i="3"/>
  <c r="T11" i="3" s="1"/>
  <c r="S40" i="3"/>
  <c r="T40" i="3" s="1"/>
  <c r="S14" i="3"/>
  <c r="T14" i="3" s="1"/>
  <c r="S53" i="3"/>
  <c r="T53" i="3" s="1"/>
  <c r="S55" i="3"/>
  <c r="T55" i="3" s="1"/>
  <c r="S8" i="3"/>
  <c r="T8" i="3" s="1"/>
  <c r="S15" i="3"/>
  <c r="T15" i="3" s="1"/>
  <c r="S38" i="3"/>
  <c r="T38" i="3" s="1"/>
  <c r="S35" i="3"/>
  <c r="T35" i="3" s="1"/>
  <c r="S16" i="3"/>
  <c r="T16" i="3" s="1"/>
  <c r="S33" i="3"/>
  <c r="T33" i="3" s="1"/>
  <c r="S41" i="3"/>
  <c r="T41" i="3" s="1"/>
  <c r="S36" i="3"/>
  <c r="T36" i="3" s="1"/>
  <c r="S19" i="3"/>
  <c r="T19" i="3" s="1"/>
  <c r="S54" i="3"/>
  <c r="T54" i="3" s="1"/>
  <c r="S51" i="3"/>
  <c r="T51" i="3" s="1"/>
  <c r="S26" i="3"/>
  <c r="T26" i="3" s="1"/>
  <c r="S12" i="3"/>
  <c r="T12" i="3" s="1"/>
  <c r="S9" i="3"/>
  <c r="T9" i="3" s="1"/>
  <c r="S25" i="3"/>
  <c r="T25" i="3" s="1"/>
  <c r="S13" i="3"/>
  <c r="T13" i="3" s="1"/>
  <c r="S27" i="3"/>
  <c r="T27" i="3" s="1"/>
  <c r="S49" i="3"/>
  <c r="T49" i="3" s="1"/>
  <c r="S21" i="3"/>
  <c r="T21" i="3" s="1"/>
  <c r="S58" i="3" l="1"/>
  <c r="T7" i="3"/>
  <c r="C9" i="5"/>
  <c r="E9" i="5" s="1"/>
  <c r="B20" i="4" l="1"/>
  <c r="C7" i="5"/>
  <c r="E7" i="5" s="1"/>
  <c r="C13" i="5" s="1"/>
  <c r="B19" i="4"/>
  <c r="T58" i="3"/>
</calcChain>
</file>

<file path=xl/sharedStrings.xml><?xml version="1.0" encoding="utf-8"?>
<sst xmlns="http://schemas.openxmlformats.org/spreadsheetml/2006/main" count="13279" uniqueCount="242">
  <si>
    <t>Areas</t>
  </si>
  <si>
    <t>All areas</t>
  </si>
  <si>
    <t>Neurology &amp; psychiatry</t>
  </si>
  <si>
    <t>Immunology &amp; inflammation</t>
  </si>
  <si>
    <t>Diabetes &amp; obesity</t>
  </si>
  <si>
    <t>Oncology</t>
  </si>
  <si>
    <t>Respiratory &amp; allergy</t>
  </si>
  <si>
    <t>HIV</t>
  </si>
  <si>
    <t>Rare &amp; genetic disease</t>
  </si>
  <si>
    <t>Pain, addiction &amp; anesthesia</t>
  </si>
  <si>
    <t>Cardiovascular</t>
  </si>
  <si>
    <t>Hematology</t>
  </si>
  <si>
    <t>Infectious disease (non-HIV)</t>
  </si>
  <si>
    <t>Endocrine &amp; women's health</t>
  </si>
  <si>
    <t>Gastroenterology</t>
  </si>
  <si>
    <t>Unclassified</t>
  </si>
  <si>
    <t>Eye &amp; skin</t>
  </si>
  <si>
    <t>Other (vitamins, fluids, diagnostics)</t>
  </si>
  <si>
    <t>Urology &amp; renal</t>
  </si>
  <si>
    <t>Years</t>
  </si>
  <si>
    <t>Scenarios</t>
  </si>
  <si>
    <t>Balanced</t>
  </si>
  <si>
    <t>Growth-led</t>
  </si>
  <si>
    <t>Size-led</t>
  </si>
  <si>
    <t>Custom</t>
  </si>
  <si>
    <t>state</t>
  </si>
  <si>
    <t>year</t>
  </si>
  <si>
    <t>area</t>
  </si>
  <si>
    <t>spend</t>
  </si>
  <si>
    <t>rx</t>
  </si>
  <si>
    <t>brand_spend</t>
  </si>
  <si>
    <t>AK</t>
  </si>
  <si>
    <t>AL</t>
  </si>
  <si>
    <t>AR</t>
  </si>
  <si>
    <t>AZ</t>
  </si>
  <si>
    <t>CA</t>
  </si>
  <si>
    <t>CO</t>
  </si>
  <si>
    <t>CT</t>
  </si>
  <si>
    <t>DC</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</si>
  <si>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</si>
  <si>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</si>
  <si>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</si>
  <si>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</si>
  <si>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</si>
  <si>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</si>
  <si>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</si>
  <si>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</si>
  <si>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</si>
  <si>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</si>
  <si>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</si>
  <si>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</si>
  <si>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</si>
  <si>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</si>
  <si>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</si>
  <si>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</si>
  <si>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</si>
  <si>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</si>
  <si>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</si>
  <si>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</si>
  <si>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</si>
  <si>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</si>
  <si>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</si>
  <si>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</si>
  <si>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</si>
  <si>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</si>
  <si>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</si>
  <si>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</si>
  <si>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</si>
  <si>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</si>
  <si>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</si>
  <si>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</si>
  <si>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</si>
  <si>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</si>
  <si>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</si>
  <si>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</si>
  <si>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</si>
  <si>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</si>
  <si>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</si>
  <si>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</si>
  <si>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</si>
  <si>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</si>
  <si>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</si>
  <si>
    <t>avg_enrollment</t>
  </si>
  <si>
    <t>ffs_share</t>
  </si>
  <si>
    <t>yoy_change</t>
  </si>
  <si>
    <t>abs_yoy</t>
  </si>
  <si>
    <t>Inputs</t>
  </si>
  <si>
    <t>Change the yellow cells. Everything else in the workbook recalculates.</t>
  </si>
  <si>
    <t>Market</t>
  </si>
  <si>
    <t>Therapeutic area</t>
  </si>
  <si>
    <t>Which part of the market to score. 'All areas' scores total spend.</t>
  </si>
  <si>
    <t>Base year</t>
  </si>
  <si>
    <t>The year whose spend is being ranked (2019-2025).</t>
  </si>
  <si>
    <t>Growth look-back (years)</t>
  </si>
  <si>
    <t>Growth is the compound annual rate over this many years, ending in the base year.</t>
  </si>
  <si>
    <t>Minimum prior-year spend ($)</t>
  </si>
  <si>
    <t>Below this, growth is too noisy to rank, so the state gets the median growth.</t>
  </si>
  <si>
    <t>Target</t>
  </si>
  <si>
    <t>National growth target</t>
  </si>
  <si>
    <t>The extra spend the team is asked to win next year, as a share of the base year. Split across states below.</t>
  </si>
  <si>
    <t>Tier A: number of states</t>
  </si>
  <si>
    <t>Tier B: number of states</t>
  </si>
  <si>
    <t>Tier A gets first call on field resources; B is maintained; C is served remotely. Rest of the 51 are tier C.</t>
  </si>
  <si>
    <t>Score weights</t>
  </si>
  <si>
    <t>Factor</t>
  </si>
  <si>
    <t>In use</t>
  </si>
  <si>
    <t>Scenario</t>
  </si>
  <si>
    <t>Pick a preset, or 'Custom' to use the Custom column. 'In use' follows this choice.</t>
  </si>
  <si>
    <t>Market size (spend)</t>
  </si>
  <si>
    <t>Growth</t>
  </si>
  <si>
    <t>Intensity (spend per enrollee)</t>
  </si>
  <si>
    <t>Brand share of spend</t>
  </si>
  <si>
    <t>Total (must be 100%)</t>
  </si>
  <si>
    <t>Read-outs</t>
  </si>
  <si>
    <t>National spend, selected area and year</t>
  </si>
  <si>
    <t>Sum of the 51 states, same selection</t>
  </si>
  <si>
    <t>State coverage of national spend</t>
  </si>
  <si>
    <t>Reporting breaks</t>
  </si>
  <si>
    <t>Neutralise growth where reporting changed</t>
  </si>
  <si>
    <t>Yes</t>
  </si>
  <si>
    <t>A state flagged 'Check' on the Scorecard gets the median growth instead of its own, so a bookkeeping change is not scored as demand.</t>
  </si>
  <si>
    <t>Flag: fee-for-service share moves by at least</t>
  </si>
  <si>
    <t>States move pharmacy spend between managed-care plans and state fee-for-service (California 2022, New York 2023); totals shift with no change in demand.</t>
  </si>
  <si>
    <t>Flag: year-on-year swing of at least</t>
  </si>
  <si>
    <t>Any single year in the look-back window where a state's total spend moves by this much, up or down.</t>
  </si>
  <si>
    <t>Scorecard</t>
  </si>
  <si>
    <t>Percentile columns run 0 (lowest of the 51 states) to 1 (highest). Score = weighted average of the four percentiles x 100.</t>
  </si>
  <si>
    <t>State</t>
  </si>
  <si>
    <t>Region</t>
  </si>
  <si>
    <t>Spend (base year)</t>
  </si>
  <si>
    <t>Spend (prior)</t>
  </si>
  <si>
    <t>Growth p.a.</t>
  </si>
  <si>
    <t>Growth used</t>
  </si>
  <si>
    <t>Enrollment</t>
  </si>
  <si>
    <t>Spend per enrollee</t>
  </si>
  <si>
    <t>Brand share</t>
  </si>
  <si>
    <t>Size pctl</t>
  </si>
  <si>
    <t>Growth pctl</t>
  </si>
  <si>
    <t>Intensity pctl</t>
  </si>
  <si>
    <t>Brand pctl</t>
  </si>
  <si>
    <t>Opportunity score</t>
  </si>
  <si>
    <t>Rank</t>
  </si>
  <si>
    <t>Tier</t>
  </si>
  <si>
    <t>Weight (score x spend)</t>
  </si>
  <si>
    <t>Target spend</t>
  </si>
  <si>
    <t>Target growth</t>
  </si>
  <si>
    <t>FFS share (base)</t>
  </si>
  <si>
    <t>FFS share (prior)</t>
  </si>
  <si>
    <t>Largest yr-on-yr swing</t>
  </si>
  <si>
    <t>Reporting flag</t>
  </si>
  <si>
    <t>Alabama</t>
  </si>
  <si>
    <t>South</t>
  </si>
  <si>
    <t>Alaska</t>
  </si>
  <si>
    <t>West</t>
  </si>
  <si>
    <t>Arizona</t>
  </si>
  <si>
    <t>Arkansas</t>
  </si>
  <si>
    <t>California</t>
  </si>
  <si>
    <t>Colorado</t>
  </si>
  <si>
    <t>Connecticut</t>
  </si>
  <si>
    <t>Northeast</t>
  </si>
  <si>
    <t>Delaware</t>
  </si>
  <si>
    <t>District of Columbia</t>
  </si>
  <si>
    <t>Florida</t>
  </si>
  <si>
    <t>Georgia</t>
  </si>
  <si>
    <t>Hawaii</t>
  </si>
  <si>
    <t>Idaho</t>
  </si>
  <si>
    <t>Illinois</t>
  </si>
  <si>
    <t>Midwest</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</si>
  <si>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</si>
  <si>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</si>
  <si>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</si>
  <si>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</si>
  <si>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</si>
  <si>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</si>
  <si>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</si>
  <si>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</si>
  <si>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</si>
  <si>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</si>
  <si>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</si>
  <si>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</si>
  <si>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</si>
  <si>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</si>
  <si>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</si>
  <si>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</si>
  <si>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</si>
  <si>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</si>
  <si>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</si>
  <si>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</si>
  <si>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</si>
  <si>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</si>
  <si>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</si>
  <si>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</si>
  <si>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</si>
  <si>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</si>
  <si>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</si>
  <si>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</si>
  <si>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</si>
  <si>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</si>
  <si>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</si>
  <si>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</si>
  <si>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</si>
  <si>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</si>
  <si>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</si>
  <si>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</si>
  <si>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</si>
  <si>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All 51 states</t>
  </si>
  <si>
    <t>Summary</t>
  </si>
  <si>
    <t>Score</t>
  </si>
  <si>
    <t>Spend</t>
  </si>
  <si>
    <t>Reporting</t>
  </si>
  <si>
    <t>Headline</t>
  </si>
  <si>
    <t>Year</t>
  </si>
  <si>
    <t>National spend, selected area</t>
  </si>
  <si>
    <t>Checks</t>
  </si>
  <si>
    <t>Every row should say OK. They run on every recalculation.</t>
  </si>
  <si>
    <t>Check</t>
  </si>
  <si>
    <t>Value</t>
  </si>
  <si>
    <t>Expected</t>
  </si>
  <si>
    <t>Result</t>
  </si>
  <si>
    <t>Weights in use add to 100%</t>
  </si>
  <si>
    <t>State spend adds up to the Data sheet for this selection</t>
  </si>
  <si>
    <t>Targets add up to base spend x (1 + growth target)</t>
  </si>
  <si>
    <t>Every state has a distinct rank 1-51</t>
  </si>
  <si>
    <t>No formula errors on the Scorecard</t>
  </si>
  <si>
    <t>National Data total equals the National sheet (same selection)</t>
  </si>
  <si>
    <t>Enrollment found for all 51 states in the base year</t>
  </si>
  <si>
    <t>Overall</t>
  </si>
  <si>
    <t>Territory Targeting Model</t>
  </si>
  <si>
    <t>Rank the 51 US states for a therapeutic area, then split a national growth target across them.</t>
  </si>
  <si>
    <t>What it answers</t>
  </si>
  <si>
    <t>Where should a commercial team put field effort first, and how much of a growth target should each state carry? Pick an area on the Inputs sheet; the Scorecard ranks every state on four things (market size, growth, spend per enrollee, brand share) and turns the ranking into tiers A, B and C and a target for each state.</t>
  </si>
  <si>
    <t>How the score works</t>
  </si>
  <si>
    <t>Each state gets a percentile (0 to 1) on each factor among the 51. Opportunity score = 100 x the weighted average of the four percentiles. Percentiles are used instead of raw values so one huge state (California, New York) cannot swamp the others. The growth target is split in proportion to score x current spend, so a high-scoring large state carries more of it.</t>
  </si>
  <si>
    <t>How to use it</t>
  </si>
  <si>
    <t>1) Inputs: choose the area, base year and weights (or a preset).  2) Scorecard: filter or sort; tiers are coloured.  3) Summary: the top 10, headline sentences, charts.  4) Checks: every row should read OK.</t>
  </si>
  <si>
    <t>Where the numbers come from</t>
  </si>
  <si>
    <t>CMS State Drug Utilization Data (Medicaid, public), 2019-2025, joined to the Medicaid Drug Rebate Program product list and the FDA directory so each NDC has a brand/generic flag and a therapeutic area. Enrollment is the monthly Medicaid and CHIP count (CMS), averaged per year. The full pipeline, tests and data-quality scorecard are in the repository this workbook was generated from.</t>
  </si>
  <si>
    <t>What to be careful about</t>
  </si>
  <si>
    <t>This is Medicaid only, not the whole US market. Dollars are gross reimbursed amounts before manufacturer rebates. The source blanks any state-quarter-product cell with fewer than 11 prescriptions, so state rows add up to about 92% of the national total (lower for oncology and rare disease) (see the coverage line on Inputs); rare-disease areas are the most affected. Spend per enrollee uses total Medicaid and CHIP enrollment, not the number of patients with the condition. Puerto Rico is left out (reported from 2023 only, no enrollment series).</t>
  </si>
  <si>
    <t>States sometimes move pharmacy spend between managed-care plans and state fee-for-service, which changes reported totals without changing demand: California did in 2022, New York in 2023, North Carolina over 2021-24, and Virginia reports an identical $6.24B in 2022 and 2023 before a 42% drop. The Scorecard flags a state 'Check' when its fee-for-service share moves by 25 points or more, or any single year swings 40% or more, and by default gives it the median growth rather than scoring the break as a trend. Both thresholds, and the switch, are on the Inputs sheet. Needs Excel 2019 or Microsoft 365 (the flag uses MAXIFS).</t>
  </si>
  <si>
    <t>Colour code</t>
  </si>
  <si>
    <t>Yellow cells with blue text are inputs. Everything else is a formula. Grey tabs are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</si>
</sst>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quot;M&quot;"/>
    <numFmt numFmtId="166" formatCode="0.0%"/>
    <numFmt numFmtId="167" formatCode="0.0"/>
    <numFmt numFmtId="168" formatCode="#,##0,,"/>
  </numFmts>
  <fonts count="11" x14ac:knownFonts="1">
    <font>
      <sz val="11"/>
      <color theme="1"/>
      <name val="Calibri"/>
      <family val="2"/>
      <scheme val="minor"/>
    </font>
    <font>
      <b/>
      <sz val="18"/>
      <color rgb="FF16302F"/>
      <name val="Calibri"/>
      <family val="2"/>
      <scheme val="minor"/>
    </font>
    <font>
      <i/>
      <sz val="10"/>
      <color rgb="FF5B6B73"/>
      <name val="Calibri"/>
      <family val="2"/>
      <scheme val="minor"/>
    </font>
    <font>
      <b/>
      <sz val="10"/>
      <color rgb="FF16302F"/>
      <name val="Calibri"/>
      <family val="2"/>
      <scheme val="minor"/>
    </font>
    <font>
      <sz val="10"/>
      <color rgb="FF5B6B73"/>
      <name val="Calibri"/>
      <family val="2"/>
      <scheme val="minor"/>
    </font>
    <font>
      <b/>
      <sz val="10"/>
      <color rgb="FF5B6B73"/>
      <name val="Calibri"/>
      <family val="2"/>
      <scheme val="minor"/>
    </font>
    <font>
      <b/>
      <sz val="10"/>
      <color rgb="FF1D4ED8"/>
      <name val="Calibri"/>
      <family val="2"/>
      <scheme val="minor"/>
    </font>
    <font>
      <b/>
      <sz val="10"/>
      <color rgb="FFFFFFFF"/>
      <name val="Calibri"/>
      <family val="2"/>
      <scheme val="minor"/>
    </font>
    <font>
      <sz val="10"/>
      <color rgb="FF16302F"/>
      <name val="Calibri"/>
      <family val="2"/>
      <scheme val="minor"/>
    </font>
    <font>
      <b/>
      <sz val="10"/>
      <color rgb="FFB45309"/>
      <name val="Calibri"/>
      <family val="2"/>
      <scheme val="minor"/>
    </font>
    <font>
      <sz val="10"/>
      <color rgb="FFB45309"/>
      <name val="Calibri"/>
      <family val="2"/>
      <scheme val="minor"/>
    </font>
  </fonts>
  <fills count="4">
    <fill>
      <patternFill patternType="none"/>
    </fill>
    <fill>
      <patternFill patternType="gray125"/>
    </fill>
    <fill>
      <patternFill patternType="solid">
        <fgColor rgb="FFFFF6D6"/>
        <bgColor indexed="64"/>
      </patternFill>
    </fill>
    <fill>
      <patternFill patternType="solid">
        <fgColor rgb="FF16302F"/>
        <bgColor indexed="64"/>
      </patternFill>
    </fill>
  </fills>
  <borders count="4">
    <border>
      <left/>
      <right/>
      <top/>
      <bottom/>
      <diagonal/>
    </border>
    <border>
      <left style="thin">
        <color rgb="FFE6D9A8"/>
      </left>
      <right style="thin">
        <color rgb="FFE6D9A8"/>
      </right>
      <top style="thin">
        <color rgb="FFE6D9A8"/>
      </top>
      <bottom style="thin">
        <color rgb="FFE6D9A8"/>
      </bottom>
      <diagonal/>
    </border>
    <border>
      <left/>
      <right/>
      <top/>
      <bottom style="thin">
        <color rgb="FFD5DEDD"/>
      </bottom>
      <diagonal/>
    </border>
    <border>
      <left/>
      <right/>
      <top style="medium">
        <color rgb="FF16302F"/>
      </top>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2" borderId="1" xfId="0" applyFont="1" applyFill="1" applyBorder="1" applyAlignment="1">
      <alignment horizontal="center"/>
    </xf>
    <xf numFmtId="164" fontId="6" fillId="2" borderId="1" xfId="0" applyNumberFormat="1" applyFont="1" applyFill="1" applyBorder="1" applyAlignment="1">
      <alignment horizontal="center"/>
    </xf>
    <xf numFmtId="9" fontId="6" fillId="2" borderId="1" xfId="0" applyNumberFormat="1" applyFont="1" applyFill="1" applyBorder="1" applyAlignment="1">
      <alignment horizontal="center"/>
    </xf>
    <xf numFmtId="0" fontId="7" fillId="3" borderId="0" xfId="0" applyFont="1" applyFill="1" applyAlignment="1">
      <alignment vertical="center" wrapText="1"/>
    </xf>
    <xf numFmtId="0" fontId="8" fillId="0" borderId="2" xfId="0" applyFont="1" applyBorder="1"/>
    <xf numFmtId="9" fontId="8" fillId="0" borderId="2" xfId="0" applyNumberFormat="1" applyFont="1" applyBorder="1" applyAlignment="1">
      <alignment horizontal="center"/>
    </xf>
    <xf numFmtId="9" fontId="3" fillId="0" borderId="2" xfId="0" applyNumberFormat="1" applyFont="1" applyBorder="1" applyAlignment="1">
      <alignment horizontal="center"/>
    </xf>
    <xf numFmtId="0" fontId="3" fillId="0" borderId="3" xfId="0" applyFont="1" applyBorder="1"/>
    <xf numFmtId="9" fontId="3" fillId="0" borderId="3" xfId="0" applyNumberFormat="1" applyFont="1" applyBorder="1" applyAlignment="1">
      <alignment horizontal="center"/>
    </xf>
    <xf numFmtId="0" fontId="9" fillId="0" borderId="0" xfId="0" applyFont="1"/>
    <xf numFmtId="165" fontId="8" fillId="0" borderId="2" xfId="0" applyNumberFormat="1" applyFont="1" applyBorder="1"/>
    <xf numFmtId="166" fontId="8" fillId="0" borderId="2" xfId="0" applyNumberFormat="1" applyFont="1" applyBorder="1"/>
    <xf numFmtId="0" fontId="7" fillId="3" borderId="0" xfId="0" applyFont="1" applyFill="1" applyAlignment="1">
      <alignment horizontal="center" vertical="center" wrapText="1"/>
    </xf>
    <xf numFmtId="3" fontId="8" fillId="0" borderId="2" xfId="0" applyNumberFormat="1" applyFont="1" applyBorder="1"/>
    <xf numFmtId="164" fontId="8" fillId="0" borderId="2" xfId="0" applyNumberFormat="1" applyFont="1" applyBorder="1"/>
    <xf numFmtId="2" fontId="8" fillId="0" borderId="2" xfId="0" applyNumberFormat="1" applyFont="1" applyBorder="1" applyAlignment="1">
      <alignment horizontal="center"/>
    </xf>
    <xf numFmtId="167" fontId="3" fillId="0" borderId="2" xfId="0" applyNumberFormat="1" applyFont="1" applyBorder="1" applyAlignment="1">
      <alignment horizontal="center"/>
    </xf>
    <xf numFmtId="1" fontId="8" fillId="0" borderId="2" xfId="0" applyNumberFormat="1" applyFont="1" applyBorder="1" applyAlignment="1">
      <alignment horizontal="center"/>
    </xf>
    <xf numFmtId="0" fontId="3" fillId="0" borderId="2" xfId="0" applyFont="1" applyBorder="1" applyAlignment="1">
      <alignment horizontal="center"/>
    </xf>
    <xf numFmtId="168" fontId="8" fillId="0" borderId="2" xfId="0" applyNumberFormat="1" applyFont="1" applyBorder="1"/>
    <xf numFmtId="9" fontId="8" fillId="0" borderId="2" xfId="0" applyNumberFormat="1" applyFont="1" applyBorder="1"/>
    <xf numFmtId="0" fontId="9" fillId="0" borderId="2" xfId="0" applyFont="1" applyBorder="1" applyAlignment="1">
      <alignment horizontal="center"/>
    </xf>
    <xf numFmtId="165" fontId="3" fillId="0" borderId="3" xfId="0" applyNumberFormat="1" applyFont="1" applyBorder="1"/>
    <xf numFmtId="3" fontId="3" fillId="0" borderId="3" xfId="0" applyNumberFormat="1" applyFont="1" applyBorder="1"/>
    <xf numFmtId="166" fontId="3" fillId="0" borderId="3" xfId="0" applyNumberFormat="1" applyFont="1" applyBorder="1"/>
    <xf numFmtId="0" fontId="8" fillId="0" borderId="2" xfId="0" applyFont="1" applyBorder="1" applyAlignment="1">
      <alignment horizontal="center"/>
    </xf>
    <xf numFmtId="167" fontId="8" fillId="0" borderId="2" xfId="0" applyNumberFormat="1" applyFont="1" applyBorder="1" applyAlignment="1">
      <alignment horizontal="center"/>
    </xf>
    <xf numFmtId="0" fontId="8" fillId="0" borderId="0" xfId="0" applyFont="1"/>
    <xf numFmtId="0" fontId="3" fillId="0" borderId="0" xfId="0" applyFont="1" applyAlignment="1">
      <alignment horizontal="center"/>
    </xf>
    <xf numFmtId="3" fontId="8" fillId="0" borderId="0" xfId="0" applyNumberFormat="1" applyFont="1"/>
    <xf numFmtId="166" fontId="8" fillId="0" borderId="0" xfId="0" applyNumberFormat="1" applyFont="1"/>
    <xf numFmtId="0" fontId="4" fillId="0" borderId="0" xfId="0" applyFont="1" applyAlignment="1">
      <alignment vertical="top" wrapText="1"/>
    </xf>
    <xf numFmtId="0" fontId="10" fillId="0" borderId="0" xfId="0" applyFont="1" applyAlignment="1">
      <alignment vertical="top" wrapText="1"/>
    </xf>
  </cellXfs>
  <cellStyles count="1">
    <cellStyle name="Normal" xfId="0" builtinId="0"/>
  </cellStyles>
  <dxfs count="6">
    <dxf>
      <font>
        <b/>
        <color rgb="FFB91C1C"/>
      </font>
    </dxf>
    <dxf>
      <font>
        <b/>
        <color rgb="FF0F766E"/>
      </font>
    </dxf>
    <dxf>
      <font>
        <color rgb="FFB91C1C"/>
      </font>
    </dxf>
    <dxf>
      <fill>
        <patternFill>
          <bgColor rgb="FFD9EEEA"/>
        </patternFill>
      </fill>
    </dxf>
    <dxf>
      <font>
        <color rgb="FFFFFFFF"/>
      </font>
      <fill>
        <patternFill>
          <bgColor rgb="FF0F766E"/>
        </patternFill>
      </fill>
    </dxf>
    <dxf>
      <font>
        <b/>
        <color rgb="FF0F766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6302F"/>
                </a:solidFill>
              </a:defRPr>
            </a:pPr>
            <a:r>
              <a:rPr lang="en-US" sz="1100" b="1" baseline="0">
                <a:solidFill>
                  <a:srgbClr val="16302F"/>
                </a:solidFill>
              </a:rPr>
              <a:t>Top 10 states by opportunity score</a:t>
            </a:r>
          </a:p>
        </c:rich>
      </c:tx>
      <c:overlay val="0"/>
    </c:title>
    <c:autoTitleDeleted val="0"/>
    <c:plotArea>
      <c:layout/>
      <c:barChart>
        <c:barDir val="bar"/>
        <c:grouping val="clustered"/>
        <c:varyColors val="0"/>
        <c:ser>
          <c:idx val="0"/>
          <c:order val="0"/>
          <c:tx>
            <c:v>Opportunity score</c:v>
          </c:tx>
          <c:spPr>
            <a:solidFill>
              <a:srgbClr val="0F766E"/>
            </a:solidFill>
          </c:spPr>
          <c:invertIfNegative val="0"/>
          <c:dLbls>
            <c:numFmt formatCode="0" sourceLinked="0"/>
            <c:spPr>
              <a:noFill/>
              <a:ln>
                <a:noFill/>
              </a:ln>
              <a:effectLst/>
            </c:spPr>
            <c:txPr>
              <a:bodyPr/>
              <a:lstStyle/>
              <a:p>
                <a:pPr>
                  <a:defRPr sz="900" baseline="0">
                    <a:solidFill>
                      <a:srgbClr val="16302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Summary!$C$5:$C$14</c:f>
              <c:strCache>
                <c:ptCount val="10"/>
                <c:pt idx="0">
                  <c:v>Michigan</c:v>
                </c:pt>
                <c:pt idx="1">
                  <c:v>Pennsylvania</c:v>
                </c:pt>
                <c:pt idx="2">
                  <c:v>California</c:v>
                </c:pt>
                <c:pt idx="3">
                  <c:v>Massachusetts</c:v>
                </c:pt>
                <c:pt idx="4">
                  <c:v>Connecticut</c:v>
                </c:pt>
                <c:pt idx="5">
                  <c:v>Indiana</c:v>
                </c:pt>
                <c:pt idx="6">
                  <c:v>Kentucky</c:v>
                </c:pt>
                <c:pt idx="7">
                  <c:v>Wisconsin</c:v>
                </c:pt>
                <c:pt idx="8">
                  <c:v>Ohio</c:v>
                </c:pt>
                <c:pt idx="9">
                  <c:v>Missouri</c:v>
                </c:pt>
              </c:strCache>
            </c:strRef>
          </c:cat>
          <c:val>
            <c:numRef>
              <c:f>Summary!$D$5:$D$14</c:f>
              <c:numCache>
                <c:formatCode>0.0</c:formatCode>
                <c:ptCount val="10"/>
                <c:pt idx="0">
                  <c:v>90.300028999999995</c:v>
                </c:pt>
                <c:pt idx="1">
                  <c:v>87.100044999999994</c:v>
                </c:pt>
                <c:pt idx="2">
                  <c:v>81.100010999999995</c:v>
                </c:pt>
                <c:pt idx="3">
                  <c:v>79.700028000000003</c:v>
                </c:pt>
                <c:pt idx="4">
                  <c:v>79.700012999999984</c:v>
                </c:pt>
                <c:pt idx="5">
                  <c:v>78.90002100000001</c:v>
                </c:pt>
                <c:pt idx="6">
                  <c:v>78.200023999999999</c:v>
                </c:pt>
                <c:pt idx="7">
                  <c:v>74.700056000000018</c:v>
                </c:pt>
                <c:pt idx="8">
                  <c:v>74.000041999999993</c:v>
                </c:pt>
                <c:pt idx="9">
                  <c:v>70.600031999999999</c:v>
                </c:pt>
              </c:numCache>
            </c:numRef>
          </c:val>
          <c:extLst>
            <c:ext xmlns:c16="http://schemas.microsoft.com/office/drawing/2014/chart" uri="{C3380CC4-5D6E-409C-BE32-E72D297353CC}">
              <c16:uniqueId val="{00000000-A0C9-4088-9340-672FDE523C13}"/>
            </c:ext>
          </c:extLst>
        </c:ser>
        <c:dLbls>
          <c:showLegendKey val="0"/>
          <c:showVal val="0"/>
          <c:showCatName val="0"/>
          <c:showSerName val="0"/>
          <c:showPercent val="0"/>
          <c:showBubbleSize val="0"/>
        </c:dLbls>
        <c:gapWidth val="60"/>
        <c:axId val="50010001"/>
        <c:axId val="50010002"/>
      </c:barChart>
      <c:catAx>
        <c:axId val="50010001"/>
        <c:scaling>
          <c:orientation val="maxMin"/>
        </c:scaling>
        <c:delete val="0"/>
        <c:axPos val="l"/>
        <c:numFmt formatCode="General" sourceLinked="1"/>
        <c:majorTickMark val="out"/>
        <c:minorTickMark val="none"/>
        <c:tickLblPos val="nextTo"/>
        <c:spPr>
          <a:ln>
            <a:noFill/>
          </a:ln>
        </c:spPr>
        <c:txPr>
          <a:bodyPr/>
          <a:lstStyle/>
          <a:p>
            <a:pPr>
              <a:defRPr sz="900" baseline="0">
                <a:solidFill>
                  <a:srgbClr val="16302F"/>
                </a:solidFill>
              </a:defRPr>
            </a:pPr>
            <a:endParaRPr lang="en-US"/>
          </a:p>
        </c:txPr>
        <c:crossAx val="50010002"/>
        <c:crosses val="autoZero"/>
        <c:auto val="1"/>
        <c:lblAlgn val="ctr"/>
        <c:lblOffset val="100"/>
        <c:noMultiLvlLbl val="0"/>
      </c:catAx>
      <c:valAx>
        <c:axId val="50010002"/>
        <c:scaling>
          <c:orientation val="minMax"/>
          <c:max val="100"/>
          <c:min val="0"/>
        </c:scaling>
        <c:delete val="0"/>
        <c:axPos val="t"/>
        <c:majorGridlines>
          <c:spPr>
            <a:ln>
              <a:solidFill>
                <a:srgbClr val="D5DEDD"/>
              </a:solidFill>
            </a:ln>
          </c:spPr>
        </c:majorGridlines>
        <c:numFmt formatCode="0.0" sourceLinked="1"/>
        <c:majorTickMark val="out"/>
        <c:minorTickMark val="none"/>
        <c:tickLblPos val="nextTo"/>
        <c:spPr>
          <a:ln>
            <a:noFill/>
          </a:ln>
        </c:spPr>
        <c:txPr>
          <a:bodyPr/>
          <a:lstStyle/>
          <a:p>
            <a:pPr>
              <a:defRPr sz="900" baseline="0">
                <a:solidFill>
                  <a:srgbClr val="5B6B73"/>
                </a:solidFill>
              </a:defRPr>
            </a:pPr>
            <a:endParaRPr lang="en-US"/>
          </a:p>
        </c:txPr>
        <c:crossAx val="50010001"/>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baseline="0">
                <a:solidFill>
                  <a:srgbClr val="16302F"/>
                </a:solidFill>
              </a:defRPr>
            </a:pPr>
            <a:r>
              <a:rPr lang="en-US" sz="1100" b="1" baseline="0">
                <a:solidFill>
                  <a:srgbClr val="16302F"/>
                </a:solidFill>
              </a:rPr>
              <a:t>National spend in the selected area</a:t>
            </a:r>
          </a:p>
        </c:rich>
      </c:tx>
      <c:overlay val="0"/>
    </c:title>
    <c:autoTitleDeleted val="0"/>
    <c:plotArea>
      <c:layout/>
      <c:barChart>
        <c:barDir val="col"/>
        <c:grouping val="clustered"/>
        <c:varyColors val="0"/>
        <c:ser>
          <c:idx val="0"/>
          <c:order val="0"/>
          <c:tx>
            <c:v>National spend</c:v>
          </c:tx>
          <c:spPr>
            <a:solidFill>
              <a:srgbClr val="5B6B73"/>
            </a:solidFill>
          </c:spPr>
          <c:invertIfNegative val="0"/>
          <c:cat>
            <c:numRef>
              <c:f>Summary!$B$25:$B$31</c:f>
              <c:numCache>
                <c:formatCode>General</c:formatCode>
                <c:ptCount val="7"/>
                <c:pt idx="0">
                  <c:v>2019</c:v>
                </c:pt>
                <c:pt idx="1">
                  <c:v>2020</c:v>
                </c:pt>
                <c:pt idx="2">
                  <c:v>2021</c:v>
                </c:pt>
                <c:pt idx="3">
                  <c:v>2022</c:v>
                </c:pt>
                <c:pt idx="4">
                  <c:v>2023</c:v>
                </c:pt>
                <c:pt idx="5">
                  <c:v>2024</c:v>
                </c:pt>
                <c:pt idx="6">
                  <c:v>2025</c:v>
                </c:pt>
              </c:numCache>
            </c:numRef>
          </c:cat>
          <c:val>
            <c:numRef>
              <c:f>Summary!$C$25:$C$31</c:f>
              <c:numCache>
                <c:formatCode>\$#,##0.0,,"M"</c:formatCode>
                <c:ptCount val="7"/>
                <c:pt idx="0">
                  <c:v>73049292884.490005</c:v>
                </c:pt>
                <c:pt idx="1">
                  <c:v>77713603184.529999</c:v>
                </c:pt>
                <c:pt idx="2">
                  <c:v>87883139068.170013</c:v>
                </c:pt>
                <c:pt idx="3">
                  <c:v>100073226793.24001</c:v>
                </c:pt>
                <c:pt idx="4">
                  <c:v>111742371483.99998</c:v>
                </c:pt>
                <c:pt idx="5">
                  <c:v>108317862644.50999</c:v>
                </c:pt>
                <c:pt idx="6">
                  <c:v>116891569122.96001</c:v>
                </c:pt>
              </c:numCache>
            </c:numRef>
          </c:val>
          <c:extLst>
            <c:ext xmlns:c16="http://schemas.microsoft.com/office/drawing/2014/chart" uri="{C3380CC4-5D6E-409C-BE32-E72D297353CC}">
              <c16:uniqueId val="{00000000-39C0-41B3-B094-E24ED339DF91}"/>
            </c:ext>
          </c:extLst>
        </c:ser>
        <c:dLbls>
          <c:showLegendKey val="0"/>
          <c:showVal val="0"/>
          <c:showCatName val="0"/>
          <c:showSerName val="0"/>
          <c:showPercent val="0"/>
          <c:showBubbleSize val="0"/>
        </c:dLbls>
        <c:gapWidth val="50"/>
        <c:axId val="50020001"/>
        <c:axId val="50020002"/>
      </c:barChart>
      <c:catAx>
        <c:axId val="50020001"/>
        <c:scaling>
          <c:orientation val="minMax"/>
        </c:scaling>
        <c:delete val="0"/>
        <c:axPos val="b"/>
        <c:numFmt formatCode="General" sourceLinked="1"/>
        <c:majorTickMark val="out"/>
        <c:minorTickMark val="none"/>
        <c:tickLblPos val="nextTo"/>
        <c:txPr>
          <a:bodyPr/>
          <a:lstStyle/>
          <a:p>
            <a:pPr>
              <a:defRPr sz="900" baseline="0">
                <a:solidFill>
                  <a:srgbClr val="16302F"/>
                </a:solidFill>
              </a:defRPr>
            </a:pPr>
            <a:endParaRPr lang="en-US"/>
          </a:p>
        </c:txPr>
        <c:crossAx val="50020002"/>
        <c:crosses val="autoZero"/>
        <c:auto val="1"/>
        <c:lblAlgn val="ctr"/>
        <c:lblOffset val="100"/>
        <c:noMultiLvlLbl val="0"/>
      </c:catAx>
      <c:valAx>
        <c:axId val="50020002"/>
        <c:scaling>
          <c:orientation val="minMax"/>
        </c:scaling>
        <c:delete val="0"/>
        <c:axPos val="l"/>
        <c:majorGridlines>
          <c:spPr>
            <a:ln>
              <a:solidFill>
                <a:srgbClr val="D5DEDD"/>
              </a:solidFill>
            </a:ln>
          </c:spPr>
        </c:majorGridlines>
        <c:numFmt formatCode="\$#,##0,,,&quot;B&quot;" sourceLinked="0"/>
        <c:majorTickMark val="out"/>
        <c:minorTickMark val="none"/>
        <c:tickLblPos val="nextTo"/>
        <c:spPr>
          <a:ln>
            <a:noFill/>
          </a:ln>
        </c:spPr>
        <c:txPr>
          <a:bodyPr/>
          <a:lstStyle/>
          <a:p>
            <a:pPr>
              <a:defRPr sz="900" baseline="0">
                <a:solidFill>
                  <a:srgbClr val="5B6B73"/>
                </a:solidFill>
              </a:defRPr>
            </a:pPr>
            <a:endParaRPr lang="en-US"/>
          </a:p>
        </c:txPr>
        <c:crossAx val="50020001"/>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714375</xdr:colOff>
      <xdr:row>19</xdr:row>
      <xdr:rowOff>95250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21</xdr:row>
      <xdr:rowOff>0</xdr:rowOff>
    </xdr:from>
    <xdr:to>
      <xdr:col>14</xdr:col>
      <xdr:colOff>714375</xdr:colOff>
      <xdr:row>36</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6B73"/>
  </sheetPr>
  <dimension ref="B1:B23"/>
  <sheetViews>
    <sheetView showGridLines="0" workbookViewId="0"/>
  </sheetViews>
  <sheetFormatPr defaultRowHeight="14.4" x14ac:dyDescent="0.3"/>
  <cols>
    <col min="1" max="1" width="3.6640625" customWidth="1"/>
    <col min="2" max="2" width="110.6640625" customWidth="1"/>
  </cols>
  <sheetData>
    <row r="1" spans="2:2" ht="23.4" x14ac:dyDescent="0.45">
      <c r="B1" s="1" t="s">
        <v>227</v>
      </c>
    </row>
    <row r="2" spans="2:2" x14ac:dyDescent="0.3">
      <c r="B2" s="2" t="s">
        <v>228</v>
      </c>
    </row>
    <row r="4" spans="2:2" x14ac:dyDescent="0.3">
      <c r="B4" s="3" t="s">
        <v>229</v>
      </c>
    </row>
    <row r="5" spans="2:2" ht="61.95" customHeight="1" x14ac:dyDescent="0.3">
      <c r="B5" s="4" t="s">
        <v>230</v>
      </c>
    </row>
    <row r="7" spans="2:2" x14ac:dyDescent="0.3">
      <c r="B7" s="3" t="s">
        <v>231</v>
      </c>
    </row>
    <row r="8" spans="2:2" ht="61.95" customHeight="1" x14ac:dyDescent="0.3">
      <c r="B8" s="4" t="s">
        <v>232</v>
      </c>
    </row>
    <row r="10" spans="2:2" x14ac:dyDescent="0.3">
      <c r="B10" s="3" t="s">
        <v>233</v>
      </c>
    </row>
    <row r="11" spans="2:2" ht="61.95" customHeight="1" x14ac:dyDescent="0.3">
      <c r="B11" s="4" t="s">
        <v>234</v>
      </c>
    </row>
    <row r="13" spans="2:2" x14ac:dyDescent="0.3">
      <c r="B13" s="3" t="s">
        <v>235</v>
      </c>
    </row>
    <row r="14" spans="2:2" ht="61.95" customHeight="1" x14ac:dyDescent="0.3">
      <c r="B14" s="4" t="s">
        <v>236</v>
      </c>
    </row>
    <row r="16" spans="2:2" x14ac:dyDescent="0.3">
      <c r="B16" s="3" t="s">
        <v>237</v>
      </c>
    </row>
    <row r="17" spans="2:2" ht="61.95" customHeight="1" x14ac:dyDescent="0.3">
      <c r="B17" s="4" t="s">
        <v>238</v>
      </c>
    </row>
    <row r="19" spans="2:2" x14ac:dyDescent="0.3">
      <c r="B19" s="3" t="s">
        <v>117</v>
      </c>
    </row>
    <row r="20" spans="2:2" ht="61.95" customHeight="1" x14ac:dyDescent="0.3">
      <c r="B20" s="4" t="s">
        <v>239</v>
      </c>
    </row>
    <row r="22" spans="2:2" x14ac:dyDescent="0.3">
      <c r="B22" s="3" t="s">
        <v>240</v>
      </c>
    </row>
    <row r="23" spans="2:2" ht="61.95" customHeight="1" x14ac:dyDescent="0.3">
      <c r="B23" s="4" t="s">
        <v>241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A8A04"/>
  </sheetPr>
  <dimension ref="B1:H32"/>
  <sheetViews>
    <sheetView showGridLines="0" tabSelected="1" workbookViewId="0"/>
  </sheetViews>
  <sheetFormatPr defaultRowHeight="14.4" x14ac:dyDescent="0.3"/>
  <cols>
    <col min="1" max="1" width="3.6640625" customWidth="1"/>
    <col min="2" max="2" width="44.6640625" customWidth="1"/>
    <col min="3" max="7" width="15.6640625" customWidth="1"/>
    <col min="8" max="8" width="38.6640625" customWidth="1"/>
  </cols>
  <sheetData>
    <row r="1" spans="2:8" ht="23.4" x14ac:dyDescent="0.45">
      <c r="B1" s="1" t="s">
        <v>86</v>
      </c>
    </row>
    <row r="2" spans="2:8" x14ac:dyDescent="0.3">
      <c r="B2" s="2" t="s">
        <v>87</v>
      </c>
    </row>
    <row r="4" spans="2:8" x14ac:dyDescent="0.3">
      <c r="B4" s="5" t="s">
        <v>88</v>
      </c>
    </row>
    <row r="5" spans="2:8" x14ac:dyDescent="0.3">
      <c r="B5" t="s">
        <v>89</v>
      </c>
      <c r="C5" s="6" t="s">
        <v>1</v>
      </c>
      <c r="D5" s="37" t="s">
        <v>90</v>
      </c>
      <c r="E5" s="37"/>
      <c r="F5" s="37"/>
      <c r="G5" s="37"/>
      <c r="H5" s="37"/>
    </row>
    <row r="6" spans="2:8" x14ac:dyDescent="0.3">
      <c r="B6" t="s">
        <v>91</v>
      </c>
      <c r="C6" s="6">
        <v>2025</v>
      </c>
      <c r="D6" s="37" t="s">
        <v>92</v>
      </c>
      <c r="E6" s="37"/>
      <c r="F6" s="37"/>
      <c r="G6" s="37"/>
      <c r="H6" s="37"/>
    </row>
    <row r="7" spans="2:8" x14ac:dyDescent="0.3">
      <c r="B7" t="s">
        <v>93</v>
      </c>
      <c r="C7" s="6">
        <v>3</v>
      </c>
      <c r="D7" s="37" t="s">
        <v>94</v>
      </c>
      <c r="E7" s="37"/>
      <c r="F7" s="37"/>
      <c r="G7" s="37"/>
      <c r="H7" s="37"/>
    </row>
    <row r="8" spans="2:8" x14ac:dyDescent="0.3">
      <c r="B8" t="s">
        <v>95</v>
      </c>
      <c r="C8" s="7">
        <v>1000000</v>
      </c>
      <c r="D8" s="37" t="s">
        <v>96</v>
      </c>
      <c r="E8" s="37"/>
      <c r="F8" s="37"/>
      <c r="G8" s="37"/>
      <c r="H8" s="37"/>
    </row>
    <row r="10" spans="2:8" x14ac:dyDescent="0.3">
      <c r="B10" s="5" t="s">
        <v>97</v>
      </c>
    </row>
    <row r="11" spans="2:8" x14ac:dyDescent="0.3">
      <c r="B11" t="s">
        <v>98</v>
      </c>
      <c r="C11" s="8">
        <v>0.08</v>
      </c>
      <c r="D11" s="37" t="s">
        <v>99</v>
      </c>
      <c r="E11" s="37"/>
      <c r="F11" s="37"/>
      <c r="G11" s="37"/>
      <c r="H11" s="37"/>
    </row>
    <row r="12" spans="2:8" x14ac:dyDescent="0.3">
      <c r="B12" t="s">
        <v>100</v>
      </c>
      <c r="C12" s="6">
        <v>10</v>
      </c>
      <c r="D12" s="37" t="s">
        <v>102</v>
      </c>
      <c r="E12" s="37"/>
      <c r="F12" s="37"/>
      <c r="G12" s="37"/>
      <c r="H12" s="37"/>
    </row>
    <row r="13" spans="2:8" x14ac:dyDescent="0.3">
      <c r="B13" t="s">
        <v>101</v>
      </c>
      <c r="C13" s="6">
        <v>20</v>
      </c>
    </row>
    <row r="15" spans="2:8" x14ac:dyDescent="0.3">
      <c r="B15" s="5" t="s">
        <v>103</v>
      </c>
    </row>
    <row r="16" spans="2:8" ht="19.95" customHeight="1" x14ac:dyDescent="0.3">
      <c r="B16" s="9" t="s">
        <v>104</v>
      </c>
      <c r="C16" s="9" t="s">
        <v>21</v>
      </c>
      <c r="D16" s="9" t="s">
        <v>22</v>
      </c>
      <c r="E16" s="9" t="s">
        <v>23</v>
      </c>
      <c r="F16" s="9" t="s">
        <v>24</v>
      </c>
      <c r="G16" s="9" t="s">
        <v>105</v>
      </c>
    </row>
    <row r="17" spans="2:8" x14ac:dyDescent="0.3">
      <c r="B17" s="10" t="s">
        <v>108</v>
      </c>
      <c r="C17" s="11">
        <v>0.35</v>
      </c>
      <c r="D17" s="11">
        <v>0.2</v>
      </c>
      <c r="E17" s="11">
        <v>0.55000000000000004</v>
      </c>
      <c r="F17" s="8">
        <v>0.25</v>
      </c>
      <c r="G17" s="12">
        <f>INDEX(C17:F17,MATCH($C$22,$C$16:$F$16,0))</f>
        <v>0.35</v>
      </c>
    </row>
    <row r="18" spans="2:8" x14ac:dyDescent="0.3">
      <c r="B18" s="10" t="s">
        <v>109</v>
      </c>
      <c r="C18" s="11">
        <v>0.25</v>
      </c>
      <c r="D18" s="11">
        <v>0.45</v>
      </c>
      <c r="E18" s="11">
        <v>0.1</v>
      </c>
      <c r="F18" s="8">
        <v>0.25</v>
      </c>
      <c r="G18" s="12">
        <f>INDEX(C18:F18,MATCH($C$22,$C$16:$F$16,0))</f>
        <v>0.25</v>
      </c>
    </row>
    <row r="19" spans="2:8" x14ac:dyDescent="0.3">
      <c r="B19" s="10" t="s">
        <v>110</v>
      </c>
      <c r="C19" s="11">
        <v>0.2</v>
      </c>
      <c r="D19" s="11">
        <v>0.2</v>
      </c>
      <c r="E19" s="11">
        <v>0.2</v>
      </c>
      <c r="F19" s="8">
        <v>0.25</v>
      </c>
      <c r="G19" s="12">
        <f>INDEX(C19:F19,MATCH($C$22,$C$16:$F$16,0))</f>
        <v>0.2</v>
      </c>
    </row>
    <row r="20" spans="2:8" x14ac:dyDescent="0.3">
      <c r="B20" s="10" t="s">
        <v>111</v>
      </c>
      <c r="C20" s="11">
        <v>0.2</v>
      </c>
      <c r="D20" s="11">
        <v>0.15</v>
      </c>
      <c r="E20" s="11">
        <v>0.15</v>
      </c>
      <c r="F20" s="8">
        <v>0.25</v>
      </c>
      <c r="G20" s="12">
        <f>INDEX(C20:F20,MATCH($C$22,$C$16:$F$16,0))</f>
        <v>0.2</v>
      </c>
    </row>
    <row r="21" spans="2:8" x14ac:dyDescent="0.3">
      <c r="B21" s="13" t="s">
        <v>112</v>
      </c>
      <c r="C21" s="14">
        <f>SUM(C17:C20)</f>
        <v>1</v>
      </c>
      <c r="D21" s="14">
        <f>SUM(D17:D20)</f>
        <v>1</v>
      </c>
      <c r="E21" s="14">
        <f>SUM(E17:E20)</f>
        <v>1</v>
      </c>
      <c r="F21" s="14">
        <f>SUM(F17:F20)</f>
        <v>1</v>
      </c>
      <c r="G21" s="14">
        <f>SUM(G17:G20)</f>
        <v>1</v>
      </c>
      <c r="H21" s="15" t="str">
        <f>IF(ROUND(G21,6)=1,"OK","Weights in use do not add to 100%: scores are not comparable")</f>
        <v>OK</v>
      </c>
    </row>
    <row r="22" spans="2:8" x14ac:dyDescent="0.3">
      <c r="B22" s="3" t="s">
        <v>106</v>
      </c>
      <c r="C22" s="6" t="s">
        <v>21</v>
      </c>
      <c r="D22" s="37" t="s">
        <v>107</v>
      </c>
      <c r="E22" s="37"/>
      <c r="F22" s="37"/>
      <c r="G22" s="37"/>
      <c r="H22" s="37"/>
    </row>
    <row r="24" spans="2:8" x14ac:dyDescent="0.3">
      <c r="B24" s="5" t="s">
        <v>113</v>
      </c>
    </row>
    <row r="25" spans="2:8" x14ac:dyDescent="0.3">
      <c r="B25" t="s">
        <v>114</v>
      </c>
      <c r="C25" s="16">
        <f>SUMIFS(National!$C$2:$C$120,National!$A$2:$A$120,$C$6,National!$B$2:$B$120,IF($C$5="All areas","*",$C$5))</f>
        <v>116891569122.96001</v>
      </c>
    </row>
    <row r="26" spans="2:8" x14ac:dyDescent="0.3">
      <c r="B26" t="s">
        <v>115</v>
      </c>
      <c r="C26" s="16">
        <f>SUM(Scorecard!D7:D57)</f>
        <v>107100132037.68001</v>
      </c>
    </row>
    <row r="27" spans="2:8" ht="30" customHeight="1" x14ac:dyDescent="0.3">
      <c r="B27" t="s">
        <v>116</v>
      </c>
      <c r="C27" s="17">
        <f>IF(C25&gt;0,C26/C25,0)</f>
        <v>0.91623487340665055</v>
      </c>
      <c r="D27" s="38" t="str">
        <f>IF(C27&lt;0.85,"Low coverage: the source blanks small cells in state rows, so state totals understate this area. Treat ranks with care.","Coverage is usual for this source (state rows miss the small cells the source blanks).")</f>
        <v>Coverage is usual for this source (state rows miss the small cells the source blanks).</v>
      </c>
      <c r="E27" s="37"/>
      <c r="F27" s="37"/>
      <c r="G27" s="37"/>
      <c r="H27" s="37"/>
    </row>
    <row r="29" spans="2:8" x14ac:dyDescent="0.3">
      <c r="B29" s="5" t="s">
        <v>117</v>
      </c>
    </row>
    <row r="30" spans="2:8" x14ac:dyDescent="0.3">
      <c r="B30" t="s">
        <v>118</v>
      </c>
      <c r="C30" s="6" t="s">
        <v>119</v>
      </c>
      <c r="D30" s="37" t="s">
        <v>120</v>
      </c>
      <c r="E30" s="37"/>
      <c r="F30" s="37"/>
      <c r="G30" s="37"/>
      <c r="H30" s="37"/>
    </row>
    <row r="31" spans="2:8" ht="30" customHeight="1" x14ac:dyDescent="0.3">
      <c r="B31" t="s">
        <v>121</v>
      </c>
      <c r="C31" s="8">
        <v>0.25</v>
      </c>
      <c r="D31" s="37" t="s">
        <v>122</v>
      </c>
      <c r="E31" s="37"/>
      <c r="F31" s="37"/>
      <c r="G31" s="37"/>
      <c r="H31" s="37"/>
    </row>
    <row r="32" spans="2:8" x14ac:dyDescent="0.3">
      <c r="B32" t="s">
        <v>123</v>
      </c>
      <c r="C32" s="8">
        <v>0.4</v>
      </c>
      <c r="D32" s="37" t="s">
        <v>124</v>
      </c>
      <c r="E32" s="37"/>
      <c r="F32" s="37"/>
      <c r="G32" s="37"/>
      <c r="H32" s="37"/>
    </row>
  </sheetData>
  <mergeCells count="11">
    <mergeCell ref="D32:H32"/>
    <mergeCell ref="D12:H12"/>
    <mergeCell ref="D22:H22"/>
    <mergeCell ref="D27:H27"/>
    <mergeCell ref="D30:H30"/>
    <mergeCell ref="D31:H31"/>
    <mergeCell ref="D5:H5"/>
    <mergeCell ref="D6:H6"/>
    <mergeCell ref="D7:H7"/>
    <mergeCell ref="D8:H8"/>
    <mergeCell ref="D11:H11"/>
  </mergeCells>
  <conditionalFormatting sqref="H21">
    <cfRule type="cellIs" dxfId="5" priority="1" operator="equal">
      <formula>"OK"</formula>
    </cfRule>
  </conditionalFormatting>
  <dataValidations count="4">
    <dataValidation type="whole" allowBlank="1" showInputMessage="1" showErrorMessage="1" errorTitle="Look-back" error="Choose 1 to 5 years." sqref="C7" xr:uid="{00000000-0002-0000-0100-000002000000}">
      <formula1>1</formula1>
      <formula2>5</formula2>
    </dataValidation>
    <dataValidation type="decimal" allowBlank="1" showInputMessage="1" showErrorMessage="1" sqref="C11" xr:uid="{00000000-0002-0000-0100-000003000000}">
      <formula1>-0.5</formula1>
      <formula2>1</formula2>
    </dataValidation>
    <dataValidation type="whole" allowBlank="1" showInputMessage="1" showErrorMessage="1" sqref="C12:C13" xr:uid="{00000000-0002-0000-0100-000004000000}">
      <formula1>1</formula1>
      <formula2>50</formula2>
    </dataValidation>
    <dataValidation type="list" allowBlank="1" showInputMessage="1" showErrorMessage="1" sqref="C30" xr:uid="{00000000-0002-0000-0100-000006000000}">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Lists!$A$2:$A$19</xm:f>
          </x14:formula1>
          <xm:sqref>C5</xm:sqref>
        </x14:dataValidation>
        <x14:dataValidation type="list" allowBlank="1" showInputMessage="1" showErrorMessage="1" xr:uid="{00000000-0002-0000-0100-000001000000}">
          <x14:formula1>
            <xm:f>Lists!$C$2:$C$8</xm:f>
          </x14:formula1>
          <xm:sqref>C6</xm:sqref>
        </x14:dataValidation>
        <x14:dataValidation type="list" allowBlank="1" showInputMessage="1" showErrorMessage="1" xr:uid="{00000000-0002-0000-0100-000005000000}">
          <x14:formula1>
            <xm:f>Lists!$E$2:$E$5</xm:f>
          </x14:formula1>
          <xm:sqref>C22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X58"/>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6.6640625" customWidth="1"/>
    <col min="2" max="2" width="20.6640625" customWidth="1"/>
    <col min="3" max="3" width="11.6640625" customWidth="1"/>
    <col min="4" max="5" width="13.6640625" customWidth="1"/>
    <col min="6" max="7" width="10.6640625" customWidth="1"/>
    <col min="8" max="8" width="13.6640625" customWidth="1"/>
    <col min="9" max="10" width="12.6640625" customWidth="1"/>
    <col min="11" max="14" width="9.6640625" customWidth="1"/>
    <col min="15" max="15" width="11.6640625" customWidth="1"/>
    <col min="16" max="17" width="7.6640625" customWidth="1"/>
    <col min="18" max="20" width="12.6640625" customWidth="1"/>
    <col min="21" max="23" width="11.6640625" customWidth="1"/>
    <col min="24" max="24" width="10.6640625" customWidth="1"/>
  </cols>
  <sheetData>
    <row r="1" spans="1:24" ht="23.4" x14ac:dyDescent="0.45">
      <c r="A1" s="1" t="s">
        <v>125</v>
      </c>
    </row>
    <row r="2" spans="1:24" x14ac:dyDescent="0.3">
      <c r="A2" s="2" t="str">
        <f>"Scoring "&amp;sel_area&amp;" in "&amp;sel_year&amp;": growth over "&amp;sel_lookback&amp;" year(s), weights: "&amp;Inputs!$C$22</f>
        <v>Scoring All areas in 2025: growth over 3 year(s), weights: Balanced</v>
      </c>
    </row>
    <row r="3" spans="1:24" x14ac:dyDescent="0.3">
      <c r="A3" s="2" t="s">
        <v>126</v>
      </c>
    </row>
    <row r="6" spans="1:24" ht="34.049999999999997" customHeight="1" x14ac:dyDescent="0.3">
      <c r="A6" s="9"/>
      <c r="B6" s="18" t="s">
        <v>127</v>
      </c>
      <c r="C6" s="18" t="s">
        <v>128</v>
      </c>
      <c r="D6" s="18" t="s">
        <v>129</v>
      </c>
      <c r="E6" s="18" t="s">
        <v>130</v>
      </c>
      <c r="F6" s="18" t="s">
        <v>131</v>
      </c>
      <c r="G6" s="18" t="s">
        <v>132</v>
      </c>
      <c r="H6" s="18" t="s">
        <v>133</v>
      </c>
      <c r="I6" s="18" t="s">
        <v>134</v>
      </c>
      <c r="J6" s="18" t="s">
        <v>135</v>
      </c>
      <c r="K6" s="18" t="s">
        <v>136</v>
      </c>
      <c r="L6" s="18" t="s">
        <v>137</v>
      </c>
      <c r="M6" s="18" t="s">
        <v>138</v>
      </c>
      <c r="N6" s="18" t="s">
        <v>139</v>
      </c>
      <c r="O6" s="18" t="s">
        <v>140</v>
      </c>
      <c r="P6" s="18" t="s">
        <v>141</v>
      </c>
      <c r="Q6" s="18" t="s">
        <v>142</v>
      </c>
      <c r="R6" s="18" t="s">
        <v>143</v>
      </c>
      <c r="S6" s="18" t="s">
        <v>144</v>
      </c>
      <c r="T6" s="18" t="s">
        <v>145</v>
      </c>
      <c r="U6" s="18" t="s">
        <v>146</v>
      </c>
      <c r="V6" s="18" t="s">
        <v>147</v>
      </c>
      <c r="W6" s="18" t="s">
        <v>148</v>
      </c>
      <c r="X6" s="18" t="s">
        <v>149</v>
      </c>
    </row>
    <row r="7" spans="1:24" x14ac:dyDescent="0.3">
      <c r="A7" s="10" t="s">
        <v>32</v>
      </c>
      <c r="B7" s="10" t="s">
        <v>150</v>
      </c>
      <c r="C7" s="10" t="s">
        <v>151</v>
      </c>
      <c r="D7" s="16">
        <f>SUMIFS(Data!$D$2:$D$6070,Data!$A$2:$A$6070,$A7,Data!$B$2:$B$6070,sel_year,Data!$C$2:$C$6070,IF(sel_area="All areas","*",sel_area))</f>
        <v>1037962065.95</v>
      </c>
      <c r="E7" s="16">
        <f>SUMIFS(Data!$D$2:$D$6070,Data!$A$2:$A$6070,$A7,Data!$B$2:$B$6070,sel_year-sel_lookback,Data!$C$2:$C$6070,IF(sel_area="All areas","*",sel_area))</f>
        <v>1056415379.8100003</v>
      </c>
      <c r="F7" s="17">
        <f t="shared" ref="F7:F38" si="0">IF(E7&gt;0,(D7/E7)^(1/sel_lookback)-1,"")</f>
        <v>-5.8568551216950926E-3</v>
      </c>
      <c r="G7" s="17">
        <f t="shared" ref="G7:G38" si="1">IF(AND(E7&gt;=min_base,ISNUMBER(F7),NOT(AND(neutralise="Yes",X7="Check"))),F7,MEDIAN($F$7:$F$57))</f>
        <v>-5.8568551216950926E-3</v>
      </c>
      <c r="H7" s="19">
        <f>SUMIFS(Enrollment!$C$2:$C$358,Enrollment!$A$2:$A$358,$A7,Enrollment!$B$2:$B$358,sel_year)</f>
        <v>950188</v>
      </c>
      <c r="I7" s="20">
        <f t="shared" ref="I7:I38" si="2">IF(H7&gt;0,D7/H7,0)</f>
        <v>1092.3754730116566</v>
      </c>
      <c r="J7" s="17">
        <f>IF(D7&gt;0,SUMIFS(Data!$F$2:$F$6070,Data!$A$2:$A$6070,$A7,Data!$B$2:$B$6070,sel_year,Data!$C$2:$C$6070,IF(sel_area="All areas","*",sel_area))/D7,0)</f>
        <v>0.87096344026078143</v>
      </c>
      <c r="K7" s="21">
        <f t="shared" ref="K7:K38" si="3">_xlfn.PERCENTRANK.INC($D$7:$D$57,D7)</f>
        <v>0.5</v>
      </c>
      <c r="L7" s="21">
        <f t="shared" ref="L7:L38" si="4">_xlfn.PERCENTRANK.INC($G$7:$G$57,G7)</f>
        <v>0.28000000000000003</v>
      </c>
      <c r="M7" s="21">
        <f t="shared" ref="M7:M38" si="5">_xlfn.PERCENTRANK.INC($I$7:$I$57,I7)</f>
        <v>0.34</v>
      </c>
      <c r="N7" s="21">
        <f t="shared" ref="N7:N38" si="6">_xlfn.PERCENTRANK.INC($J$7:$J$57,J7)</f>
        <v>0.34</v>
      </c>
      <c r="O7" s="22">
        <f t="shared" ref="O7:O38" si="7">100*(w_size*K7+w_growth*L7+w_intensity*M7+w_brand*N7)+ROW()/1000000</f>
        <v>38.100006999999998</v>
      </c>
      <c r="P7" s="23">
        <f t="shared" ref="P7:P38" si="8">_xlfn.RANK.EQ(O7,$O$7:$O$57)</f>
        <v>37</v>
      </c>
      <c r="Q7" s="24" t="str">
        <f t="shared" ref="Q7:Q38" si="9">IF(P7&lt;=tier_a,"A",IF(P7&lt;=tier_a+tier_b,"B","C"))</f>
        <v>C</v>
      </c>
      <c r="R7" s="25">
        <f t="shared" ref="R7:R38" si="10">O7*D7</f>
        <v>39546361978.429459</v>
      </c>
      <c r="S7" s="16">
        <f t="shared" ref="S7:S38" si="11">D7+SUM($D$7:$D$57)*target_growth*R7/SUM($R$7:$R$57)</f>
        <v>1086195827.223772</v>
      </c>
      <c r="T7" s="17">
        <f t="shared" ref="T7:T38" si="12">IF(D7&gt;0,S7/D7-1,"")</f>
        <v>4.6469676355296974E-2</v>
      </c>
      <c r="U7" s="26">
        <f>SUMIFS(Flags!$C$2:$C$358,Flags!$A$2:$A$358,$A7,Flags!$B$2:$B$358,sel_year)</f>
        <v>1</v>
      </c>
      <c r="V7" s="26">
        <f>SUMIFS(Flags!$C$2:$C$358,Flags!$A$2:$A$358,$A7,Flags!$B$2:$B$358,sel_year-sel_lookback)</f>
        <v>1</v>
      </c>
      <c r="W7" s="26">
        <f>_xlfn.MAXIFS(Flags!$E$2:$E$358,Flags!$A$2:$A$358,$A7,Flags!$B$2:$B$358,"&gt;"&amp;(sel_year-sel_lookback),Flags!$B$2:$B$358,"&lt;="&amp;sel_year)</f>
        <v>6.8699999999999997E-2</v>
      </c>
      <c r="X7" s="27" t="str">
        <f t="shared" ref="X7:X38" si="13">IF(OR(ABS(U7-V7)&gt;=ffs_thr,W7&gt;=swing_thr),"Check","")</f>
        <v/>
      </c>
    </row>
    <row r="8" spans="1:24" x14ac:dyDescent="0.3">
      <c r="A8" s="10" t="s">
        <v>31</v>
      </c>
      <c r="B8" s="10" t="s">
        <v>152</v>
      </c>
      <c r="C8" s="10" t="s">
        <v>153</v>
      </c>
      <c r="D8" s="16">
        <f>SUMIFS(Data!$D$2:$D$6070,Data!$A$2:$A$6070,$A8,Data!$B$2:$B$6070,sel_year,Data!$C$2:$C$6070,IF(sel_area="All areas","*",sel_area))</f>
        <v>212515052.44999996</v>
      </c>
      <c r="E8" s="16">
        <f>SUMIFS(Data!$D$2:$D$6070,Data!$A$2:$A$6070,$A8,Data!$B$2:$B$6070,sel_year-sel_lookback,Data!$C$2:$C$6070,IF(sel_area="All areas","*",sel_area))</f>
        <v>215263006.78999999</v>
      </c>
      <c r="F8" s="17">
        <f t="shared" si="0"/>
        <v>-4.2734251550660129E-3</v>
      </c>
      <c r="G8" s="17">
        <f t="shared" si="1"/>
        <v>-4.2734251550660129E-3</v>
      </c>
      <c r="H8" s="19">
        <f>SUMIFS(Enrollment!$C$2:$C$358,Enrollment!$A$2:$A$358,$A8,Enrollment!$B$2:$B$358,sel_year)</f>
        <v>226314</v>
      </c>
      <c r="I8" s="20">
        <f t="shared" si="2"/>
        <v>939.02742406567847</v>
      </c>
      <c r="J8" s="17">
        <f>IF(D8&gt;0,SUMIFS(Data!$F$2:$F$6070,Data!$A$2:$A$6070,$A8,Data!$B$2:$B$6070,sel_year,Data!$C$2:$C$6070,IF(sel_area="All areas","*",sel_area))/D8,0)</f>
        <v>0.86308230327898394</v>
      </c>
      <c r="K8" s="21">
        <f t="shared" si="3"/>
        <v>0.06</v>
      </c>
      <c r="L8" s="21">
        <f t="shared" si="4"/>
        <v>0.3</v>
      </c>
      <c r="M8" s="21">
        <f t="shared" si="5"/>
        <v>0.16</v>
      </c>
      <c r="N8" s="21">
        <f t="shared" si="6"/>
        <v>0.22</v>
      </c>
      <c r="O8" s="22">
        <f t="shared" si="7"/>
        <v>17.200008000000004</v>
      </c>
      <c r="P8" s="23">
        <f t="shared" si="8"/>
        <v>48</v>
      </c>
      <c r="Q8" s="24" t="str">
        <f t="shared" si="9"/>
        <v>C</v>
      </c>
      <c r="R8" s="25">
        <f t="shared" si="10"/>
        <v>3655260602.2604198</v>
      </c>
      <c r="S8" s="16">
        <f t="shared" si="11"/>
        <v>216973287.25245839</v>
      </c>
      <c r="T8" s="17">
        <f t="shared" si="12"/>
        <v>2.0978442472950665E-2</v>
      </c>
      <c r="U8" s="26">
        <f>SUMIFS(Flags!$C$2:$C$358,Flags!$A$2:$A$358,$A8,Flags!$B$2:$B$358,sel_year)</f>
        <v>0.99990000000000001</v>
      </c>
      <c r="V8" s="26">
        <f>SUMIFS(Flags!$C$2:$C$358,Flags!$A$2:$A$358,$A8,Flags!$B$2:$B$358,sel_year-sel_lookback)</f>
        <v>1</v>
      </c>
      <c r="W8" s="26">
        <f>_xlfn.MAXIFS(Flags!$E$2:$E$358,Flags!$A$2:$A$358,$A8,Flags!$B$2:$B$358,"&gt;"&amp;(sel_year-sel_lookback),Flags!$B$2:$B$358,"&lt;="&amp;sel_year)</f>
        <v>2.18E-2</v>
      </c>
      <c r="X8" s="27" t="str">
        <f t="shared" si="13"/>
        <v/>
      </c>
    </row>
    <row r="9" spans="1:24" x14ac:dyDescent="0.3">
      <c r="A9" s="10" t="s">
        <v>34</v>
      </c>
      <c r="B9" s="10" t="s">
        <v>154</v>
      </c>
      <c r="C9" s="10" t="s">
        <v>153</v>
      </c>
      <c r="D9" s="16">
        <f>SUMIFS(Data!$D$2:$D$6070,Data!$A$2:$A$6070,$A9,Data!$B$2:$B$6070,sel_year,Data!$C$2:$C$6070,IF(sel_area="All areas","*",sel_area))</f>
        <v>2057285030.7199998</v>
      </c>
      <c r="E9" s="16">
        <f>SUMIFS(Data!$D$2:$D$6070,Data!$A$2:$A$6070,$A9,Data!$B$2:$B$6070,sel_year-sel_lookback,Data!$C$2:$C$6070,IF(sel_area="All areas","*",sel_area))</f>
        <v>1979342356.8299999</v>
      </c>
      <c r="F9" s="17">
        <f t="shared" si="0"/>
        <v>1.2957402548823937E-2</v>
      </c>
      <c r="G9" s="17">
        <f t="shared" si="1"/>
        <v>1.2957402548823937E-2</v>
      </c>
      <c r="H9" s="19">
        <f>SUMIFS(Enrollment!$C$2:$C$358,Enrollment!$A$2:$A$358,$A9,Enrollment!$B$2:$B$358,sel_year)</f>
        <v>1784205</v>
      </c>
      <c r="I9" s="20">
        <f t="shared" si="2"/>
        <v>1153.0541785949483</v>
      </c>
      <c r="J9" s="17">
        <f>IF(D9&gt;0,SUMIFS(Data!$F$2:$F$6070,Data!$A$2:$A$6070,$A9,Data!$B$2:$B$6070,sel_year,Data!$C$2:$C$6070,IF(sel_area="All areas","*",sel_area))/D9,0)</f>
        <v>0.89102936670299837</v>
      </c>
      <c r="K9" s="21">
        <f t="shared" si="3"/>
        <v>0.7</v>
      </c>
      <c r="L9" s="21">
        <f t="shared" si="4"/>
        <v>0.48</v>
      </c>
      <c r="M9" s="21">
        <f t="shared" si="5"/>
        <v>0.44</v>
      </c>
      <c r="N9" s="21">
        <f t="shared" si="6"/>
        <v>0.56000000000000005</v>
      </c>
      <c r="O9" s="22">
        <f t="shared" si="7"/>
        <v>56.500009000000006</v>
      </c>
      <c r="P9" s="23">
        <f t="shared" si="8"/>
        <v>18</v>
      </c>
      <c r="Q9" s="24" t="str">
        <f t="shared" si="9"/>
        <v>B</v>
      </c>
      <c r="R9" s="25">
        <f t="shared" si="10"/>
        <v>116236622751.24527</v>
      </c>
      <c r="S9" s="16">
        <f t="shared" si="11"/>
        <v>2199056087.084455</v>
      </c>
      <c r="T9" s="17">
        <f t="shared" si="12"/>
        <v>6.8911723094995159E-2</v>
      </c>
      <c r="U9" s="26">
        <f>SUMIFS(Flags!$C$2:$C$358,Flags!$A$2:$A$358,$A9,Flags!$B$2:$B$358,sel_year)</f>
        <v>2.8199999999999999E-2</v>
      </c>
      <c r="V9" s="26">
        <f>SUMIFS(Flags!$C$2:$C$358,Flags!$A$2:$A$358,$A9,Flags!$B$2:$B$358,sel_year-sel_lookback)</f>
        <v>1.7500000000000002E-2</v>
      </c>
      <c r="W9" s="26">
        <f>_xlfn.MAXIFS(Flags!$E$2:$E$358,Flags!$A$2:$A$358,$A9,Flags!$B$2:$B$358,"&gt;"&amp;(sel_year-sel_lookback),Flags!$B$2:$B$358,"&lt;="&amp;sel_year)</f>
        <v>3.2500000000000001E-2</v>
      </c>
      <c r="X9" s="27" t="str">
        <f t="shared" si="13"/>
        <v/>
      </c>
    </row>
    <row r="10" spans="1:24" x14ac:dyDescent="0.3">
      <c r="A10" s="10" t="s">
        <v>33</v>
      </c>
      <c r="B10" s="10" t="s">
        <v>155</v>
      </c>
      <c r="C10" s="10" t="s">
        <v>151</v>
      </c>
      <c r="D10" s="16">
        <f>SUMIFS(Data!$D$2:$D$6070,Data!$A$2:$A$6070,$A10,Data!$B$2:$B$6070,sel_year,Data!$C$2:$C$6070,IF(sel_area="All areas","*",sel_area))</f>
        <v>499129548.09000003</v>
      </c>
      <c r="E10" s="16">
        <f>SUMIFS(Data!$D$2:$D$6070,Data!$A$2:$A$6070,$A10,Data!$B$2:$B$6070,sel_year-sel_lookback,Data!$C$2:$C$6070,IF(sel_area="All areas","*",sel_area))</f>
        <v>520586309.15999997</v>
      </c>
      <c r="F10" s="17">
        <f t="shared" si="0"/>
        <v>-1.3932043660251026E-2</v>
      </c>
      <c r="G10" s="17">
        <f t="shared" si="1"/>
        <v>-1.3932043660251026E-2</v>
      </c>
      <c r="H10" s="19">
        <f>SUMIFS(Enrollment!$C$2:$C$358,Enrollment!$A$2:$A$358,$A10,Enrollment!$B$2:$B$358,sel_year)</f>
        <v>818490</v>
      </c>
      <c r="I10" s="20">
        <f t="shared" si="2"/>
        <v>609.81752750797204</v>
      </c>
      <c r="J10" s="17">
        <f>IF(D10&gt;0,SUMIFS(Data!$F$2:$F$6070,Data!$A$2:$A$6070,$A10,Data!$B$2:$B$6070,sel_year,Data!$C$2:$C$6070,IF(sel_area="All areas","*",sel_area))/D10,0)</f>
        <v>0.84089997636108493</v>
      </c>
      <c r="K10" s="21">
        <f t="shared" si="3"/>
        <v>0.24</v>
      </c>
      <c r="L10" s="21">
        <f t="shared" si="4"/>
        <v>0.2</v>
      </c>
      <c r="M10" s="21">
        <f t="shared" si="5"/>
        <v>0</v>
      </c>
      <c r="N10" s="21">
        <f t="shared" si="6"/>
        <v>0.1</v>
      </c>
      <c r="O10" s="22">
        <f t="shared" si="7"/>
        <v>15.400010000000002</v>
      </c>
      <c r="P10" s="23">
        <f t="shared" si="8"/>
        <v>49</v>
      </c>
      <c r="Q10" s="24" t="str">
        <f t="shared" si="9"/>
        <v>C</v>
      </c>
      <c r="R10" s="25">
        <f t="shared" si="10"/>
        <v>7686600031.8814821</v>
      </c>
      <c r="S10" s="16">
        <f t="shared" si="11"/>
        <v>508504712.1353544</v>
      </c>
      <c r="T10" s="17">
        <f t="shared" si="12"/>
        <v>1.8783027535095753E-2</v>
      </c>
      <c r="U10" s="26">
        <f>SUMIFS(Flags!$C$2:$C$358,Flags!$A$2:$A$358,$A10,Flags!$B$2:$B$358,sel_year)</f>
        <v>0.82140000000000002</v>
      </c>
      <c r="V10" s="26">
        <f>SUMIFS(Flags!$C$2:$C$358,Flags!$A$2:$A$358,$A10,Flags!$B$2:$B$358,sel_year-sel_lookback)</f>
        <v>0.80910000000000004</v>
      </c>
      <c r="W10" s="26">
        <f>_xlfn.MAXIFS(Flags!$E$2:$E$358,Flags!$A$2:$A$358,$A10,Flags!$B$2:$B$358,"&gt;"&amp;(sel_year-sel_lookback),Flags!$B$2:$B$358,"&lt;="&amp;sel_year)</f>
        <v>0.12330000000000001</v>
      </c>
      <c r="X10" s="27" t="str">
        <f t="shared" si="13"/>
        <v/>
      </c>
    </row>
    <row r="11" spans="1:24" x14ac:dyDescent="0.3">
      <c r="A11" s="10" t="s">
        <v>35</v>
      </c>
      <c r="B11" s="10" t="s">
        <v>156</v>
      </c>
      <c r="C11" s="10" t="s">
        <v>153</v>
      </c>
      <c r="D11" s="16">
        <f>SUMIFS(Data!$D$2:$D$6070,Data!$A$2:$A$6070,$A11,Data!$B$2:$B$6070,sel_year,Data!$C$2:$C$6070,IF(sel_area="All areas","*",sel_area))</f>
        <v>18272383687.549999</v>
      </c>
      <c r="E11" s="16">
        <f>SUMIFS(Data!$D$2:$D$6070,Data!$A$2:$A$6070,$A11,Data!$B$2:$B$6070,sel_year-sel_lookback,Data!$C$2:$C$6070,IF(sel_area="All areas","*",sel_area))</f>
        <v>12155365049.039999</v>
      </c>
      <c r="F11" s="17">
        <f t="shared" si="0"/>
        <v>0.14553685630487134</v>
      </c>
      <c r="G11" s="17">
        <f t="shared" si="1"/>
        <v>0.14553685630487134</v>
      </c>
      <c r="H11" s="19">
        <f>SUMIFS(Enrollment!$C$2:$C$358,Enrollment!$A$2:$A$358,$A11,Enrollment!$B$2:$B$358,sel_year)</f>
        <v>13275327</v>
      </c>
      <c r="I11" s="20">
        <f t="shared" si="2"/>
        <v>1376.4168436340588</v>
      </c>
      <c r="J11" s="17">
        <f>IF(D11&gt;0,SUMIFS(Data!$F$2:$F$6070,Data!$A$2:$A$6070,$A11,Data!$B$2:$B$6070,sel_year,Data!$C$2:$C$6070,IF(sel_area="All areas","*",sel_area))/D11,0)</f>
        <v>0.88826814420435662</v>
      </c>
      <c r="K11" s="21">
        <f t="shared" si="3"/>
        <v>1</v>
      </c>
      <c r="L11" s="21">
        <f t="shared" si="4"/>
        <v>0.98</v>
      </c>
      <c r="M11" s="21">
        <f t="shared" si="5"/>
        <v>0.56000000000000005</v>
      </c>
      <c r="N11" s="21">
        <f t="shared" si="6"/>
        <v>0.52</v>
      </c>
      <c r="O11" s="22">
        <f t="shared" si="7"/>
        <v>81.100010999999995</v>
      </c>
      <c r="P11" s="23">
        <f t="shared" si="8"/>
        <v>3</v>
      </c>
      <c r="Q11" s="24" t="str">
        <f t="shared" si="9"/>
        <v>A</v>
      </c>
      <c r="R11" s="25">
        <f t="shared" si="10"/>
        <v>1481890518056.5254</v>
      </c>
      <c r="S11" s="16">
        <f t="shared" si="11"/>
        <v>20079810462.25034</v>
      </c>
      <c r="T11" s="17">
        <f t="shared" si="12"/>
        <v>9.8915763022852987E-2</v>
      </c>
      <c r="U11" s="26">
        <f>SUMIFS(Flags!$C$2:$C$358,Flags!$A$2:$A$358,$A11,Flags!$B$2:$B$358,sel_year)</f>
        <v>0.96260000000000001</v>
      </c>
      <c r="V11" s="26">
        <f>SUMIFS(Flags!$C$2:$C$358,Flags!$A$2:$A$358,$A11,Flags!$B$2:$B$358,sel_year-sel_lookback)</f>
        <v>0.9194</v>
      </c>
      <c r="W11" s="26">
        <f>_xlfn.MAXIFS(Flags!$E$2:$E$358,Flags!$A$2:$A$358,$A11,Flags!$B$2:$B$358,"&gt;"&amp;(sel_year-sel_lookback),Flags!$B$2:$B$358,"&lt;="&amp;sel_year)</f>
        <v>0.2319</v>
      </c>
      <c r="X11" s="27" t="str">
        <f t="shared" si="13"/>
        <v/>
      </c>
    </row>
    <row r="12" spans="1:24" x14ac:dyDescent="0.3">
      <c r="A12" s="10" t="s">
        <v>36</v>
      </c>
      <c r="B12" s="10" t="s">
        <v>157</v>
      </c>
      <c r="C12" s="10" t="s">
        <v>153</v>
      </c>
      <c r="D12" s="16">
        <f>SUMIFS(Data!$D$2:$D$6070,Data!$A$2:$A$6070,$A12,Data!$B$2:$B$6070,sel_year,Data!$C$2:$C$6070,IF(sel_area="All areas","*",sel_area))</f>
        <v>1632299142.3999999</v>
      </c>
      <c r="E12" s="16">
        <f>SUMIFS(Data!$D$2:$D$6070,Data!$A$2:$A$6070,$A12,Data!$B$2:$B$6070,sel_year-sel_lookback,Data!$C$2:$C$6070,IF(sel_area="All areas","*",sel_area))</f>
        <v>1435648455.5399997</v>
      </c>
      <c r="F12" s="17">
        <f t="shared" si="0"/>
        <v>4.3719701664366672E-2</v>
      </c>
      <c r="G12" s="17">
        <f t="shared" si="1"/>
        <v>4.3719701664366672E-2</v>
      </c>
      <c r="H12" s="19">
        <f>SUMIFS(Enrollment!$C$2:$C$358,Enrollment!$A$2:$A$358,$A12,Enrollment!$B$2:$B$358,sel_year)</f>
        <v>1206238</v>
      </c>
      <c r="I12" s="20">
        <f t="shared" si="2"/>
        <v>1353.2148236086077</v>
      </c>
      <c r="J12" s="17">
        <f>IF(D12&gt;0,SUMIFS(Data!$F$2:$F$6070,Data!$A$2:$A$6070,$A12,Data!$B$2:$B$6070,sel_year,Data!$C$2:$C$6070,IF(sel_area="All areas","*",sel_area))/D12,0)</f>
        <v>0.90967178101116186</v>
      </c>
      <c r="K12" s="21">
        <f t="shared" si="3"/>
        <v>0.57999999999999996</v>
      </c>
      <c r="L12" s="21">
        <f t="shared" si="4"/>
        <v>0.82</v>
      </c>
      <c r="M12" s="21">
        <f t="shared" si="5"/>
        <v>0.52</v>
      </c>
      <c r="N12" s="21">
        <f t="shared" si="6"/>
        <v>0.82</v>
      </c>
      <c r="O12" s="22">
        <f t="shared" si="7"/>
        <v>67.600012000000007</v>
      </c>
      <c r="P12" s="23">
        <f t="shared" si="8"/>
        <v>11</v>
      </c>
      <c r="Q12" s="24" t="str">
        <f t="shared" si="9"/>
        <v>B</v>
      </c>
      <c r="R12" s="25">
        <f t="shared" si="10"/>
        <v>110343441613.82971</v>
      </c>
      <c r="S12" s="16">
        <f t="shared" si="11"/>
        <v>1766882425.2777245</v>
      </c>
      <c r="T12" s="17">
        <f t="shared" si="12"/>
        <v>8.2450133913471557E-2</v>
      </c>
      <c r="U12" s="26">
        <f>SUMIFS(Flags!$C$2:$C$358,Flags!$A$2:$A$358,$A12,Flags!$B$2:$B$358,sel_year)</f>
        <v>0.95950000000000002</v>
      </c>
      <c r="V12" s="26">
        <f>SUMIFS(Flags!$C$2:$C$358,Flags!$A$2:$A$358,$A12,Flags!$B$2:$B$358,sel_year-sel_lookback)</f>
        <v>0.95779999999999998</v>
      </c>
      <c r="W12" s="26">
        <f>_xlfn.MAXIFS(Flags!$E$2:$E$358,Flags!$A$2:$A$358,$A12,Flags!$B$2:$B$358,"&gt;"&amp;(sel_year-sel_lookback),Flags!$B$2:$B$358,"&lt;="&amp;sel_year)</f>
        <v>0.10390000000000001</v>
      </c>
      <c r="X12" s="27" t="str">
        <f t="shared" si="13"/>
        <v/>
      </c>
    </row>
    <row r="13" spans="1:24" x14ac:dyDescent="0.3">
      <c r="A13" s="10" t="s">
        <v>37</v>
      </c>
      <c r="B13" s="10" t="s">
        <v>158</v>
      </c>
      <c r="C13" s="10" t="s">
        <v>159</v>
      </c>
      <c r="D13" s="16">
        <f>SUMIFS(Data!$D$2:$D$6070,Data!$A$2:$A$6070,$A13,Data!$B$2:$B$6070,sel_year,Data!$C$2:$C$6070,IF(sel_area="All areas","*",sel_area))</f>
        <v>1963167108.6000004</v>
      </c>
      <c r="E13" s="16">
        <f>SUMIFS(Data!$D$2:$D$6070,Data!$A$2:$A$6070,$A13,Data!$B$2:$B$6070,sel_year-sel_lookback,Data!$C$2:$C$6070,IF(sel_area="All areas","*",sel_area))</f>
        <v>1790868335.8299999</v>
      </c>
      <c r="F13" s="17">
        <f t="shared" si="0"/>
        <v>3.1093075909136791E-2</v>
      </c>
      <c r="G13" s="17">
        <f t="shared" si="1"/>
        <v>3.1093075909136791E-2</v>
      </c>
      <c r="H13" s="19">
        <f>SUMIFS(Enrollment!$C$2:$C$358,Enrollment!$A$2:$A$358,$A13,Enrollment!$B$2:$B$358,sel_year)</f>
        <v>917844</v>
      </c>
      <c r="I13" s="20">
        <f t="shared" si="2"/>
        <v>2138.8897335494926</v>
      </c>
      <c r="J13" s="17">
        <f>IF(D13&gt;0,SUMIFS(Data!$F$2:$F$6070,Data!$A$2:$A$6070,$A13,Data!$B$2:$B$6070,sel_year,Data!$C$2:$C$6070,IF(sel_area="All areas","*",sel_area))/D13,0)</f>
        <v>0.91792072369992428</v>
      </c>
      <c r="K13" s="21">
        <f t="shared" si="3"/>
        <v>0.64</v>
      </c>
      <c r="L13" s="21">
        <f t="shared" si="4"/>
        <v>0.74</v>
      </c>
      <c r="M13" s="21">
        <f t="shared" si="5"/>
        <v>1</v>
      </c>
      <c r="N13" s="21">
        <f t="shared" si="6"/>
        <v>0.94</v>
      </c>
      <c r="O13" s="22">
        <f t="shared" si="7"/>
        <v>79.700012999999984</v>
      </c>
      <c r="P13" s="23">
        <f t="shared" si="8"/>
        <v>5</v>
      </c>
      <c r="Q13" s="24" t="str">
        <f t="shared" si="9"/>
        <v>A</v>
      </c>
      <c r="R13" s="25">
        <f t="shared" si="10"/>
        <v>156464444076.59241</v>
      </c>
      <c r="S13" s="16">
        <f t="shared" si="11"/>
        <v>2154003086.067163</v>
      </c>
      <c r="T13" s="17">
        <f t="shared" si="12"/>
        <v>9.720821861326634E-2</v>
      </c>
      <c r="U13" s="26">
        <f>SUMIFS(Flags!$C$2:$C$358,Flags!$A$2:$A$358,$A13,Flags!$B$2:$B$358,sel_year)</f>
        <v>1</v>
      </c>
      <c r="V13" s="26">
        <f>SUMIFS(Flags!$C$2:$C$358,Flags!$A$2:$A$358,$A13,Flags!$B$2:$B$358,sel_year-sel_lookback)</f>
        <v>1</v>
      </c>
      <c r="W13" s="26">
        <f>_xlfn.MAXIFS(Flags!$E$2:$E$358,Flags!$A$2:$A$358,$A13,Flags!$B$2:$B$358,"&gt;"&amp;(sel_year-sel_lookback),Flags!$B$2:$B$358,"&lt;="&amp;sel_year)</f>
        <v>8.5599999999999996E-2</v>
      </c>
      <c r="X13" s="27" t="str">
        <f t="shared" si="13"/>
        <v/>
      </c>
    </row>
    <row r="14" spans="1:24" x14ac:dyDescent="0.3">
      <c r="A14" s="10" t="s">
        <v>39</v>
      </c>
      <c r="B14" s="10" t="s">
        <v>160</v>
      </c>
      <c r="C14" s="10" t="s">
        <v>151</v>
      </c>
      <c r="D14" s="16">
        <f>SUMIFS(Data!$D$2:$D$6070,Data!$A$2:$A$6070,$A14,Data!$B$2:$B$6070,sel_year,Data!$C$2:$C$6070,IF(sel_area="All areas","*",sel_area))</f>
        <v>273063387.83999997</v>
      </c>
      <c r="E14" s="16">
        <f>SUMIFS(Data!$D$2:$D$6070,Data!$A$2:$A$6070,$A14,Data!$B$2:$B$6070,sel_year-sel_lookback,Data!$C$2:$C$6070,IF(sel_area="All areas","*",sel_area))</f>
        <v>294780945.09000003</v>
      </c>
      <c r="F14" s="17">
        <f t="shared" si="0"/>
        <v>-2.5186902392937194E-2</v>
      </c>
      <c r="G14" s="17">
        <f t="shared" si="1"/>
        <v>-2.5186902392937194E-2</v>
      </c>
      <c r="H14" s="19">
        <f>SUMIFS(Enrollment!$C$2:$C$358,Enrollment!$A$2:$A$358,$A14,Enrollment!$B$2:$B$358,sel_year)</f>
        <v>244713</v>
      </c>
      <c r="I14" s="20">
        <f t="shared" si="2"/>
        <v>1115.8515805862376</v>
      </c>
      <c r="J14" s="17">
        <f>IF(D14&gt;0,SUMIFS(Data!$F$2:$F$6070,Data!$A$2:$A$6070,$A14,Data!$B$2:$B$6070,sel_year,Data!$C$2:$C$6070,IF(sel_area="All areas","*",sel_area))/D14,0)</f>
        <v>0.8860783169941937</v>
      </c>
      <c r="K14" s="21">
        <f t="shared" si="3"/>
        <v>0.12</v>
      </c>
      <c r="L14" s="21">
        <f t="shared" si="4"/>
        <v>0.18</v>
      </c>
      <c r="M14" s="21">
        <f t="shared" si="5"/>
        <v>0.38</v>
      </c>
      <c r="N14" s="21">
        <f t="shared" si="6"/>
        <v>0.46</v>
      </c>
      <c r="O14" s="22">
        <f t="shared" si="7"/>
        <v>25.500014</v>
      </c>
      <c r="P14" s="23">
        <f t="shared" si="8"/>
        <v>44</v>
      </c>
      <c r="Q14" s="24" t="str">
        <f t="shared" si="9"/>
        <v>C</v>
      </c>
      <c r="R14" s="25">
        <f t="shared" si="10"/>
        <v>6963120212.8074293</v>
      </c>
      <c r="S14" s="16">
        <f t="shared" si="11"/>
        <v>281556140.68154639</v>
      </c>
      <c r="T14" s="17">
        <f t="shared" si="12"/>
        <v>3.1101763252577408E-2</v>
      </c>
      <c r="U14" s="26">
        <f>SUMIFS(Flags!$C$2:$C$358,Flags!$A$2:$A$358,$A14,Flags!$B$2:$B$358,sel_year)</f>
        <v>5.1000000000000004E-3</v>
      </c>
      <c r="V14" s="26">
        <f>SUMIFS(Flags!$C$2:$C$358,Flags!$A$2:$A$358,$A14,Flags!$B$2:$B$358,sel_year-sel_lookback)</f>
        <v>5.4000000000000003E-3</v>
      </c>
      <c r="W14" s="26">
        <f>_xlfn.MAXIFS(Flags!$E$2:$E$358,Flags!$A$2:$A$358,$A14,Flags!$B$2:$B$358,"&gt;"&amp;(sel_year-sel_lookback),Flags!$B$2:$B$358,"&lt;="&amp;sel_year)</f>
        <v>0.1007</v>
      </c>
      <c r="X14" s="27" t="str">
        <f t="shared" si="13"/>
        <v/>
      </c>
    </row>
    <row r="15" spans="1:24" x14ac:dyDescent="0.3">
      <c r="A15" s="10" t="s">
        <v>38</v>
      </c>
      <c r="B15" s="10" t="s">
        <v>161</v>
      </c>
      <c r="C15" s="10" t="s">
        <v>151</v>
      </c>
      <c r="D15" s="16">
        <f>SUMIFS(Data!$D$2:$D$6070,Data!$A$2:$A$6070,$A15,Data!$B$2:$B$6070,sel_year,Data!$C$2:$C$6070,IF(sel_area="All areas","*",sel_area))</f>
        <v>324935466.51999998</v>
      </c>
      <c r="E15" s="16">
        <f>SUMIFS(Data!$D$2:$D$6070,Data!$A$2:$A$6070,$A15,Data!$B$2:$B$6070,sel_year-sel_lookback,Data!$C$2:$C$6070,IF(sel_area="All areas","*",sel_area))</f>
        <v>324220563.85000002</v>
      </c>
      <c r="F15" s="17">
        <f t="shared" si="0"/>
        <v>7.3445666481242178E-4</v>
      </c>
      <c r="G15" s="17">
        <f t="shared" si="1"/>
        <v>7.3445666481242178E-4</v>
      </c>
      <c r="H15" s="19">
        <f>SUMIFS(Enrollment!$C$2:$C$358,Enrollment!$A$2:$A$358,$A15,Enrollment!$B$2:$B$358,sel_year)</f>
        <v>259736</v>
      </c>
      <c r="I15" s="20">
        <f t="shared" si="2"/>
        <v>1251.0220628638308</v>
      </c>
      <c r="J15" s="17">
        <f>IF(D15&gt;0,SUMIFS(Data!$F$2:$F$6070,Data!$A$2:$A$6070,$A15,Data!$B$2:$B$6070,sel_year,Data!$C$2:$C$6070,IF(sel_area="All areas","*",sel_area))/D15,0)</f>
        <v>0.92756960490629803</v>
      </c>
      <c r="K15" s="21">
        <f t="shared" si="3"/>
        <v>0.18</v>
      </c>
      <c r="L15" s="21">
        <f t="shared" si="4"/>
        <v>0.36</v>
      </c>
      <c r="M15" s="21">
        <f t="shared" si="5"/>
        <v>0.5</v>
      </c>
      <c r="N15" s="21">
        <f t="shared" si="6"/>
        <v>1</v>
      </c>
      <c r="O15" s="22">
        <f t="shared" si="7"/>
        <v>45.300015000000002</v>
      </c>
      <c r="P15" s="23">
        <f t="shared" si="8"/>
        <v>32</v>
      </c>
      <c r="Q15" s="24" t="str">
        <f t="shared" si="9"/>
        <v>C</v>
      </c>
      <c r="R15" s="25">
        <f t="shared" si="10"/>
        <v>14719581507.387997</v>
      </c>
      <c r="S15" s="16">
        <f t="shared" si="11"/>
        <v>342888591.534747</v>
      </c>
      <c r="T15" s="17">
        <f t="shared" si="12"/>
        <v>5.5251355621538378E-2</v>
      </c>
      <c r="U15" s="26">
        <f>SUMIFS(Flags!$C$2:$C$358,Flags!$A$2:$A$358,$A15,Flags!$B$2:$B$358,sel_year)</f>
        <v>0.47320000000000001</v>
      </c>
      <c r="V15" s="26">
        <f>SUMIFS(Flags!$C$2:$C$358,Flags!$A$2:$A$358,$A15,Flags!$B$2:$B$358,sel_year-sel_lookback)</f>
        <v>0.44319999999999998</v>
      </c>
      <c r="W15" s="26">
        <f>_xlfn.MAXIFS(Flags!$E$2:$E$358,Flags!$A$2:$A$358,$A15,Flags!$B$2:$B$358,"&gt;"&amp;(sel_year-sel_lookback),Flags!$B$2:$B$358,"&lt;="&amp;sel_year)</f>
        <v>0.16239999999999999</v>
      </c>
      <c r="X15" s="27" t="str">
        <f t="shared" si="13"/>
        <v/>
      </c>
    </row>
    <row r="16" spans="1:24" x14ac:dyDescent="0.3">
      <c r="A16" s="10" t="s">
        <v>40</v>
      </c>
      <c r="B16" s="10" t="s">
        <v>162</v>
      </c>
      <c r="C16" s="10" t="s">
        <v>151</v>
      </c>
      <c r="D16" s="16">
        <f>SUMIFS(Data!$D$2:$D$6070,Data!$A$2:$A$6070,$A16,Data!$B$2:$B$6070,sel_year,Data!$C$2:$C$6070,IF(sel_area="All areas","*",sel_area))</f>
        <v>3254946271.46</v>
      </c>
      <c r="E16" s="16">
        <f>SUMIFS(Data!$D$2:$D$6070,Data!$A$2:$A$6070,$A16,Data!$B$2:$B$6070,sel_year-sel_lookback,Data!$C$2:$C$6070,IF(sel_area="All areas","*",sel_area))</f>
        <v>3815780343.4299994</v>
      </c>
      <c r="F16" s="17">
        <f t="shared" si="0"/>
        <v>-5.1610320591341186E-2</v>
      </c>
      <c r="G16" s="17">
        <f t="shared" si="1"/>
        <v>-5.1610320591341186E-2</v>
      </c>
      <c r="H16" s="19">
        <f>SUMIFS(Enrollment!$C$2:$C$358,Enrollment!$A$2:$A$358,$A16,Enrollment!$B$2:$B$358,sel_year)</f>
        <v>3679966</v>
      </c>
      <c r="I16" s="20">
        <f t="shared" si="2"/>
        <v>884.5044414703832</v>
      </c>
      <c r="J16" s="17">
        <f>IF(D16&gt;0,SUMIFS(Data!$F$2:$F$6070,Data!$A$2:$A$6070,$A16,Data!$B$2:$B$6070,sel_year,Data!$C$2:$C$6070,IF(sel_area="All areas","*",sel_area))/D16,0)</f>
        <v>0.91437795272270572</v>
      </c>
      <c r="K16" s="21">
        <f t="shared" si="3"/>
        <v>0.84</v>
      </c>
      <c r="L16" s="21">
        <f t="shared" si="4"/>
        <v>0.04</v>
      </c>
      <c r="M16" s="21">
        <f t="shared" si="5"/>
        <v>0.1</v>
      </c>
      <c r="N16" s="21">
        <f t="shared" si="6"/>
        <v>0.88</v>
      </c>
      <c r="O16" s="22">
        <f t="shared" si="7"/>
        <v>50.000016000000002</v>
      </c>
      <c r="P16" s="23">
        <f t="shared" si="8"/>
        <v>27</v>
      </c>
      <c r="Q16" s="24" t="str">
        <f t="shared" si="9"/>
        <v>B</v>
      </c>
      <c r="R16" s="25">
        <f t="shared" si="10"/>
        <v>162747365652.14035</v>
      </c>
      <c r="S16" s="16">
        <f t="shared" si="11"/>
        <v>3453445379.5974908</v>
      </c>
      <c r="T16" s="17">
        <f t="shared" si="12"/>
        <v>6.0983835548368059E-2</v>
      </c>
      <c r="U16" s="26">
        <f>SUMIFS(Flags!$C$2:$C$358,Flags!$A$2:$A$358,$A16,Flags!$B$2:$B$358,sel_year)</f>
        <v>5.33E-2</v>
      </c>
      <c r="V16" s="26">
        <f>SUMIFS(Flags!$C$2:$C$358,Flags!$A$2:$A$358,$A16,Flags!$B$2:$B$358,sel_year-sel_lookback)</f>
        <v>6.8400000000000002E-2</v>
      </c>
      <c r="W16" s="26">
        <f>_xlfn.MAXIFS(Flags!$E$2:$E$358,Flags!$A$2:$A$358,$A16,Flags!$B$2:$B$358,"&gt;"&amp;(sel_year-sel_lookback),Flags!$B$2:$B$358,"&lt;="&amp;sel_year)</f>
        <v>0.17499999999999999</v>
      </c>
      <c r="X16" s="27" t="str">
        <f t="shared" si="13"/>
        <v/>
      </c>
    </row>
    <row r="17" spans="1:24" x14ac:dyDescent="0.3">
      <c r="A17" s="10" t="s">
        <v>41</v>
      </c>
      <c r="B17" s="10" t="s">
        <v>163</v>
      </c>
      <c r="C17" s="10" t="s">
        <v>151</v>
      </c>
      <c r="D17" s="16">
        <f>SUMIFS(Data!$D$2:$D$6070,Data!$A$2:$A$6070,$A17,Data!$B$2:$B$6070,sel_year,Data!$C$2:$C$6070,IF(sel_area="All areas","*",sel_area))</f>
        <v>1306825786.8399999</v>
      </c>
      <c r="E17" s="16">
        <f>SUMIFS(Data!$D$2:$D$6070,Data!$A$2:$A$6070,$A17,Data!$B$2:$B$6070,sel_year-sel_lookback,Data!$C$2:$C$6070,IF(sel_area="All areas","*",sel_area))</f>
        <v>1473091717.5599997</v>
      </c>
      <c r="F17" s="17">
        <f t="shared" si="0"/>
        <v>-3.9134421033817812E-2</v>
      </c>
      <c r="G17" s="17">
        <f t="shared" si="1"/>
        <v>-3.9134421033817812E-2</v>
      </c>
      <c r="H17" s="19">
        <f>SUMIFS(Enrollment!$C$2:$C$358,Enrollment!$A$2:$A$358,$A17,Enrollment!$B$2:$B$358,sel_year)</f>
        <v>1918828</v>
      </c>
      <c r="I17" s="20">
        <f t="shared" si="2"/>
        <v>681.05415745444611</v>
      </c>
      <c r="J17" s="17">
        <f>IF(D17&gt;0,SUMIFS(Data!$F$2:$F$6070,Data!$A$2:$A$6070,$A17,Data!$B$2:$B$6070,sel_year,Data!$C$2:$C$6070,IF(sel_area="All areas","*",sel_area))/D17,0)</f>
        <v>0.88701841090309252</v>
      </c>
      <c r="K17" s="21">
        <f t="shared" si="3"/>
        <v>0.52</v>
      </c>
      <c r="L17" s="21">
        <f t="shared" si="4"/>
        <v>0.06</v>
      </c>
      <c r="M17" s="21">
        <f t="shared" si="5"/>
        <v>0.04</v>
      </c>
      <c r="N17" s="21">
        <f t="shared" si="6"/>
        <v>0.5</v>
      </c>
      <c r="O17" s="22">
        <f t="shared" si="7"/>
        <v>30.500017000000003</v>
      </c>
      <c r="P17" s="23">
        <f t="shared" si="8"/>
        <v>41</v>
      </c>
      <c r="Q17" s="24" t="str">
        <f t="shared" si="9"/>
        <v>C</v>
      </c>
      <c r="R17" s="25">
        <f t="shared" si="10"/>
        <v>39858208714.658379</v>
      </c>
      <c r="S17" s="16">
        <f t="shared" si="11"/>
        <v>1355439900.193629</v>
      </c>
      <c r="T17" s="17">
        <f t="shared" si="12"/>
        <v>3.720014851496134E-2</v>
      </c>
      <c r="U17" s="26">
        <f>SUMIFS(Flags!$C$2:$C$358,Flags!$A$2:$A$358,$A17,Flags!$B$2:$B$358,sel_year)</f>
        <v>0.6371</v>
      </c>
      <c r="V17" s="26">
        <f>SUMIFS(Flags!$C$2:$C$358,Flags!$A$2:$A$358,$A17,Flags!$B$2:$B$358,sel_year-sel_lookback)</f>
        <v>0.62119999999999997</v>
      </c>
      <c r="W17" s="26">
        <f>_xlfn.MAXIFS(Flags!$E$2:$E$358,Flags!$A$2:$A$358,$A17,Flags!$B$2:$B$358,"&gt;"&amp;(sel_year-sel_lookback),Flags!$B$2:$B$358,"&lt;="&amp;sel_year)</f>
        <v>0.14069999999999999</v>
      </c>
      <c r="X17" s="27" t="str">
        <f t="shared" si="13"/>
        <v/>
      </c>
    </row>
    <row r="18" spans="1:24" x14ac:dyDescent="0.3">
      <c r="A18" s="10" t="s">
        <v>42</v>
      </c>
      <c r="B18" s="10" t="s">
        <v>164</v>
      </c>
      <c r="C18" s="10" t="s">
        <v>153</v>
      </c>
      <c r="D18" s="16">
        <f>SUMIFS(Data!$D$2:$D$6070,Data!$A$2:$A$6070,$A18,Data!$B$2:$B$6070,sel_year,Data!$C$2:$C$6070,IF(sel_area="All areas","*",sel_area))</f>
        <v>264276496.70999995</v>
      </c>
      <c r="E18" s="16">
        <f>SUMIFS(Data!$D$2:$D$6070,Data!$A$2:$A$6070,$A18,Data!$B$2:$B$6070,sel_year-sel_lookback,Data!$C$2:$C$6070,IF(sel_area="All areas","*",sel_area))</f>
        <v>231468464.53999999</v>
      </c>
      <c r="F18" s="17">
        <f t="shared" si="0"/>
        <v>4.5174736129707904E-2</v>
      </c>
      <c r="G18" s="17">
        <f t="shared" si="1"/>
        <v>4.5174736129707904E-2</v>
      </c>
      <c r="H18" s="19">
        <f>SUMIFS(Enrollment!$C$2:$C$358,Enrollment!$A$2:$A$358,$A18,Enrollment!$B$2:$B$358,sel_year)</f>
        <v>395096</v>
      </c>
      <c r="I18" s="20">
        <f t="shared" si="2"/>
        <v>668.89185592868557</v>
      </c>
      <c r="J18" s="17">
        <f>IF(D18&gt;0,SUMIFS(Data!$F$2:$F$6070,Data!$A$2:$A$6070,$A18,Data!$B$2:$B$6070,sel_year,Data!$C$2:$C$6070,IF(sel_area="All areas","*",sel_area))/D18,0)</f>
        <v>0.89886540675113846</v>
      </c>
      <c r="K18" s="21">
        <f t="shared" si="3"/>
        <v>0.08</v>
      </c>
      <c r="L18" s="21">
        <f t="shared" si="4"/>
        <v>0.84</v>
      </c>
      <c r="M18" s="21">
        <f t="shared" si="5"/>
        <v>0.02</v>
      </c>
      <c r="N18" s="21">
        <f t="shared" si="6"/>
        <v>0.7</v>
      </c>
      <c r="O18" s="22">
        <f t="shared" si="7"/>
        <v>38.200018</v>
      </c>
      <c r="P18" s="23">
        <f t="shared" si="8"/>
        <v>36</v>
      </c>
      <c r="Q18" s="24" t="str">
        <f t="shared" si="9"/>
        <v>C</v>
      </c>
      <c r="R18" s="25">
        <f t="shared" si="10"/>
        <v>10095366931.298939</v>
      </c>
      <c r="S18" s="16">
        <f t="shared" si="11"/>
        <v>276589576.70458972</v>
      </c>
      <c r="T18" s="17">
        <f t="shared" si="12"/>
        <v>4.6591657403803666E-2</v>
      </c>
      <c r="U18" s="26">
        <f>SUMIFS(Flags!$C$2:$C$358,Flags!$A$2:$A$358,$A18,Flags!$B$2:$B$358,sel_year)</f>
        <v>1.5E-3</v>
      </c>
      <c r="V18" s="26">
        <f>SUMIFS(Flags!$C$2:$C$358,Flags!$A$2:$A$358,$A18,Flags!$B$2:$B$358,sel_year-sel_lookback)</f>
        <v>2.9999999999999997E-4</v>
      </c>
      <c r="W18" s="26">
        <f>_xlfn.MAXIFS(Flags!$E$2:$E$358,Flags!$A$2:$A$358,$A18,Flags!$B$2:$B$358,"&gt;"&amp;(sel_year-sel_lookback),Flags!$B$2:$B$358,"&lt;="&amp;sel_year)</f>
        <v>0.2165</v>
      </c>
      <c r="X18" s="27" t="str">
        <f t="shared" si="13"/>
        <v/>
      </c>
    </row>
    <row r="19" spans="1:24" x14ac:dyDescent="0.3">
      <c r="A19" s="10" t="s">
        <v>44</v>
      </c>
      <c r="B19" s="10" t="s">
        <v>165</v>
      </c>
      <c r="C19" s="10" t="s">
        <v>153</v>
      </c>
      <c r="D19" s="16">
        <f>SUMIFS(Data!$D$2:$D$6070,Data!$A$2:$A$6070,$A19,Data!$B$2:$B$6070,sel_year,Data!$C$2:$C$6070,IF(sel_area="All areas","*",sel_area))</f>
        <v>589600965.00999987</v>
      </c>
      <c r="E19" s="16">
        <f>SUMIFS(Data!$D$2:$D$6070,Data!$A$2:$A$6070,$A19,Data!$B$2:$B$6070,sel_year-sel_lookback,Data!$C$2:$C$6070,IF(sel_area="All areas","*",sel_area))</f>
        <v>560124220.17999995</v>
      </c>
      <c r="F19" s="17">
        <f t="shared" si="0"/>
        <v>1.7242768400277386E-2</v>
      </c>
      <c r="G19" s="17">
        <f t="shared" si="1"/>
        <v>1.7242768400277386E-2</v>
      </c>
      <c r="H19" s="19">
        <f>SUMIFS(Enrollment!$C$2:$C$358,Enrollment!$A$2:$A$358,$A19,Enrollment!$B$2:$B$358,sel_year)</f>
        <v>317272</v>
      </c>
      <c r="I19" s="20">
        <f t="shared" si="2"/>
        <v>1858.3454102788771</v>
      </c>
      <c r="J19" s="17">
        <f>IF(D19&gt;0,SUMIFS(Data!$F$2:$F$6070,Data!$A$2:$A$6070,$A19,Data!$B$2:$B$6070,sel_year,Data!$C$2:$C$6070,IF(sel_area="All areas","*",sel_area))/D19,0)</f>
        <v>0.91091351563661538</v>
      </c>
      <c r="K19" s="21">
        <f t="shared" si="3"/>
        <v>0.32</v>
      </c>
      <c r="L19" s="21">
        <f t="shared" si="4"/>
        <v>0.6</v>
      </c>
      <c r="M19" s="21">
        <f t="shared" si="5"/>
        <v>0.9</v>
      </c>
      <c r="N19" s="21">
        <f t="shared" si="6"/>
        <v>0.86</v>
      </c>
      <c r="O19" s="22">
        <f t="shared" si="7"/>
        <v>61.400019000000015</v>
      </c>
      <c r="P19" s="23">
        <f t="shared" si="8"/>
        <v>15</v>
      </c>
      <c r="Q19" s="24" t="str">
        <f t="shared" si="9"/>
        <v>B</v>
      </c>
      <c r="R19" s="25">
        <f t="shared" si="10"/>
        <v>36201510454.032333</v>
      </c>
      <c r="S19" s="16">
        <f t="shared" si="11"/>
        <v>633755090.08330464</v>
      </c>
      <c r="T19" s="17">
        <f t="shared" si="12"/>
        <v>7.4888149263045989E-2</v>
      </c>
      <c r="U19" s="26">
        <f>SUMIFS(Flags!$C$2:$C$358,Flags!$A$2:$A$358,$A19,Flags!$B$2:$B$358,sel_year)</f>
        <v>1</v>
      </c>
      <c r="V19" s="26">
        <f>SUMIFS(Flags!$C$2:$C$358,Flags!$A$2:$A$358,$A19,Flags!$B$2:$B$358,sel_year-sel_lookback)</f>
        <v>1</v>
      </c>
      <c r="W19" s="26">
        <f>_xlfn.MAXIFS(Flags!$E$2:$E$358,Flags!$A$2:$A$358,$A19,Flags!$B$2:$B$358,"&gt;"&amp;(sel_year-sel_lookback),Flags!$B$2:$B$358,"&lt;="&amp;sel_year)</f>
        <v>5.6399999999999999E-2</v>
      </c>
      <c r="X19" s="27" t="str">
        <f t="shared" si="13"/>
        <v/>
      </c>
    </row>
    <row r="20" spans="1:24" x14ac:dyDescent="0.3">
      <c r="A20" s="10" t="s">
        <v>45</v>
      </c>
      <c r="B20" s="10" t="s">
        <v>166</v>
      </c>
      <c r="C20" s="10" t="s">
        <v>167</v>
      </c>
      <c r="D20" s="16">
        <f>SUMIFS(Data!$D$2:$D$6070,Data!$A$2:$A$6070,$A20,Data!$B$2:$B$6070,sel_year,Data!$C$2:$C$6070,IF(sel_area="All areas","*",sel_area))</f>
        <v>3338076224.6699996</v>
      </c>
      <c r="E20" s="16">
        <f>SUMIFS(Data!$D$2:$D$6070,Data!$A$2:$A$6070,$A20,Data!$B$2:$B$6070,sel_year-sel_lookback,Data!$C$2:$C$6070,IF(sel_area="All areas","*",sel_area))</f>
        <v>3680287968.5799999</v>
      </c>
      <c r="F20" s="17">
        <f t="shared" si="0"/>
        <v>-3.2008636432889759E-2</v>
      </c>
      <c r="G20" s="17">
        <f t="shared" si="1"/>
        <v>-3.2008636432889759E-2</v>
      </c>
      <c r="H20" s="19">
        <f>SUMIFS(Enrollment!$C$2:$C$358,Enrollment!$A$2:$A$358,$A20,Enrollment!$B$2:$B$358,sel_year)</f>
        <v>3121673</v>
      </c>
      <c r="I20" s="20">
        <f t="shared" si="2"/>
        <v>1069.3228357582616</v>
      </c>
      <c r="J20" s="17">
        <f>IF(D20&gt;0,SUMIFS(Data!$F$2:$F$6070,Data!$A$2:$A$6070,$A20,Data!$B$2:$B$6070,sel_year,Data!$C$2:$C$6070,IF(sel_area="All areas","*",sel_area))/D20,0)</f>
        <v>0.91076727987556771</v>
      </c>
      <c r="K20" s="21">
        <f t="shared" si="3"/>
        <v>0.86</v>
      </c>
      <c r="L20" s="21">
        <f t="shared" si="4"/>
        <v>0.1</v>
      </c>
      <c r="M20" s="21">
        <f t="shared" si="5"/>
        <v>0.32</v>
      </c>
      <c r="N20" s="21">
        <f t="shared" si="6"/>
        <v>0.84</v>
      </c>
      <c r="O20" s="22">
        <f t="shared" si="7"/>
        <v>55.800020000000004</v>
      </c>
      <c r="P20" s="23">
        <f t="shared" si="8"/>
        <v>19</v>
      </c>
      <c r="Q20" s="24" t="str">
        <f t="shared" si="9"/>
        <v>B</v>
      </c>
      <c r="R20" s="25">
        <f t="shared" si="10"/>
        <v>186264720098.11047</v>
      </c>
      <c r="S20" s="16">
        <f t="shared" si="11"/>
        <v>3565258893.1500659</v>
      </c>
      <c r="T20" s="17">
        <f t="shared" si="12"/>
        <v>6.8057963086965101E-2</v>
      </c>
      <c r="U20" s="26">
        <f>SUMIFS(Flags!$C$2:$C$358,Flags!$A$2:$A$358,$A20,Flags!$B$2:$B$358,sel_year)</f>
        <v>7.0900000000000005E-2</v>
      </c>
      <c r="V20" s="26">
        <f>SUMIFS(Flags!$C$2:$C$358,Flags!$A$2:$A$358,$A20,Flags!$B$2:$B$358,sel_year-sel_lookback)</f>
        <v>5.9400000000000001E-2</v>
      </c>
      <c r="W20" s="26">
        <f>_xlfn.MAXIFS(Flags!$E$2:$E$358,Flags!$A$2:$A$358,$A20,Flags!$B$2:$B$358,"&gt;"&amp;(sel_year-sel_lookback),Flags!$B$2:$B$358,"&lt;="&amp;sel_year)</f>
        <v>9.3299999999999994E-2</v>
      </c>
      <c r="X20" s="27" t="str">
        <f t="shared" si="13"/>
        <v/>
      </c>
    </row>
    <row r="21" spans="1:24" x14ac:dyDescent="0.3">
      <c r="A21" s="10" t="s">
        <v>46</v>
      </c>
      <c r="B21" s="10" t="s">
        <v>168</v>
      </c>
      <c r="C21" s="10" t="s">
        <v>167</v>
      </c>
      <c r="D21" s="16">
        <f>SUMIFS(Data!$D$2:$D$6070,Data!$A$2:$A$6070,$A21,Data!$B$2:$B$6070,sel_year,Data!$C$2:$C$6070,IF(sel_area="All areas","*",sel_area))</f>
        <v>2930352459.23</v>
      </c>
      <c r="E21" s="16">
        <f>SUMIFS(Data!$D$2:$D$6070,Data!$A$2:$A$6070,$A21,Data!$B$2:$B$6070,sel_year-sel_lookback,Data!$C$2:$C$6070,IF(sel_area="All areas","*",sel_area))</f>
        <v>2659047616.3699999</v>
      </c>
      <c r="F21" s="17">
        <f t="shared" si="0"/>
        <v>3.2914994109345841E-2</v>
      </c>
      <c r="G21" s="17">
        <f t="shared" si="1"/>
        <v>3.2914994109345841E-2</v>
      </c>
      <c r="H21" s="19">
        <f>SUMIFS(Enrollment!$C$2:$C$358,Enrollment!$A$2:$A$358,$A21,Enrollment!$B$2:$B$358,sel_year)</f>
        <v>1671878</v>
      </c>
      <c r="I21" s="20">
        <f t="shared" si="2"/>
        <v>1752.7310361342156</v>
      </c>
      <c r="J21" s="17">
        <f>IF(D21&gt;0,SUMIFS(Data!$F$2:$F$6070,Data!$A$2:$A$6070,$A21,Data!$B$2:$B$6070,sel_year,Data!$C$2:$C$6070,IF(sel_area="All areas","*",sel_area))/D21,0)</f>
        <v>0.90434092653016318</v>
      </c>
      <c r="K21" s="21">
        <f t="shared" si="3"/>
        <v>0.82</v>
      </c>
      <c r="L21" s="21">
        <f t="shared" si="4"/>
        <v>0.76</v>
      </c>
      <c r="M21" s="21">
        <f t="shared" si="5"/>
        <v>0.82</v>
      </c>
      <c r="N21" s="21">
        <f t="shared" si="6"/>
        <v>0.74</v>
      </c>
      <c r="O21" s="22">
        <f t="shared" si="7"/>
        <v>78.90002100000001</v>
      </c>
      <c r="P21" s="23">
        <f t="shared" si="8"/>
        <v>6</v>
      </c>
      <c r="Q21" s="24" t="str">
        <f t="shared" si="9"/>
        <v>A</v>
      </c>
      <c r="R21" s="25">
        <f t="shared" si="10"/>
        <v>231204870570.64868</v>
      </c>
      <c r="S21" s="16">
        <f t="shared" si="11"/>
        <v>3212347565.08881</v>
      </c>
      <c r="T21" s="17">
        <f t="shared" si="12"/>
        <v>9.6232487314140025E-2</v>
      </c>
      <c r="U21" s="26">
        <f>SUMIFS(Flags!$C$2:$C$358,Flags!$A$2:$A$358,$A21,Flags!$B$2:$B$358,sel_year)</f>
        <v>0.17899999999999999</v>
      </c>
      <c r="V21" s="26">
        <f>SUMIFS(Flags!$C$2:$C$358,Flags!$A$2:$A$358,$A21,Flags!$B$2:$B$358,sel_year-sel_lookback)</f>
        <v>0.21490000000000001</v>
      </c>
      <c r="W21" s="26">
        <f>_xlfn.MAXIFS(Flags!$E$2:$E$358,Flags!$A$2:$A$358,$A21,Flags!$B$2:$B$358,"&gt;"&amp;(sel_year-sel_lookback),Flags!$B$2:$B$358,"&lt;="&amp;sel_year)</f>
        <v>8.4500000000000006E-2</v>
      </c>
      <c r="X21" s="27" t="str">
        <f t="shared" si="13"/>
        <v/>
      </c>
    </row>
    <row r="22" spans="1:24" x14ac:dyDescent="0.3">
      <c r="A22" s="10" t="s">
        <v>43</v>
      </c>
      <c r="B22" s="10" t="s">
        <v>169</v>
      </c>
      <c r="C22" s="10" t="s">
        <v>167</v>
      </c>
      <c r="D22" s="16">
        <f>SUMIFS(Data!$D$2:$D$6070,Data!$A$2:$A$6070,$A22,Data!$B$2:$B$6070,sel_year,Data!$C$2:$C$6070,IF(sel_area="All areas","*",sel_area))</f>
        <v>1013377836.5099999</v>
      </c>
      <c r="E22" s="16">
        <f>SUMIFS(Data!$D$2:$D$6070,Data!$A$2:$A$6070,$A22,Data!$B$2:$B$6070,sel_year-sel_lookback,Data!$C$2:$C$6070,IF(sel_area="All areas","*",sel_area))</f>
        <v>939843261.33000028</v>
      </c>
      <c r="F22" s="17">
        <f t="shared" si="0"/>
        <v>2.5428357206709107E-2</v>
      </c>
      <c r="G22" s="17">
        <f t="shared" si="1"/>
        <v>2.5428357206709107E-2</v>
      </c>
      <c r="H22" s="19">
        <f>SUMIFS(Enrollment!$C$2:$C$358,Enrollment!$A$2:$A$358,$A22,Enrollment!$B$2:$B$358,sel_year)</f>
        <v>674278</v>
      </c>
      <c r="I22" s="20">
        <f t="shared" si="2"/>
        <v>1502.9080535179851</v>
      </c>
      <c r="J22" s="17">
        <f>IF(D22&gt;0,SUMIFS(Data!$F$2:$F$6070,Data!$A$2:$A$6070,$A22,Data!$B$2:$B$6070,sel_year,Data!$C$2:$C$6070,IF(sel_area="All areas","*",sel_area))/D22,0)</f>
        <v>0.82510783578968561</v>
      </c>
      <c r="K22" s="21">
        <f t="shared" si="3"/>
        <v>0.44</v>
      </c>
      <c r="L22" s="21">
        <f t="shared" si="4"/>
        <v>0.66</v>
      </c>
      <c r="M22" s="21">
        <f t="shared" si="5"/>
        <v>0.64</v>
      </c>
      <c r="N22" s="21">
        <f t="shared" si="6"/>
        <v>0.06</v>
      </c>
      <c r="O22" s="22">
        <f t="shared" si="7"/>
        <v>45.900022</v>
      </c>
      <c r="P22" s="23">
        <f t="shared" si="8"/>
        <v>31</v>
      </c>
      <c r="Q22" s="24" t="str">
        <f t="shared" si="9"/>
        <v>C</v>
      </c>
      <c r="R22" s="25">
        <f t="shared" si="10"/>
        <v>46514064990.121399</v>
      </c>
      <c r="S22" s="16">
        <f t="shared" si="11"/>
        <v>1070109940.1566002</v>
      </c>
      <c r="T22" s="17">
        <f t="shared" si="12"/>
        <v>5.5983169951675293E-2</v>
      </c>
      <c r="U22" s="26">
        <f>SUMIFS(Flags!$C$2:$C$358,Flags!$A$2:$A$358,$A22,Flags!$B$2:$B$358,sel_year)</f>
        <v>6.4999999999999997E-3</v>
      </c>
      <c r="V22" s="26">
        <f>SUMIFS(Flags!$C$2:$C$358,Flags!$A$2:$A$358,$A22,Flags!$B$2:$B$358,sel_year-sel_lookback)</f>
        <v>6.1999999999999998E-3</v>
      </c>
      <c r="W22" s="26">
        <f>_xlfn.MAXIFS(Flags!$E$2:$E$358,Flags!$A$2:$A$358,$A22,Flags!$B$2:$B$358,"&gt;"&amp;(sel_year-sel_lookback),Flags!$B$2:$B$358,"&lt;="&amp;sel_year)</f>
        <v>9.2200000000000004E-2</v>
      </c>
      <c r="X22" s="27" t="str">
        <f t="shared" si="13"/>
        <v/>
      </c>
    </row>
    <row r="23" spans="1:24" x14ac:dyDescent="0.3">
      <c r="A23" s="10" t="s">
        <v>47</v>
      </c>
      <c r="B23" s="10" t="s">
        <v>170</v>
      </c>
      <c r="C23" s="10" t="s">
        <v>167</v>
      </c>
      <c r="D23" s="16">
        <f>SUMIFS(Data!$D$2:$D$6070,Data!$A$2:$A$6070,$A23,Data!$B$2:$B$6070,sel_year,Data!$C$2:$C$6070,IF(sel_area="All areas","*",sel_area))</f>
        <v>400042095.31000006</v>
      </c>
      <c r="E23" s="16">
        <f>SUMIFS(Data!$D$2:$D$6070,Data!$A$2:$A$6070,$A23,Data!$B$2:$B$6070,sel_year-sel_lookback,Data!$C$2:$C$6070,IF(sel_area="All areas","*",sel_area))</f>
        <v>483612328.06999999</v>
      </c>
      <c r="F23" s="17">
        <f t="shared" si="0"/>
        <v>-6.1279915340952118E-2</v>
      </c>
      <c r="G23" s="17">
        <f t="shared" si="1"/>
        <v>-6.1279915340952118E-2</v>
      </c>
      <c r="H23" s="19">
        <f>SUMIFS(Enrollment!$C$2:$C$358,Enrollment!$A$2:$A$358,$A23,Enrollment!$B$2:$B$358,sel_year)</f>
        <v>412665</v>
      </c>
      <c r="I23" s="20">
        <f t="shared" si="2"/>
        <v>969.41125443156091</v>
      </c>
      <c r="J23" s="17">
        <f>IF(D23&gt;0,SUMIFS(Data!$F$2:$F$6070,Data!$A$2:$A$6070,$A23,Data!$B$2:$B$6070,sel_year,Data!$C$2:$C$6070,IF(sel_area="All areas","*",sel_area))/D23,0)</f>
        <v>0.8235539075573991</v>
      </c>
      <c r="K23" s="21">
        <f t="shared" si="3"/>
        <v>0.22</v>
      </c>
      <c r="L23" s="21">
        <f t="shared" si="4"/>
        <v>0</v>
      </c>
      <c r="M23" s="21">
        <f t="shared" si="5"/>
        <v>0.2</v>
      </c>
      <c r="N23" s="21">
        <f t="shared" si="6"/>
        <v>0.04</v>
      </c>
      <c r="O23" s="22">
        <f t="shared" si="7"/>
        <v>12.500023000000001</v>
      </c>
      <c r="P23" s="23">
        <f t="shared" si="8"/>
        <v>50</v>
      </c>
      <c r="Q23" s="24" t="str">
        <f t="shared" si="9"/>
        <v>C</v>
      </c>
      <c r="R23" s="25">
        <f t="shared" si="10"/>
        <v>5000535392.3431931</v>
      </c>
      <c r="S23" s="16">
        <f t="shared" si="11"/>
        <v>406141129.91871804</v>
      </c>
      <c r="T23" s="17">
        <f t="shared" si="12"/>
        <v>1.5245982060942076E-2</v>
      </c>
      <c r="U23" s="26">
        <f>SUMIFS(Flags!$C$2:$C$358,Flags!$A$2:$A$358,$A23,Flags!$B$2:$B$358,sel_year)</f>
        <v>6.1000000000000004E-3</v>
      </c>
      <c r="V23" s="26">
        <f>SUMIFS(Flags!$C$2:$C$358,Flags!$A$2:$A$358,$A23,Flags!$B$2:$B$358,sel_year-sel_lookback)</f>
        <v>3.2000000000000002E-3</v>
      </c>
      <c r="W23" s="26">
        <f>_xlfn.MAXIFS(Flags!$E$2:$E$358,Flags!$A$2:$A$358,$A23,Flags!$B$2:$B$358,"&gt;"&amp;(sel_year-sel_lookback),Flags!$B$2:$B$358,"&lt;="&amp;sel_year)</f>
        <v>0.16569999999999999</v>
      </c>
      <c r="X23" s="27" t="str">
        <f t="shared" si="13"/>
        <v/>
      </c>
    </row>
    <row r="24" spans="1:24" x14ac:dyDescent="0.3">
      <c r="A24" s="10" t="s">
        <v>48</v>
      </c>
      <c r="B24" s="10" t="s">
        <v>171</v>
      </c>
      <c r="C24" s="10" t="s">
        <v>151</v>
      </c>
      <c r="D24" s="16">
        <f>SUMIFS(Data!$D$2:$D$6070,Data!$A$2:$A$6070,$A24,Data!$B$2:$B$6070,sel_year,Data!$C$2:$C$6070,IF(sel_area="All areas","*",sel_area))</f>
        <v>2803892182.3000002</v>
      </c>
      <c r="E24" s="16">
        <f>SUMIFS(Data!$D$2:$D$6070,Data!$A$2:$A$6070,$A24,Data!$B$2:$B$6070,sel_year-sel_lookback,Data!$C$2:$C$6070,IF(sel_area="All areas","*",sel_area))</f>
        <v>1863901152.8299994</v>
      </c>
      <c r="F24" s="17">
        <f t="shared" si="0"/>
        <v>0.14581053484129169</v>
      </c>
      <c r="G24" s="17">
        <f t="shared" si="1"/>
        <v>0.14581053484129169</v>
      </c>
      <c r="H24" s="19">
        <f>SUMIFS(Enrollment!$C$2:$C$358,Enrollment!$A$2:$A$358,$A24,Enrollment!$B$2:$B$358,sel_year)</f>
        <v>1366084</v>
      </c>
      <c r="I24" s="20">
        <f t="shared" si="2"/>
        <v>2052.5034934162177</v>
      </c>
      <c r="J24" s="17">
        <f>IF(D24&gt;0,SUMIFS(Data!$F$2:$F$6070,Data!$A$2:$A$6070,$A24,Data!$B$2:$B$6070,sel_year,Data!$C$2:$C$6070,IF(sel_area="All areas","*",sel_area))/D24,0)</f>
        <v>0.86844650893194253</v>
      </c>
      <c r="K24" s="21">
        <f t="shared" si="3"/>
        <v>0.8</v>
      </c>
      <c r="L24" s="21">
        <f t="shared" si="4"/>
        <v>1</v>
      </c>
      <c r="M24" s="21">
        <f t="shared" si="5"/>
        <v>0.98</v>
      </c>
      <c r="N24" s="21">
        <f t="shared" si="6"/>
        <v>0.28000000000000003</v>
      </c>
      <c r="O24" s="22">
        <f t="shared" si="7"/>
        <v>78.200023999999999</v>
      </c>
      <c r="P24" s="23">
        <f t="shared" si="8"/>
        <v>7</v>
      </c>
      <c r="Q24" s="24" t="str">
        <f t="shared" si="9"/>
        <v>A</v>
      </c>
      <c r="R24" s="25">
        <f t="shared" si="10"/>
        <v>219264435949.2724</v>
      </c>
      <c r="S24" s="16">
        <f t="shared" si="11"/>
        <v>3071323822.7925982</v>
      </c>
      <c r="T24" s="17">
        <f t="shared" si="12"/>
        <v>9.537871754869931E-2</v>
      </c>
      <c r="U24" s="26">
        <f>SUMIFS(Flags!$C$2:$C$358,Flags!$A$2:$A$358,$A24,Flags!$B$2:$B$358,sel_year)</f>
        <v>3.8800000000000001E-2</v>
      </c>
      <c r="V24" s="26">
        <f>SUMIFS(Flags!$C$2:$C$358,Flags!$A$2:$A$358,$A24,Flags!$B$2:$B$358,sel_year-sel_lookback)</f>
        <v>4.5100000000000001E-2</v>
      </c>
      <c r="W24" s="26">
        <f>_xlfn.MAXIFS(Flags!$E$2:$E$358,Flags!$A$2:$A$358,$A24,Flags!$B$2:$B$358,"&gt;"&amp;(sel_year-sel_lookback),Flags!$B$2:$B$358,"&lt;="&amp;sel_year)</f>
        <v>0.23430000000000001</v>
      </c>
      <c r="X24" s="27" t="str">
        <f t="shared" si="13"/>
        <v/>
      </c>
    </row>
    <row r="25" spans="1:24" x14ac:dyDescent="0.3">
      <c r="A25" s="10" t="s">
        <v>49</v>
      </c>
      <c r="B25" s="10" t="s">
        <v>172</v>
      </c>
      <c r="C25" s="10" t="s">
        <v>151</v>
      </c>
      <c r="D25" s="16">
        <f>SUMIFS(Data!$D$2:$D$6070,Data!$A$2:$A$6070,$A25,Data!$B$2:$B$6070,sel_year,Data!$C$2:$C$6070,IF(sel_area="All areas","*",sel_area))</f>
        <v>2490504109.5500007</v>
      </c>
      <c r="E25" s="16">
        <f>SUMIFS(Data!$D$2:$D$6070,Data!$A$2:$A$6070,$A25,Data!$B$2:$B$6070,sel_year-sel_lookback,Data!$C$2:$C$6070,IF(sel_area="All areas","*",sel_area))</f>
        <v>2465665352.3999996</v>
      </c>
      <c r="F25" s="17">
        <f t="shared" si="0"/>
        <v>3.3467387694496864E-3</v>
      </c>
      <c r="G25" s="17">
        <f t="shared" si="1"/>
        <v>3.3467387694496864E-3</v>
      </c>
      <c r="H25" s="19">
        <f>SUMIFS(Enrollment!$C$2:$C$358,Enrollment!$A$2:$A$358,$A25,Enrollment!$B$2:$B$358,sel_year)</f>
        <v>1472003</v>
      </c>
      <c r="I25" s="20">
        <f t="shared" si="2"/>
        <v>1691.91510448688</v>
      </c>
      <c r="J25" s="17">
        <f>IF(D25&gt;0,SUMIFS(Data!$F$2:$F$6070,Data!$A$2:$A$6070,$A25,Data!$B$2:$B$6070,sel_year,Data!$C$2:$C$6070,IF(sel_area="All areas","*",sel_area))/D25,0)</f>
        <v>0.85740475109508318</v>
      </c>
      <c r="K25" s="21">
        <f t="shared" si="3"/>
        <v>0.74</v>
      </c>
      <c r="L25" s="21">
        <f t="shared" si="4"/>
        <v>0.42</v>
      </c>
      <c r="M25" s="21">
        <f t="shared" si="5"/>
        <v>0.78</v>
      </c>
      <c r="N25" s="21">
        <f t="shared" si="6"/>
        <v>0.18</v>
      </c>
      <c r="O25" s="22">
        <f t="shared" si="7"/>
        <v>55.600025000000009</v>
      </c>
      <c r="P25" s="23">
        <f t="shared" si="8"/>
        <v>20</v>
      </c>
      <c r="Q25" s="24" t="str">
        <f t="shared" si="9"/>
        <v>B</v>
      </c>
      <c r="R25" s="25">
        <f t="shared" si="10"/>
        <v>138472090753.58279</v>
      </c>
      <c r="S25" s="16">
        <f t="shared" si="11"/>
        <v>2659395239.7159433</v>
      </c>
      <c r="T25" s="17">
        <f t="shared" si="12"/>
        <v>6.7814033921212324E-2</v>
      </c>
      <c r="U25" s="26">
        <f>SUMIFS(Flags!$C$2:$C$358,Flags!$A$2:$A$358,$A25,Flags!$B$2:$B$358,sel_year)</f>
        <v>4.2999999999999997E-2</v>
      </c>
      <c r="V25" s="26">
        <f>SUMIFS(Flags!$C$2:$C$358,Flags!$A$2:$A$358,$A25,Flags!$B$2:$B$358,sel_year-sel_lookback)</f>
        <v>2.18E-2</v>
      </c>
      <c r="W25" s="26">
        <f>_xlfn.MAXIFS(Flags!$E$2:$E$358,Flags!$A$2:$A$358,$A25,Flags!$B$2:$B$358,"&gt;"&amp;(sel_year-sel_lookback),Flags!$B$2:$B$358,"&lt;="&amp;sel_year)</f>
        <v>0.12280000000000001</v>
      </c>
      <c r="X25" s="27" t="str">
        <f t="shared" si="13"/>
        <v/>
      </c>
    </row>
    <row r="26" spans="1:24" x14ac:dyDescent="0.3">
      <c r="A26" s="10" t="s">
        <v>52</v>
      </c>
      <c r="B26" s="10" t="s">
        <v>173</v>
      </c>
      <c r="C26" s="10" t="s">
        <v>159</v>
      </c>
      <c r="D26" s="16">
        <f>SUMIFS(Data!$D$2:$D$6070,Data!$A$2:$A$6070,$A26,Data!$B$2:$B$6070,sel_year,Data!$C$2:$C$6070,IF(sel_area="All areas","*",sel_area))</f>
        <v>535464065.83999997</v>
      </c>
      <c r="E26" s="16">
        <f>SUMIFS(Data!$D$2:$D$6070,Data!$A$2:$A$6070,$A26,Data!$B$2:$B$6070,sel_year-sel_lookback,Data!$C$2:$C$6070,IF(sel_area="All areas","*",sel_area))</f>
        <v>484994608.55000007</v>
      </c>
      <c r="F26" s="17">
        <f t="shared" si="0"/>
        <v>3.3549164348539717E-2</v>
      </c>
      <c r="G26" s="17">
        <f t="shared" si="1"/>
        <v>3.3549164348539717E-2</v>
      </c>
      <c r="H26" s="19">
        <f>SUMIFS(Enrollment!$C$2:$C$358,Enrollment!$A$2:$A$358,$A26,Enrollment!$B$2:$B$358,sel_year)</f>
        <v>343536</v>
      </c>
      <c r="I26" s="20">
        <f t="shared" si="2"/>
        <v>1558.683997717852</v>
      </c>
      <c r="J26" s="17">
        <f>IF(D26&gt;0,SUMIFS(Data!$F$2:$F$6070,Data!$A$2:$A$6070,$A26,Data!$B$2:$B$6070,sel_year,Data!$C$2:$C$6070,IF(sel_area="All areas","*",sel_area))/D26,0)</f>
        <v>0.92231888878528612</v>
      </c>
      <c r="K26" s="21">
        <f t="shared" si="3"/>
        <v>0.3</v>
      </c>
      <c r="L26" s="21">
        <f t="shared" si="4"/>
        <v>0.78</v>
      </c>
      <c r="M26" s="21">
        <f t="shared" si="5"/>
        <v>0.68</v>
      </c>
      <c r="N26" s="21">
        <f t="shared" si="6"/>
        <v>0.98</v>
      </c>
      <c r="O26" s="22">
        <f t="shared" si="7"/>
        <v>63.200026000000001</v>
      </c>
      <c r="P26" s="23">
        <f t="shared" si="8"/>
        <v>14</v>
      </c>
      <c r="Q26" s="24" t="str">
        <f t="shared" si="9"/>
        <v>B</v>
      </c>
      <c r="R26" s="25">
        <f t="shared" si="10"/>
        <v>33841342883.153709</v>
      </c>
      <c r="S26" s="16">
        <f t="shared" si="11"/>
        <v>576739550.41428864</v>
      </c>
      <c r="T26" s="17">
        <f t="shared" si="12"/>
        <v>7.7083575177987917E-2</v>
      </c>
      <c r="U26" s="26">
        <f>SUMIFS(Flags!$C$2:$C$358,Flags!$A$2:$A$358,$A26,Flags!$B$2:$B$358,sel_year)</f>
        <v>1</v>
      </c>
      <c r="V26" s="26">
        <f>SUMIFS(Flags!$C$2:$C$358,Flags!$A$2:$A$358,$A26,Flags!$B$2:$B$358,sel_year-sel_lookback)</f>
        <v>1</v>
      </c>
      <c r="W26" s="26">
        <f>_xlfn.MAXIFS(Flags!$E$2:$E$358,Flags!$A$2:$A$358,$A26,Flags!$B$2:$B$358,"&gt;"&amp;(sel_year-sel_lookback),Flags!$B$2:$B$358,"&lt;="&amp;sel_year)</f>
        <v>9.2999999999999999E-2</v>
      </c>
      <c r="X26" s="27" t="str">
        <f t="shared" si="13"/>
        <v/>
      </c>
    </row>
    <row r="27" spans="1:24" x14ac:dyDescent="0.3">
      <c r="A27" s="10" t="s">
        <v>51</v>
      </c>
      <c r="B27" s="10" t="s">
        <v>174</v>
      </c>
      <c r="C27" s="10" t="s">
        <v>151</v>
      </c>
      <c r="D27" s="16">
        <f>SUMIFS(Data!$D$2:$D$6070,Data!$A$2:$A$6070,$A27,Data!$B$2:$B$6070,sel_year,Data!$C$2:$C$6070,IF(sel_area="All areas","*",sel_area))</f>
        <v>1706011753.8899996</v>
      </c>
      <c r="E27" s="16">
        <f>SUMIFS(Data!$D$2:$D$6070,Data!$A$2:$A$6070,$A27,Data!$B$2:$B$6070,sel_year-sel_lookback,Data!$C$2:$C$6070,IF(sel_area="All areas","*",sel_area))</f>
        <v>1713637109.28</v>
      </c>
      <c r="F27" s="17">
        <f t="shared" si="0"/>
        <v>-1.4854747342825103E-3</v>
      </c>
      <c r="G27" s="17">
        <f t="shared" si="1"/>
        <v>-1.4854747342825103E-3</v>
      </c>
      <c r="H27" s="19">
        <f>SUMIFS(Enrollment!$C$2:$C$358,Enrollment!$A$2:$A$358,$A27,Enrollment!$B$2:$B$358,sel_year)</f>
        <v>1432903</v>
      </c>
      <c r="I27" s="20">
        <f t="shared" si="2"/>
        <v>1190.5982148756752</v>
      </c>
      <c r="J27" s="17">
        <f>IF(D27&gt;0,SUMIFS(Data!$F$2:$F$6070,Data!$A$2:$A$6070,$A27,Data!$B$2:$B$6070,sel_year,Data!$C$2:$C$6070,IF(sel_area="All areas","*",sel_area))/D27,0)</f>
        <v>0.89597177210219714</v>
      </c>
      <c r="K27" s="21">
        <f t="shared" si="3"/>
        <v>0.6</v>
      </c>
      <c r="L27" s="21">
        <f t="shared" si="4"/>
        <v>0.34</v>
      </c>
      <c r="M27" s="21">
        <f t="shared" si="5"/>
        <v>0.48</v>
      </c>
      <c r="N27" s="21">
        <f t="shared" si="6"/>
        <v>0.66</v>
      </c>
      <c r="O27" s="22">
        <f t="shared" si="7"/>
        <v>52.300027000000007</v>
      </c>
      <c r="P27" s="23">
        <f t="shared" si="8"/>
        <v>22</v>
      </c>
      <c r="Q27" s="24" t="str">
        <f t="shared" si="9"/>
        <v>B</v>
      </c>
      <c r="R27" s="25">
        <f t="shared" si="10"/>
        <v>89224460790.764343</v>
      </c>
      <c r="S27" s="16">
        <f t="shared" si="11"/>
        <v>1814836715.9411278</v>
      </c>
      <c r="T27" s="17">
        <f t="shared" si="12"/>
        <v>6.3789104502350868E-2</v>
      </c>
      <c r="U27" s="26">
        <f>SUMIFS(Flags!$C$2:$C$358,Flags!$A$2:$A$358,$A27,Flags!$B$2:$B$358,sel_year)</f>
        <v>0.36230000000000001</v>
      </c>
      <c r="V27" s="26">
        <f>SUMIFS(Flags!$C$2:$C$358,Flags!$A$2:$A$358,$A27,Flags!$B$2:$B$358,sel_year-sel_lookback)</f>
        <v>0.32750000000000001</v>
      </c>
      <c r="W27" s="26">
        <f>_xlfn.MAXIFS(Flags!$E$2:$E$358,Flags!$A$2:$A$358,$A27,Flags!$B$2:$B$358,"&gt;"&amp;(sel_year-sel_lookback),Flags!$B$2:$B$358,"&lt;="&amp;sel_year)</f>
        <v>2.3400000000000001E-2</v>
      </c>
      <c r="X27" s="27" t="str">
        <f t="shared" si="13"/>
        <v/>
      </c>
    </row>
    <row r="28" spans="1:24" x14ac:dyDescent="0.3">
      <c r="A28" s="10" t="s">
        <v>50</v>
      </c>
      <c r="B28" s="10" t="s">
        <v>175</v>
      </c>
      <c r="C28" s="10" t="s">
        <v>159</v>
      </c>
      <c r="D28" s="16">
        <f>SUMIFS(Data!$D$2:$D$6070,Data!$A$2:$A$6070,$A28,Data!$B$2:$B$6070,sel_year,Data!$C$2:$C$6070,IF(sel_area="All areas","*",sel_area))</f>
        <v>2568658574.0100002</v>
      </c>
      <c r="E28" s="16">
        <f>SUMIFS(Data!$D$2:$D$6070,Data!$A$2:$A$6070,$A28,Data!$B$2:$B$6070,sel_year-sel_lookback,Data!$C$2:$C$6070,IF(sel_area="All areas","*",sel_area))</f>
        <v>2275286802.7200003</v>
      </c>
      <c r="F28" s="17">
        <f t="shared" si="0"/>
        <v>4.1254148320217565E-2</v>
      </c>
      <c r="G28" s="17">
        <f t="shared" si="1"/>
        <v>4.1254148320217565E-2</v>
      </c>
      <c r="H28" s="19">
        <f>SUMIFS(Enrollment!$C$2:$C$358,Enrollment!$A$2:$A$358,$A28,Enrollment!$B$2:$B$358,sel_year)</f>
        <v>1615524</v>
      </c>
      <c r="I28" s="20">
        <f t="shared" si="2"/>
        <v>1589.9847814145753</v>
      </c>
      <c r="J28" s="17">
        <f>IF(D28&gt;0,SUMIFS(Data!$F$2:$F$6070,Data!$A$2:$A$6070,$A28,Data!$B$2:$B$6070,sel_year,Data!$C$2:$C$6070,IF(sel_area="All areas","*",sel_area))/D28,0)</f>
        <v>0.91791736616017083</v>
      </c>
      <c r="K28" s="21">
        <f t="shared" si="3"/>
        <v>0.78</v>
      </c>
      <c r="L28" s="21">
        <f t="shared" si="4"/>
        <v>0.8</v>
      </c>
      <c r="M28" s="21">
        <f t="shared" si="5"/>
        <v>0.7</v>
      </c>
      <c r="N28" s="21">
        <f t="shared" si="6"/>
        <v>0.92</v>
      </c>
      <c r="O28" s="22">
        <f t="shared" si="7"/>
        <v>79.700028000000003</v>
      </c>
      <c r="P28" s="23">
        <f t="shared" si="8"/>
        <v>4</v>
      </c>
      <c r="Q28" s="24" t="str">
        <f t="shared" si="9"/>
        <v>A</v>
      </c>
      <c r="R28" s="25">
        <f t="shared" si="10"/>
        <v>204722160271.03711</v>
      </c>
      <c r="S28" s="16">
        <f t="shared" si="11"/>
        <v>2818353345.2091856</v>
      </c>
      <c r="T28" s="17">
        <f t="shared" si="12"/>
        <v>9.7208236908411072E-2</v>
      </c>
      <c r="U28" s="26">
        <f>SUMIFS(Flags!$C$2:$C$358,Flags!$A$2:$A$358,$A28,Flags!$B$2:$B$358,sel_year)</f>
        <v>0.27360000000000001</v>
      </c>
      <c r="V28" s="26">
        <f>SUMIFS(Flags!$C$2:$C$358,Flags!$A$2:$A$358,$A28,Flags!$B$2:$B$358,sel_year-sel_lookback)</f>
        <v>0.47299999999999998</v>
      </c>
      <c r="W28" s="26">
        <f>_xlfn.MAXIFS(Flags!$E$2:$E$358,Flags!$A$2:$A$358,$A28,Flags!$B$2:$B$358,"&gt;"&amp;(sel_year-sel_lookback),Flags!$B$2:$B$358,"&lt;="&amp;sel_year)</f>
        <v>7.0900000000000005E-2</v>
      </c>
      <c r="X28" s="27" t="str">
        <f t="shared" si="13"/>
        <v/>
      </c>
    </row>
    <row r="29" spans="1:24" x14ac:dyDescent="0.3">
      <c r="A29" s="10" t="s">
        <v>53</v>
      </c>
      <c r="B29" s="10" t="s">
        <v>176</v>
      </c>
      <c r="C29" s="10" t="s">
        <v>167</v>
      </c>
      <c r="D29" s="16">
        <f>SUMIFS(Data!$D$2:$D$6070,Data!$A$2:$A$6070,$A29,Data!$B$2:$B$6070,sel_year,Data!$C$2:$C$6070,IF(sel_area="All areas","*",sel_area))</f>
        <v>4170522029.7600012</v>
      </c>
      <c r="E29" s="16">
        <f>SUMIFS(Data!$D$2:$D$6070,Data!$A$2:$A$6070,$A29,Data!$B$2:$B$6070,sel_year-sel_lookback,Data!$C$2:$C$6070,IF(sel_area="All areas","*",sel_area))</f>
        <v>3619116869.6700006</v>
      </c>
      <c r="F29" s="17">
        <f t="shared" si="0"/>
        <v>4.8405451745443306E-2</v>
      </c>
      <c r="G29" s="17">
        <f t="shared" si="1"/>
        <v>4.8405451745443306E-2</v>
      </c>
      <c r="H29" s="19">
        <f>SUMIFS(Enrollment!$C$2:$C$358,Enrollment!$A$2:$A$358,$A29,Enrollment!$B$2:$B$358,sel_year)</f>
        <v>2355680</v>
      </c>
      <c r="I29" s="20">
        <f t="shared" si="2"/>
        <v>1770.4111041228016</v>
      </c>
      <c r="J29" s="17">
        <f>IF(D29&gt;0,SUMIFS(Data!$F$2:$F$6070,Data!$A$2:$A$6070,$A29,Data!$B$2:$B$6070,sel_year,Data!$C$2:$C$6070,IF(sel_area="All areas","*",sel_area))/D29,0)</f>
        <v>0.92060986815862611</v>
      </c>
      <c r="K29" s="21">
        <f t="shared" si="3"/>
        <v>0.9</v>
      </c>
      <c r="L29" s="21">
        <f t="shared" si="4"/>
        <v>0.88</v>
      </c>
      <c r="M29" s="21">
        <f t="shared" si="5"/>
        <v>0.88</v>
      </c>
      <c r="N29" s="21">
        <f t="shared" si="6"/>
        <v>0.96</v>
      </c>
      <c r="O29" s="22">
        <f t="shared" si="7"/>
        <v>90.300028999999995</v>
      </c>
      <c r="P29" s="23">
        <f t="shared" si="8"/>
        <v>1</v>
      </c>
      <c r="Q29" s="24" t="str">
        <f t="shared" si="9"/>
        <v>A</v>
      </c>
      <c r="R29" s="25">
        <f t="shared" si="10"/>
        <v>376598260232.46692</v>
      </c>
      <c r="S29" s="16">
        <f t="shared" si="11"/>
        <v>4629850010.1714144</v>
      </c>
      <c r="T29" s="17">
        <f t="shared" si="12"/>
        <v>0.11013680712719931</v>
      </c>
      <c r="U29" s="26">
        <f>SUMIFS(Flags!$C$2:$C$358,Flags!$A$2:$A$358,$A29,Flags!$B$2:$B$358,sel_year)</f>
        <v>0.4032</v>
      </c>
      <c r="V29" s="26">
        <f>SUMIFS(Flags!$C$2:$C$358,Flags!$A$2:$A$358,$A29,Flags!$B$2:$B$358,sel_year-sel_lookback)</f>
        <v>0.44259999999999999</v>
      </c>
      <c r="W29" s="26">
        <f>_xlfn.MAXIFS(Flags!$E$2:$E$358,Flags!$A$2:$A$358,$A29,Flags!$B$2:$B$358,"&gt;"&amp;(sel_year-sel_lookback),Flags!$B$2:$B$358,"&lt;="&amp;sel_year)</f>
        <v>0.13159999999999999</v>
      </c>
      <c r="X29" s="27" t="str">
        <f t="shared" si="13"/>
        <v/>
      </c>
    </row>
    <row r="30" spans="1:24" x14ac:dyDescent="0.3">
      <c r="A30" s="10" t="s">
        <v>54</v>
      </c>
      <c r="B30" s="10" t="s">
        <v>177</v>
      </c>
      <c r="C30" s="10" t="s">
        <v>167</v>
      </c>
      <c r="D30" s="16">
        <f>SUMIFS(Data!$D$2:$D$6070,Data!$A$2:$A$6070,$A30,Data!$B$2:$B$6070,sel_year,Data!$C$2:$C$6070,IF(sel_area="All areas","*",sel_area))</f>
        <v>1583956689.6199999</v>
      </c>
      <c r="E30" s="16">
        <f>SUMIFS(Data!$D$2:$D$6070,Data!$A$2:$A$6070,$A30,Data!$B$2:$B$6070,sel_year-sel_lookback,Data!$C$2:$C$6070,IF(sel_area="All areas","*",sel_area))</f>
        <v>1451561185.1299996</v>
      </c>
      <c r="F30" s="17">
        <f t="shared" si="0"/>
        <v>2.9522838516863326E-2</v>
      </c>
      <c r="G30" s="17">
        <f t="shared" si="1"/>
        <v>2.9522838516863326E-2</v>
      </c>
      <c r="H30" s="19">
        <f>SUMIFS(Enrollment!$C$2:$C$358,Enrollment!$A$2:$A$358,$A30,Enrollment!$B$2:$B$358,sel_year)</f>
        <v>1165802</v>
      </c>
      <c r="I30" s="20">
        <f t="shared" si="2"/>
        <v>1358.6841415780723</v>
      </c>
      <c r="J30" s="17">
        <f>IF(D30&gt;0,SUMIFS(Data!$F$2:$F$6070,Data!$A$2:$A$6070,$A30,Data!$B$2:$B$6070,sel_year,Data!$C$2:$C$6070,IF(sel_area="All areas","*",sel_area))/D30,0)</f>
        <v>0.85476821351397692</v>
      </c>
      <c r="K30" s="21">
        <f t="shared" si="3"/>
        <v>0.54</v>
      </c>
      <c r="L30" s="21">
        <f t="shared" si="4"/>
        <v>0.72</v>
      </c>
      <c r="M30" s="21">
        <f t="shared" si="5"/>
        <v>0.54</v>
      </c>
      <c r="N30" s="21">
        <f t="shared" si="6"/>
        <v>0.16</v>
      </c>
      <c r="O30" s="22">
        <f t="shared" si="7"/>
        <v>50.900030000000001</v>
      </c>
      <c r="P30" s="23">
        <f t="shared" si="8"/>
        <v>25</v>
      </c>
      <c r="Q30" s="24" t="str">
        <f t="shared" si="9"/>
        <v>B</v>
      </c>
      <c r="R30" s="25">
        <f t="shared" si="10"/>
        <v>80623443020.358688</v>
      </c>
      <c r="S30" s="16">
        <f t="shared" si="11"/>
        <v>1682291193.9628942</v>
      </c>
      <c r="T30" s="17">
        <f t="shared" si="12"/>
        <v>6.2081561312440581E-2</v>
      </c>
      <c r="U30" s="26">
        <f>SUMIFS(Flags!$C$2:$C$358,Flags!$A$2:$A$358,$A30,Flags!$B$2:$B$358,sel_year)</f>
        <v>0.13370000000000001</v>
      </c>
      <c r="V30" s="26">
        <f>SUMIFS(Flags!$C$2:$C$358,Flags!$A$2:$A$358,$A30,Flags!$B$2:$B$358,sel_year-sel_lookback)</f>
        <v>0.13639999999999999</v>
      </c>
      <c r="W30" s="26">
        <f>_xlfn.MAXIFS(Flags!$E$2:$E$358,Flags!$A$2:$A$358,$A30,Flags!$B$2:$B$358,"&gt;"&amp;(sel_year-sel_lookback),Flags!$B$2:$B$358,"&lt;="&amp;sel_year)</f>
        <v>0.17599999999999999</v>
      </c>
      <c r="X30" s="27" t="str">
        <f t="shared" si="13"/>
        <v/>
      </c>
    </row>
    <row r="31" spans="1:24" x14ac:dyDescent="0.3">
      <c r="A31" s="10" t="s">
        <v>56</v>
      </c>
      <c r="B31" s="10" t="s">
        <v>178</v>
      </c>
      <c r="C31" s="10" t="s">
        <v>151</v>
      </c>
      <c r="D31" s="16">
        <f>SUMIFS(Data!$D$2:$D$6070,Data!$A$2:$A$6070,$A31,Data!$B$2:$B$6070,sel_year,Data!$C$2:$C$6070,IF(sel_area="All areas","*",sel_area))</f>
        <v>595290784.13</v>
      </c>
      <c r="E31" s="16">
        <f>SUMIFS(Data!$D$2:$D$6070,Data!$A$2:$A$6070,$A31,Data!$B$2:$B$6070,sel_year-sel_lookback,Data!$C$2:$C$6070,IF(sel_area="All areas","*",sel_area))</f>
        <v>606052717.12999988</v>
      </c>
      <c r="F31" s="17">
        <f t="shared" si="0"/>
        <v>-5.9545262048877889E-3</v>
      </c>
      <c r="G31" s="17">
        <f t="shared" si="1"/>
        <v>-5.9545262048877889E-3</v>
      </c>
      <c r="H31" s="19">
        <f>SUMIFS(Enrollment!$C$2:$C$358,Enrollment!$A$2:$A$358,$A31,Enrollment!$B$2:$B$358,sel_year)</f>
        <v>599444</v>
      </c>
      <c r="I31" s="20">
        <f t="shared" si="2"/>
        <v>993.07155318928869</v>
      </c>
      <c r="J31" s="17">
        <f>IF(D31&gt;0,SUMIFS(Data!$F$2:$F$6070,Data!$A$2:$A$6070,$A31,Data!$B$2:$B$6070,sel_year,Data!$C$2:$C$6070,IF(sel_area="All areas","*",sel_area))/D31,0)</f>
        <v>0.85383359803366565</v>
      </c>
      <c r="K31" s="21">
        <f t="shared" si="3"/>
        <v>0.34</v>
      </c>
      <c r="L31" s="21">
        <f t="shared" si="4"/>
        <v>0.26</v>
      </c>
      <c r="M31" s="21">
        <f t="shared" si="5"/>
        <v>0.28000000000000003</v>
      </c>
      <c r="N31" s="21">
        <f t="shared" si="6"/>
        <v>0.14000000000000001</v>
      </c>
      <c r="O31" s="22">
        <f t="shared" si="7"/>
        <v>26.800031000000001</v>
      </c>
      <c r="P31" s="23">
        <f t="shared" si="8"/>
        <v>43</v>
      </c>
      <c r="Q31" s="24" t="str">
        <f t="shared" si="9"/>
        <v>C</v>
      </c>
      <c r="R31" s="25">
        <f t="shared" si="10"/>
        <v>15953811468.698309</v>
      </c>
      <c r="S31" s="16">
        <f t="shared" si="11"/>
        <v>614749270.20281982</v>
      </c>
      <c r="T31" s="17">
        <f t="shared" si="12"/>
        <v>3.2687363203947273E-2</v>
      </c>
      <c r="U31" s="26">
        <f>SUMIFS(Flags!$C$2:$C$358,Flags!$A$2:$A$358,$A31,Flags!$B$2:$B$358,sel_year)</f>
        <v>0.14410000000000001</v>
      </c>
      <c r="V31" s="26">
        <f>SUMIFS(Flags!$C$2:$C$358,Flags!$A$2:$A$358,$A31,Flags!$B$2:$B$358,sel_year-sel_lookback)</f>
        <v>0.28160000000000002</v>
      </c>
      <c r="W31" s="26">
        <f>_xlfn.MAXIFS(Flags!$E$2:$E$358,Flags!$A$2:$A$358,$A31,Flags!$B$2:$B$358,"&gt;"&amp;(sel_year-sel_lookback),Flags!$B$2:$B$358,"&lt;="&amp;sel_year)</f>
        <v>9.5000000000000001E-2</v>
      </c>
      <c r="X31" s="27" t="str">
        <f t="shared" si="13"/>
        <v/>
      </c>
    </row>
    <row r="32" spans="1:24" x14ac:dyDescent="0.3">
      <c r="A32" s="10" t="s">
        <v>55</v>
      </c>
      <c r="B32" s="10" t="s">
        <v>179</v>
      </c>
      <c r="C32" s="10" t="s">
        <v>167</v>
      </c>
      <c r="D32" s="16">
        <f>SUMIFS(Data!$D$2:$D$6070,Data!$A$2:$A$6070,$A32,Data!$B$2:$B$6070,sel_year,Data!$C$2:$C$6070,IF(sel_area="All areas","*",sel_area))</f>
        <v>2041449004.6599998</v>
      </c>
      <c r="E32" s="16">
        <f>SUMIFS(Data!$D$2:$D$6070,Data!$A$2:$A$6070,$A32,Data!$B$2:$B$6070,sel_year-sel_lookback,Data!$C$2:$C$6070,IF(sel_area="All areas","*",sel_area))</f>
        <v>1589381955.7699997</v>
      </c>
      <c r="F32" s="17">
        <f t="shared" si="0"/>
        <v>8.7018042210768032E-2</v>
      </c>
      <c r="G32" s="17">
        <f t="shared" si="1"/>
        <v>8.7018042210768032E-2</v>
      </c>
      <c r="H32" s="19">
        <f>SUMIFS(Enrollment!$C$2:$C$358,Enrollment!$A$2:$A$358,$A32,Enrollment!$B$2:$B$358,sel_year)</f>
        <v>1267472</v>
      </c>
      <c r="I32" s="20">
        <f t="shared" si="2"/>
        <v>1610.6462349148539</v>
      </c>
      <c r="J32" s="17">
        <f>IF(D32&gt;0,SUMIFS(Data!$F$2:$F$6070,Data!$A$2:$A$6070,$A32,Data!$B$2:$B$6070,sel_year,Data!$C$2:$C$6070,IF(sel_area="All areas","*",sel_area))/D32,0)</f>
        <v>0.8844359421658482</v>
      </c>
      <c r="K32" s="21">
        <f t="shared" si="3"/>
        <v>0.68</v>
      </c>
      <c r="L32" s="21">
        <f t="shared" si="4"/>
        <v>0.96</v>
      </c>
      <c r="M32" s="21">
        <f t="shared" si="5"/>
        <v>0.72</v>
      </c>
      <c r="N32" s="21">
        <f t="shared" si="6"/>
        <v>0.42</v>
      </c>
      <c r="O32" s="22">
        <f t="shared" si="7"/>
        <v>70.600031999999999</v>
      </c>
      <c r="P32" s="23">
        <f t="shared" si="8"/>
        <v>10</v>
      </c>
      <c r="Q32" s="24" t="str">
        <f t="shared" si="9"/>
        <v>A</v>
      </c>
      <c r="R32" s="25">
        <f t="shared" si="10"/>
        <v>144126365055.36414</v>
      </c>
      <c r="S32" s="16">
        <f t="shared" si="11"/>
        <v>2217236519.3024035</v>
      </c>
      <c r="T32" s="17">
        <f t="shared" si="12"/>
        <v>8.6109187269010734E-2</v>
      </c>
      <c r="U32" s="26">
        <f>SUMIFS(Flags!$C$2:$C$358,Flags!$A$2:$A$358,$A32,Flags!$B$2:$B$358,sel_year)</f>
        <v>1</v>
      </c>
      <c r="V32" s="26">
        <f>SUMIFS(Flags!$C$2:$C$358,Flags!$A$2:$A$358,$A32,Flags!$B$2:$B$358,sel_year-sel_lookback)</f>
        <v>1</v>
      </c>
      <c r="W32" s="26">
        <f>_xlfn.MAXIFS(Flags!$E$2:$E$358,Flags!$A$2:$A$358,$A32,Flags!$B$2:$B$358,"&gt;"&amp;(sel_year-sel_lookback),Flags!$B$2:$B$358,"&lt;="&amp;sel_year)</f>
        <v>0.1981</v>
      </c>
      <c r="X32" s="27" t="str">
        <f t="shared" si="13"/>
        <v/>
      </c>
    </row>
    <row r="33" spans="1:24" x14ac:dyDescent="0.3">
      <c r="A33" s="10" t="s">
        <v>57</v>
      </c>
      <c r="B33" s="10" t="s">
        <v>180</v>
      </c>
      <c r="C33" s="10" t="s">
        <v>153</v>
      </c>
      <c r="D33" s="16">
        <f>SUMIFS(Data!$D$2:$D$6070,Data!$A$2:$A$6070,$A33,Data!$B$2:$B$6070,sel_year,Data!$C$2:$C$6070,IF(sel_area="All areas","*",sel_area))</f>
        <v>356114105.79000002</v>
      </c>
      <c r="E33" s="16">
        <f>SUMIFS(Data!$D$2:$D$6070,Data!$A$2:$A$6070,$A33,Data!$B$2:$B$6070,sel_year-sel_lookback,Data!$C$2:$C$6070,IF(sel_area="All areas","*",sel_area))</f>
        <v>418859650.31999999</v>
      </c>
      <c r="F33" s="17">
        <f t="shared" si="0"/>
        <v>-5.2657800221501794E-2</v>
      </c>
      <c r="G33" s="17">
        <f t="shared" si="1"/>
        <v>-5.2657800221501794E-2</v>
      </c>
      <c r="H33" s="19">
        <f>SUMIFS(Enrollment!$C$2:$C$358,Enrollment!$A$2:$A$358,$A33,Enrollment!$B$2:$B$358,sel_year)</f>
        <v>215502</v>
      </c>
      <c r="I33" s="20">
        <f t="shared" si="2"/>
        <v>1652.4863146977755</v>
      </c>
      <c r="J33" s="17">
        <f>IF(D33&gt;0,SUMIFS(Data!$F$2:$F$6070,Data!$A$2:$A$6070,$A33,Data!$B$2:$B$6070,sel_year,Data!$C$2:$C$6070,IF(sel_area="All areas","*",sel_area))/D33,0)</f>
        <v>0.89278557207022002</v>
      </c>
      <c r="K33" s="21">
        <f t="shared" si="3"/>
        <v>0.2</v>
      </c>
      <c r="L33" s="21">
        <f t="shared" si="4"/>
        <v>0.02</v>
      </c>
      <c r="M33" s="21">
        <f t="shared" si="5"/>
        <v>0.76</v>
      </c>
      <c r="N33" s="21">
        <f t="shared" si="6"/>
        <v>0.57999999999999996</v>
      </c>
      <c r="O33" s="22">
        <f t="shared" si="7"/>
        <v>34.300033000000006</v>
      </c>
      <c r="P33" s="23">
        <f t="shared" si="8"/>
        <v>40</v>
      </c>
      <c r="Q33" s="24" t="str">
        <f t="shared" si="9"/>
        <v>C</v>
      </c>
      <c r="R33" s="25">
        <f t="shared" si="10"/>
        <v>12214725580.362494</v>
      </c>
      <c r="S33" s="16">
        <f t="shared" si="11"/>
        <v>371012117.34386176</v>
      </c>
      <c r="T33" s="17">
        <f t="shared" si="12"/>
        <v>4.1834938048331827E-2</v>
      </c>
      <c r="U33" s="26">
        <f>SUMIFS(Flags!$C$2:$C$358,Flags!$A$2:$A$358,$A33,Flags!$B$2:$B$358,sel_year)</f>
        <v>1</v>
      </c>
      <c r="V33" s="26">
        <f>SUMIFS(Flags!$C$2:$C$358,Flags!$A$2:$A$358,$A33,Flags!$B$2:$B$358,sel_year-sel_lookback)</f>
        <v>1</v>
      </c>
      <c r="W33" s="26">
        <f>_xlfn.MAXIFS(Flags!$E$2:$E$358,Flags!$A$2:$A$358,$A33,Flags!$B$2:$B$358,"&gt;"&amp;(sel_year-sel_lookback),Flags!$B$2:$B$358,"&lt;="&amp;sel_year)</f>
        <v>0.1192</v>
      </c>
      <c r="X33" s="27" t="str">
        <f t="shared" si="13"/>
        <v/>
      </c>
    </row>
    <row r="34" spans="1:24" x14ac:dyDescent="0.3">
      <c r="A34" s="10" t="s">
        <v>60</v>
      </c>
      <c r="B34" s="10" t="s">
        <v>181</v>
      </c>
      <c r="C34" s="10" t="s">
        <v>167</v>
      </c>
      <c r="D34" s="16">
        <f>SUMIFS(Data!$D$2:$D$6070,Data!$A$2:$A$6070,$A34,Data!$B$2:$B$6070,sel_year,Data!$C$2:$C$6070,IF(sel_area="All areas","*",sel_area))</f>
        <v>503987043.19000012</v>
      </c>
      <c r="E34" s="16">
        <f>SUMIFS(Data!$D$2:$D$6070,Data!$A$2:$A$6070,$A34,Data!$B$2:$B$6070,sel_year-sel_lookback,Data!$C$2:$C$6070,IF(sel_area="All areas","*",sel_area))</f>
        <v>465456308.3499999</v>
      </c>
      <c r="F34" s="17">
        <f t="shared" si="0"/>
        <v>2.6865312389768636E-2</v>
      </c>
      <c r="G34" s="17">
        <f t="shared" si="1"/>
        <v>2.6865312389768636E-2</v>
      </c>
      <c r="H34" s="19">
        <f>SUMIFS(Enrollment!$C$2:$C$358,Enrollment!$A$2:$A$358,$A34,Enrollment!$B$2:$B$358,sel_year)</f>
        <v>341582</v>
      </c>
      <c r="I34" s="20">
        <f t="shared" si="2"/>
        <v>1475.4496524699782</v>
      </c>
      <c r="J34" s="17">
        <f>IF(D34&gt;0,SUMIFS(Data!$F$2:$F$6070,Data!$A$2:$A$6070,$A34,Data!$B$2:$B$6070,sel_year,Data!$C$2:$C$6070,IF(sel_area="All areas","*",sel_area))/D34,0)</f>
        <v>0.8961838110582635</v>
      </c>
      <c r="K34" s="21">
        <f t="shared" si="3"/>
        <v>0.26</v>
      </c>
      <c r="L34" s="21">
        <f t="shared" si="4"/>
        <v>0.68</v>
      </c>
      <c r="M34" s="21">
        <f t="shared" si="5"/>
        <v>0.62</v>
      </c>
      <c r="N34" s="21">
        <f t="shared" si="6"/>
        <v>0.68</v>
      </c>
      <c r="O34" s="22">
        <f t="shared" si="7"/>
        <v>52.100034000000001</v>
      </c>
      <c r="P34" s="23">
        <f t="shared" si="8"/>
        <v>23</v>
      </c>
      <c r="Q34" s="24" t="str">
        <f t="shared" si="9"/>
        <v>B</v>
      </c>
      <c r="R34" s="25">
        <f t="shared" si="10"/>
        <v>26257742085.758476</v>
      </c>
      <c r="S34" s="16">
        <f t="shared" si="11"/>
        <v>536012989.44628453</v>
      </c>
      <c r="T34" s="17">
        <f t="shared" si="12"/>
        <v>6.3545177775951034E-2</v>
      </c>
      <c r="U34" s="26">
        <f>SUMIFS(Flags!$C$2:$C$358,Flags!$A$2:$A$358,$A34,Flags!$B$2:$B$358,sel_year)</f>
        <v>0</v>
      </c>
      <c r="V34" s="26">
        <f>SUMIFS(Flags!$C$2:$C$358,Flags!$A$2:$A$358,$A34,Flags!$B$2:$B$358,sel_year-sel_lookback)</f>
        <v>0</v>
      </c>
      <c r="W34" s="26">
        <f>_xlfn.MAXIFS(Flags!$E$2:$E$358,Flags!$A$2:$A$358,$A34,Flags!$B$2:$B$358,"&gt;"&amp;(sel_year-sel_lookback),Flags!$B$2:$B$358,"&lt;="&amp;sel_year)</f>
        <v>0.114</v>
      </c>
      <c r="X34" s="27" t="str">
        <f t="shared" si="13"/>
        <v/>
      </c>
    </row>
    <row r="35" spans="1:24" x14ac:dyDescent="0.3">
      <c r="A35" s="10" t="s">
        <v>64</v>
      </c>
      <c r="B35" s="10" t="s">
        <v>182</v>
      </c>
      <c r="C35" s="10" t="s">
        <v>153</v>
      </c>
      <c r="D35" s="16">
        <f>SUMIFS(Data!$D$2:$D$6070,Data!$A$2:$A$6070,$A35,Data!$B$2:$B$6070,sel_year,Data!$C$2:$C$6070,IF(sel_area="All areas","*",sel_area))</f>
        <v>870385046.32000005</v>
      </c>
      <c r="E35" s="16">
        <f>SUMIFS(Data!$D$2:$D$6070,Data!$A$2:$A$6070,$A35,Data!$B$2:$B$6070,sel_year-sel_lookback,Data!$C$2:$C$6070,IF(sel_area="All areas","*",sel_area))</f>
        <v>706653628.53000009</v>
      </c>
      <c r="F35" s="17">
        <f t="shared" si="0"/>
        <v>7.1934566807939415E-2</v>
      </c>
      <c r="G35" s="17">
        <f t="shared" si="1"/>
        <v>7.1934566807939415E-2</v>
      </c>
      <c r="H35" s="19">
        <f>SUMIFS(Enrollment!$C$2:$C$358,Enrollment!$A$2:$A$358,$A35,Enrollment!$B$2:$B$358,sel_year)</f>
        <v>752680</v>
      </c>
      <c r="I35" s="20">
        <f t="shared" si="2"/>
        <v>1156.381259393102</v>
      </c>
      <c r="J35" s="17">
        <f>IF(D35&gt;0,SUMIFS(Data!$F$2:$F$6070,Data!$A$2:$A$6070,$A35,Data!$B$2:$B$6070,sel_year,Data!$C$2:$C$6070,IF(sel_area="All areas","*",sel_area))/D35,0)</f>
        <v>0.89448173200090297</v>
      </c>
      <c r="K35" s="21">
        <f t="shared" si="3"/>
        <v>0.38</v>
      </c>
      <c r="L35" s="21">
        <f t="shared" si="4"/>
        <v>0.92</v>
      </c>
      <c r="M35" s="21">
        <f t="shared" si="5"/>
        <v>0.46</v>
      </c>
      <c r="N35" s="21">
        <f t="shared" si="6"/>
        <v>0.64</v>
      </c>
      <c r="O35" s="22">
        <f t="shared" si="7"/>
        <v>58.300034999999994</v>
      </c>
      <c r="P35" s="23">
        <f t="shared" si="8"/>
        <v>17</v>
      </c>
      <c r="Q35" s="24" t="str">
        <f t="shared" si="9"/>
        <v>B</v>
      </c>
      <c r="R35" s="25">
        <f t="shared" si="10"/>
        <v>50743478663.932617</v>
      </c>
      <c r="S35" s="16">
        <f t="shared" si="11"/>
        <v>932275665.67486978</v>
      </c>
      <c r="T35" s="17">
        <f t="shared" si="12"/>
        <v>7.1107172183787037E-2</v>
      </c>
      <c r="U35" s="26">
        <f>SUMIFS(Flags!$C$2:$C$358,Flags!$A$2:$A$358,$A35,Flags!$B$2:$B$358,sel_year)</f>
        <v>0.41639999999999999</v>
      </c>
      <c r="V35" s="26">
        <f>SUMIFS(Flags!$C$2:$C$358,Flags!$A$2:$A$358,$A35,Flags!$B$2:$B$358,sel_year-sel_lookback)</f>
        <v>0.40860000000000002</v>
      </c>
      <c r="W35" s="26">
        <f>_xlfn.MAXIFS(Flags!$E$2:$E$358,Flags!$A$2:$A$358,$A35,Flags!$B$2:$B$358,"&gt;"&amp;(sel_year-sel_lookback),Flags!$B$2:$B$358,"&lt;="&amp;sel_year)</f>
        <v>0.21729999999999999</v>
      </c>
      <c r="X35" s="27" t="str">
        <f t="shared" si="13"/>
        <v/>
      </c>
    </row>
    <row r="36" spans="1:24" x14ac:dyDescent="0.3">
      <c r="A36" s="10" t="s">
        <v>61</v>
      </c>
      <c r="B36" s="10" t="s">
        <v>183</v>
      </c>
      <c r="C36" s="10" t="s">
        <v>159</v>
      </c>
      <c r="D36" s="16">
        <f>SUMIFS(Data!$D$2:$D$6070,Data!$A$2:$A$6070,$A36,Data!$B$2:$B$6070,sel_year,Data!$C$2:$C$6070,IF(sel_area="All areas","*",sel_area))</f>
        <v>271783501.16000003</v>
      </c>
      <c r="E36" s="16">
        <f>SUMIFS(Data!$D$2:$D$6070,Data!$A$2:$A$6070,$A36,Data!$B$2:$B$6070,sel_year-sel_lookback,Data!$C$2:$C$6070,IF(sel_area="All areas","*",sel_area))</f>
        <v>278745435.76999998</v>
      </c>
      <c r="F36" s="17">
        <f t="shared" si="0"/>
        <v>-8.3956086953005382E-3</v>
      </c>
      <c r="G36" s="17">
        <f t="shared" si="1"/>
        <v>-8.3956086953005382E-3</v>
      </c>
      <c r="H36" s="19">
        <f>SUMIFS(Enrollment!$C$2:$C$358,Enrollment!$A$2:$A$358,$A36,Enrollment!$B$2:$B$358,sel_year)</f>
        <v>184558</v>
      </c>
      <c r="I36" s="20">
        <f t="shared" si="2"/>
        <v>1472.6183701600582</v>
      </c>
      <c r="J36" s="17">
        <f>IF(D36&gt;0,SUMIFS(Data!$F$2:$F$6070,Data!$A$2:$A$6070,$A36,Data!$B$2:$B$6070,sel_year,Data!$C$2:$C$6070,IF(sel_area="All areas","*",sel_area))/D36,0)</f>
        <v>0.90868380385831649</v>
      </c>
      <c r="K36" s="21">
        <f t="shared" si="3"/>
        <v>0.1</v>
      </c>
      <c r="L36" s="21">
        <f t="shared" si="4"/>
        <v>0.24</v>
      </c>
      <c r="M36" s="21">
        <f t="shared" si="5"/>
        <v>0.6</v>
      </c>
      <c r="N36" s="21">
        <f t="shared" si="6"/>
        <v>0.8</v>
      </c>
      <c r="O36" s="22">
        <f t="shared" si="7"/>
        <v>37.500036000000001</v>
      </c>
      <c r="P36" s="23">
        <f t="shared" si="8"/>
        <v>38</v>
      </c>
      <c r="Q36" s="24" t="str">
        <f t="shared" si="9"/>
        <v>C</v>
      </c>
      <c r="R36" s="25">
        <f t="shared" si="10"/>
        <v>10191891077.706043</v>
      </c>
      <c r="S36" s="16">
        <f t="shared" si="11"/>
        <v>284214309.37033552</v>
      </c>
      <c r="T36" s="17">
        <f t="shared" si="12"/>
        <v>4.5737905933507905E-2</v>
      </c>
      <c r="U36" s="26">
        <f>SUMIFS(Flags!$C$2:$C$358,Flags!$A$2:$A$358,$A36,Flags!$B$2:$B$358,sel_year)</f>
        <v>6.9999999999999999E-4</v>
      </c>
      <c r="V36" s="26">
        <f>SUMIFS(Flags!$C$2:$C$358,Flags!$A$2:$A$358,$A36,Flags!$B$2:$B$358,sel_year-sel_lookback)</f>
        <v>1.1900000000000001E-2</v>
      </c>
      <c r="W36" s="26">
        <f>_xlfn.MAXIFS(Flags!$E$2:$E$358,Flags!$A$2:$A$358,$A36,Flags!$B$2:$B$358,"&gt;"&amp;(sel_year-sel_lookback),Flags!$B$2:$B$358,"&lt;="&amp;sel_year)</f>
        <v>0.13</v>
      </c>
      <c r="X36" s="27" t="str">
        <f t="shared" si="13"/>
        <v/>
      </c>
    </row>
    <row r="37" spans="1:24" x14ac:dyDescent="0.3">
      <c r="A37" s="10" t="s">
        <v>62</v>
      </c>
      <c r="B37" s="10" t="s">
        <v>184</v>
      </c>
      <c r="C37" s="10" t="s">
        <v>159</v>
      </c>
      <c r="D37" s="16">
        <f>SUMIFS(Data!$D$2:$D$6070,Data!$A$2:$A$6070,$A37,Data!$B$2:$B$6070,sel_year,Data!$C$2:$C$6070,IF(sel_area="All areas","*",sel_area))</f>
        <v>2038924802.8399999</v>
      </c>
      <c r="E37" s="16">
        <f>SUMIFS(Data!$D$2:$D$6070,Data!$A$2:$A$6070,$A37,Data!$B$2:$B$6070,sel_year-sel_lookback,Data!$C$2:$C$6070,IF(sel_area="All areas","*",sel_area))</f>
        <v>2024230847.2200003</v>
      </c>
      <c r="F37" s="17">
        <f t="shared" si="0"/>
        <v>2.4138458491900217E-3</v>
      </c>
      <c r="G37" s="17">
        <f t="shared" si="1"/>
        <v>2.4138458491900217E-3</v>
      </c>
      <c r="H37" s="19">
        <f>SUMIFS(Enrollment!$C$2:$C$358,Enrollment!$A$2:$A$358,$A37,Enrollment!$B$2:$B$358,sel_year)</f>
        <v>1786827</v>
      </c>
      <c r="I37" s="20">
        <f t="shared" si="2"/>
        <v>1141.0868555489703</v>
      </c>
      <c r="J37" s="17">
        <f>IF(D37&gt;0,SUMIFS(Data!$F$2:$F$6070,Data!$A$2:$A$6070,$A37,Data!$B$2:$B$6070,sel_year,Data!$C$2:$C$6070,IF(sel_area="All areas","*",sel_area))/D37,0)</f>
        <v>0.88585930831493143</v>
      </c>
      <c r="K37" s="21">
        <f t="shared" si="3"/>
        <v>0.66</v>
      </c>
      <c r="L37" s="21">
        <f t="shared" si="4"/>
        <v>0.4</v>
      </c>
      <c r="M37" s="21">
        <f t="shared" si="5"/>
        <v>0.4</v>
      </c>
      <c r="N37" s="21">
        <f t="shared" si="6"/>
        <v>0.44</v>
      </c>
      <c r="O37" s="22">
        <f t="shared" si="7"/>
        <v>49.900036999999998</v>
      </c>
      <c r="P37" s="23">
        <f t="shared" si="8"/>
        <v>28</v>
      </c>
      <c r="Q37" s="24" t="str">
        <f t="shared" si="9"/>
        <v>B</v>
      </c>
      <c r="R37" s="25">
        <f t="shared" si="10"/>
        <v>101742423101.9337</v>
      </c>
      <c r="S37" s="16">
        <f t="shared" si="11"/>
        <v>2163017627.1051126</v>
      </c>
      <c r="T37" s="17">
        <f t="shared" si="12"/>
        <v>6.0861893529503774E-2</v>
      </c>
      <c r="U37" s="26">
        <f>SUMIFS(Flags!$C$2:$C$358,Flags!$A$2:$A$358,$A37,Flags!$B$2:$B$358,sel_year)</f>
        <v>6.8999999999999999E-3</v>
      </c>
      <c r="V37" s="26">
        <f>SUMIFS(Flags!$C$2:$C$358,Flags!$A$2:$A$358,$A37,Flags!$B$2:$B$358,sel_year-sel_lookback)</f>
        <v>5.1000000000000004E-3</v>
      </c>
      <c r="W37" s="26">
        <f>_xlfn.MAXIFS(Flags!$E$2:$E$358,Flags!$A$2:$A$358,$A37,Flags!$B$2:$B$358,"&gt;"&amp;(sel_year-sel_lookback),Flags!$B$2:$B$358,"&lt;="&amp;sel_year)</f>
        <v>9.5100000000000004E-2</v>
      </c>
      <c r="X37" s="27" t="str">
        <f t="shared" si="13"/>
        <v/>
      </c>
    </row>
    <row r="38" spans="1:24" x14ac:dyDescent="0.3">
      <c r="A38" s="10" t="s">
        <v>63</v>
      </c>
      <c r="B38" s="10" t="s">
        <v>185</v>
      </c>
      <c r="C38" s="10" t="s">
        <v>153</v>
      </c>
      <c r="D38" s="16">
        <f>SUMIFS(Data!$D$2:$D$6070,Data!$A$2:$A$6070,$A38,Data!$B$2:$B$6070,sel_year,Data!$C$2:$C$6070,IF(sel_area="All areas","*",sel_area))</f>
        <v>673897493.75999999</v>
      </c>
      <c r="E38" s="16">
        <f>SUMIFS(Data!$D$2:$D$6070,Data!$A$2:$A$6070,$A38,Data!$B$2:$B$6070,sel_year-sel_lookback,Data!$C$2:$C$6070,IF(sel_area="All areas","*",sel_area))</f>
        <v>535006301.29999995</v>
      </c>
      <c r="F38" s="17">
        <f t="shared" si="0"/>
        <v>7.9969891665115922E-2</v>
      </c>
      <c r="G38" s="17">
        <f t="shared" si="1"/>
        <v>7.9969891665115922E-2</v>
      </c>
      <c r="H38" s="19">
        <f>SUMIFS(Enrollment!$C$2:$C$358,Enrollment!$A$2:$A$358,$A38,Enrollment!$B$2:$B$358,sel_year)</f>
        <v>700402</v>
      </c>
      <c r="I38" s="20">
        <f t="shared" si="2"/>
        <v>962.1581516900294</v>
      </c>
      <c r="J38" s="17">
        <f>IF(D38&gt;0,SUMIFS(Data!$F$2:$F$6070,Data!$A$2:$A$6070,$A38,Data!$B$2:$B$6070,sel_year,Data!$C$2:$C$6070,IF(sel_area="All areas","*",sel_area))/D38,0)</f>
        <v>0.75644178795765937</v>
      </c>
      <c r="K38" s="21">
        <f t="shared" si="3"/>
        <v>0.36</v>
      </c>
      <c r="L38" s="21">
        <f t="shared" si="4"/>
        <v>0.94</v>
      </c>
      <c r="M38" s="21">
        <f t="shared" si="5"/>
        <v>0.18</v>
      </c>
      <c r="N38" s="21">
        <f t="shared" si="6"/>
        <v>0.02</v>
      </c>
      <c r="O38" s="22">
        <f t="shared" si="7"/>
        <v>40.100037999999998</v>
      </c>
      <c r="P38" s="23">
        <f t="shared" si="8"/>
        <v>35</v>
      </c>
      <c r="Q38" s="24" t="str">
        <f t="shared" si="9"/>
        <v>C</v>
      </c>
      <c r="R38" s="25">
        <f t="shared" si="10"/>
        <v>27023315107.88076</v>
      </c>
      <c r="S38" s="16">
        <f t="shared" si="11"/>
        <v>706857191.30311143</v>
      </c>
      <c r="T38" s="17">
        <f t="shared" si="12"/>
        <v>4.8909066806604784E-2</v>
      </c>
      <c r="U38" s="26">
        <f>SUMIFS(Flags!$C$2:$C$358,Flags!$A$2:$A$358,$A38,Flags!$B$2:$B$358,sel_year)</f>
        <v>0.15579999999999999</v>
      </c>
      <c r="V38" s="26">
        <f>SUMIFS(Flags!$C$2:$C$358,Flags!$A$2:$A$358,$A38,Flags!$B$2:$B$358,sel_year-sel_lookback)</f>
        <v>0.19159999999999999</v>
      </c>
      <c r="W38" s="26">
        <f>_xlfn.MAXIFS(Flags!$E$2:$E$358,Flags!$A$2:$A$358,$A38,Flags!$B$2:$B$358,"&gt;"&amp;(sel_year-sel_lookback),Flags!$B$2:$B$358,"&lt;="&amp;sel_year)</f>
        <v>8.8800000000000004E-2</v>
      </c>
      <c r="X38" s="27" t="str">
        <f t="shared" si="13"/>
        <v/>
      </c>
    </row>
    <row r="39" spans="1:24" x14ac:dyDescent="0.3">
      <c r="A39" s="10" t="s">
        <v>65</v>
      </c>
      <c r="B39" s="10" t="s">
        <v>186</v>
      </c>
      <c r="C39" s="10" t="s">
        <v>159</v>
      </c>
      <c r="D39" s="16">
        <f>SUMIFS(Data!$D$2:$D$6070,Data!$A$2:$A$6070,$A39,Data!$B$2:$B$6070,sel_year,Data!$C$2:$C$6070,IF(sel_area="All areas","*",sel_area))</f>
        <v>12685963229.430002</v>
      </c>
      <c r="E39" s="16">
        <f>SUMIFS(Data!$D$2:$D$6070,Data!$A$2:$A$6070,$A39,Data!$B$2:$B$6070,sel_year-sel_lookback,Data!$C$2:$C$6070,IF(sel_area="All areas","*",sel_area))</f>
        <v>7583106388.1499996</v>
      </c>
      <c r="F39" s="17">
        <f t="shared" ref="F39:F70" si="14">IF(E39&gt;0,(D39/E39)^(1/sel_lookback)-1,"")</f>
        <v>0.18711310605841613</v>
      </c>
      <c r="G39" s="17">
        <f t="shared" ref="G39:G70" si="15">IF(AND(E39&gt;=min_base,ISNUMBER(F39),NOT(AND(neutralise="Yes",X39="Check"))),F39,MEDIAN($F$7:$F$57))</f>
        <v>1.2957402548823937E-2</v>
      </c>
      <c r="H39" s="19">
        <f>SUMIFS(Enrollment!$C$2:$C$358,Enrollment!$A$2:$A$358,$A39,Enrollment!$B$2:$B$358,sel_year)</f>
        <v>6580544</v>
      </c>
      <c r="I39" s="20">
        <f t="shared" ref="I39:I70" si="16">IF(H39&gt;0,D39/H39,0)</f>
        <v>1927.798557297087</v>
      </c>
      <c r="J39" s="17">
        <f>IF(D39&gt;0,SUMIFS(Data!$F$2:$F$6070,Data!$A$2:$A$6070,$A39,Data!$B$2:$B$6070,sel_year,Data!$C$2:$C$6070,IF(sel_area="All areas","*",sel_area))/D39,0)</f>
        <v>0.8524740749611891</v>
      </c>
      <c r="K39" s="21">
        <f t="shared" ref="K39:K57" si="17">_xlfn.PERCENTRANK.INC($D$7:$D$57,D39)</f>
        <v>0.98</v>
      </c>
      <c r="L39" s="21">
        <f t="shared" ref="L39:L57" si="18">_xlfn.PERCENTRANK.INC($G$7:$G$57,G39)</f>
        <v>0.48</v>
      </c>
      <c r="M39" s="21">
        <f t="shared" ref="M39:M57" si="19">_xlfn.PERCENTRANK.INC($I$7:$I$57,I39)</f>
        <v>0.94</v>
      </c>
      <c r="N39" s="21">
        <f t="shared" ref="N39:N57" si="20">_xlfn.PERCENTRANK.INC($J$7:$J$57,J39)</f>
        <v>0.12</v>
      </c>
      <c r="O39" s="22">
        <f t="shared" ref="O39:O70" si="21">100*(w_size*K39+w_growth*L39+w_intensity*M39+w_brand*N39)+ROW()/1000000</f>
        <v>67.500039000000001</v>
      </c>
      <c r="P39" s="23">
        <f t="shared" ref="P39:P70" si="22">_xlfn.RANK.EQ(O39,$O$7:$O$57)</f>
        <v>12</v>
      </c>
      <c r="Q39" s="24" t="str">
        <f t="shared" ref="Q39:Q70" si="23">IF(P39&lt;=tier_a,"A",IF(P39&lt;=tier_a+tier_b,"B","C"))</f>
        <v>B</v>
      </c>
      <c r="R39" s="25">
        <f t="shared" ref="R39:R57" si="24">O39*D39</f>
        <v>856303012739.09106</v>
      </c>
      <c r="S39" s="16">
        <f t="shared" ref="S39:S70" si="25">D39+SUM($D$7:$D$57)*target_growth*R39/SUM($R$7:$R$57)</f>
        <v>13730375737.38706</v>
      </c>
      <c r="T39" s="17">
        <f t="shared" ref="T39:T70" si="26">IF(D39&gt;0,S39/D39-1,"")</f>
        <v>8.232819921266521E-2</v>
      </c>
      <c r="U39" s="26">
        <f>SUMIFS(Flags!$C$2:$C$358,Flags!$A$2:$A$358,$A39,Flags!$B$2:$B$358,sel_year)</f>
        <v>0.92400000000000004</v>
      </c>
      <c r="V39" s="26">
        <f>SUMIFS(Flags!$C$2:$C$358,Flags!$A$2:$A$358,$A39,Flags!$B$2:$B$358,sel_year-sel_lookback)</f>
        <v>0.1115</v>
      </c>
      <c r="W39" s="26">
        <f>_xlfn.MAXIFS(Flags!$E$2:$E$358,Flags!$A$2:$A$358,$A39,Flags!$B$2:$B$358,"&gt;"&amp;(sel_year-sel_lookback),Flags!$B$2:$B$358,"&lt;="&amp;sel_year)</f>
        <v>0.31900000000000001</v>
      </c>
      <c r="X39" s="27" t="str">
        <f t="shared" ref="X39:X70" si="27">IF(OR(ABS(U39-V39)&gt;=ffs_thr,W39&gt;=swing_thr),"Check","")</f>
        <v>Check</v>
      </c>
    </row>
    <row r="40" spans="1:24" x14ac:dyDescent="0.3">
      <c r="A40" s="10" t="s">
        <v>58</v>
      </c>
      <c r="B40" s="10" t="s">
        <v>187</v>
      </c>
      <c r="C40" s="10" t="s">
        <v>151</v>
      </c>
      <c r="D40" s="16">
        <f>SUMIFS(Data!$D$2:$D$6070,Data!$A$2:$A$6070,$A40,Data!$B$2:$B$6070,sel_year,Data!$C$2:$C$6070,IF(sel_area="All areas","*",sel_area))</f>
        <v>4653223899.6699991</v>
      </c>
      <c r="E40" s="16">
        <f>SUMIFS(Data!$D$2:$D$6070,Data!$A$2:$A$6070,$A40,Data!$B$2:$B$6070,sel_year-sel_lookback,Data!$C$2:$C$6070,IF(sel_area="All areas","*",sel_area))</f>
        <v>2430741171.27</v>
      </c>
      <c r="F40" s="17">
        <f t="shared" si="14"/>
        <v>0.2416668247873881</v>
      </c>
      <c r="G40" s="17">
        <f t="shared" si="15"/>
        <v>1.2957402548823937E-2</v>
      </c>
      <c r="H40" s="19">
        <f>SUMIFS(Enrollment!$C$2:$C$358,Enrollment!$A$2:$A$358,$A40,Enrollment!$B$2:$B$358,sel_year)</f>
        <v>2877273</v>
      </c>
      <c r="I40" s="20">
        <f t="shared" si="16"/>
        <v>1617.2340614429006</v>
      </c>
      <c r="J40" s="17">
        <f>IF(D40&gt;0,SUMIFS(Data!$F$2:$F$6070,Data!$A$2:$A$6070,$A40,Data!$B$2:$B$6070,sel_year,Data!$C$2:$C$6070,IF(sel_area="All areas","*",sel_area))/D40,0)</f>
        <v>0.8691045034404653</v>
      </c>
      <c r="K40" s="21">
        <f t="shared" si="17"/>
        <v>0.92</v>
      </c>
      <c r="L40" s="21">
        <f t="shared" si="18"/>
        <v>0.48</v>
      </c>
      <c r="M40" s="21">
        <f t="shared" si="19"/>
        <v>0.74</v>
      </c>
      <c r="N40" s="21">
        <f t="shared" si="20"/>
        <v>0.3</v>
      </c>
      <c r="O40" s="22">
        <f t="shared" si="21"/>
        <v>65.000039999999984</v>
      </c>
      <c r="P40" s="23">
        <f t="shared" si="22"/>
        <v>13</v>
      </c>
      <c r="Q40" s="24" t="str">
        <f t="shared" si="23"/>
        <v>B</v>
      </c>
      <c r="R40" s="25">
        <f t="shared" si="24"/>
        <v>302459739607.50586</v>
      </c>
      <c r="S40" s="16">
        <f t="shared" si="25"/>
        <v>5022126882.0255728</v>
      </c>
      <c r="T40" s="17">
        <f t="shared" si="26"/>
        <v>7.9279009630663921E-2</v>
      </c>
      <c r="U40" s="26">
        <f>SUMIFS(Flags!$C$2:$C$358,Flags!$A$2:$A$358,$A40,Flags!$B$2:$B$358,sel_year)</f>
        <v>5.8900000000000001E-2</v>
      </c>
      <c r="V40" s="26">
        <f>SUMIFS(Flags!$C$2:$C$358,Flags!$A$2:$A$358,$A40,Flags!$B$2:$B$358,sel_year-sel_lookback)</f>
        <v>0.36830000000000002</v>
      </c>
      <c r="W40" s="26">
        <f>_xlfn.MAXIFS(Flags!$E$2:$E$358,Flags!$A$2:$A$358,$A40,Flags!$B$2:$B$358,"&gt;"&amp;(sel_year-sel_lookback),Flags!$B$2:$B$358,"&lt;="&amp;sel_year)</f>
        <v>0.31690000000000002</v>
      </c>
      <c r="X40" s="27" t="str">
        <f t="shared" si="27"/>
        <v>Check</v>
      </c>
    </row>
    <row r="41" spans="1:24" x14ac:dyDescent="0.3">
      <c r="A41" s="10" t="s">
        <v>59</v>
      </c>
      <c r="B41" s="10" t="s">
        <v>188</v>
      </c>
      <c r="C41" s="10" t="s">
        <v>167</v>
      </c>
      <c r="D41" s="16">
        <f>SUMIFS(Data!$D$2:$D$6070,Data!$A$2:$A$6070,$A41,Data!$B$2:$B$6070,sel_year,Data!$C$2:$C$6070,IF(sel_area="All areas","*",sel_area))</f>
        <v>104973211.48999999</v>
      </c>
      <c r="E41" s="16">
        <f>SUMIFS(Data!$D$2:$D$6070,Data!$A$2:$A$6070,$A41,Data!$B$2:$B$6070,sel_year-sel_lookback,Data!$C$2:$C$6070,IF(sel_area="All areas","*",sel_area))</f>
        <v>101427491.66</v>
      </c>
      <c r="F41" s="17">
        <f t="shared" si="14"/>
        <v>1.1519515646207346E-2</v>
      </c>
      <c r="G41" s="17">
        <f t="shared" si="15"/>
        <v>1.1519515646207346E-2</v>
      </c>
      <c r="H41" s="19">
        <f>SUMIFS(Enrollment!$C$2:$C$358,Enrollment!$A$2:$A$358,$A41,Enrollment!$B$2:$B$358,sel_year)</f>
        <v>107388</v>
      </c>
      <c r="I41" s="20">
        <f t="shared" si="16"/>
        <v>977.51342319439789</v>
      </c>
      <c r="J41" s="17">
        <f>IF(D41&gt;0,SUMIFS(Data!$F$2:$F$6070,Data!$A$2:$A$6070,$A41,Data!$B$2:$B$6070,sel_year,Data!$C$2:$C$6070,IF(sel_area="All areas","*",sel_area))/D41,0)</f>
        <v>0.86713918673119184</v>
      </c>
      <c r="K41" s="21">
        <f t="shared" si="17"/>
        <v>0.02</v>
      </c>
      <c r="L41" s="21">
        <f t="shared" si="18"/>
        <v>0.46</v>
      </c>
      <c r="M41" s="21">
        <f t="shared" si="19"/>
        <v>0.24</v>
      </c>
      <c r="N41" s="21">
        <f t="shared" si="20"/>
        <v>0.26</v>
      </c>
      <c r="O41" s="22">
        <f t="shared" si="21"/>
        <v>22.200040999999995</v>
      </c>
      <c r="P41" s="23">
        <f t="shared" si="22"/>
        <v>46</v>
      </c>
      <c r="Q41" s="24" t="str">
        <f t="shared" si="23"/>
        <v>C</v>
      </c>
      <c r="R41" s="25">
        <f t="shared" si="24"/>
        <v>2330409598.9796705</v>
      </c>
      <c r="S41" s="16">
        <f t="shared" si="25"/>
        <v>107815556.89533976</v>
      </c>
      <c r="T41" s="17">
        <f t="shared" si="26"/>
        <v>2.7076864325624062E-2</v>
      </c>
      <c r="U41" s="26">
        <f>SUMIFS(Flags!$C$2:$C$358,Flags!$A$2:$A$358,$A41,Flags!$B$2:$B$358,sel_year)</f>
        <v>0.94450000000000001</v>
      </c>
      <c r="V41" s="26">
        <f>SUMIFS(Flags!$C$2:$C$358,Flags!$A$2:$A$358,$A41,Flags!$B$2:$B$358,sel_year-sel_lookback)</f>
        <v>0.94699999999999995</v>
      </c>
      <c r="W41" s="26">
        <f>_xlfn.MAXIFS(Flags!$E$2:$E$358,Flags!$A$2:$A$358,$A41,Flags!$B$2:$B$358,"&gt;"&amp;(sel_year-sel_lookback),Flags!$B$2:$B$358,"&lt;="&amp;sel_year)</f>
        <v>0.1389</v>
      </c>
      <c r="X41" s="27" t="str">
        <f t="shared" si="27"/>
        <v/>
      </c>
    </row>
    <row r="42" spans="1:24" x14ac:dyDescent="0.3">
      <c r="A42" s="10" t="s">
        <v>66</v>
      </c>
      <c r="B42" s="10" t="s">
        <v>189</v>
      </c>
      <c r="C42" s="10" t="s">
        <v>167</v>
      </c>
      <c r="D42" s="16">
        <f>SUMIFS(Data!$D$2:$D$6070,Data!$A$2:$A$6070,$A42,Data!$B$2:$B$6070,sel_year,Data!$C$2:$C$6070,IF(sel_area="All areas","*",sel_area))</f>
        <v>4778824034.2000008</v>
      </c>
      <c r="E42" s="16">
        <f>SUMIFS(Data!$D$2:$D$6070,Data!$A$2:$A$6070,$A42,Data!$B$2:$B$6070,sel_year-sel_lookback,Data!$C$2:$C$6070,IF(sel_area="All areas","*",sel_area))</f>
        <v>4391418867.3899994</v>
      </c>
      <c r="F42" s="17">
        <f t="shared" si="14"/>
        <v>2.8581538827333608E-2</v>
      </c>
      <c r="G42" s="17">
        <f t="shared" si="15"/>
        <v>2.8581538827333608E-2</v>
      </c>
      <c r="H42" s="19">
        <f>SUMIFS(Enrollment!$C$2:$C$358,Enrollment!$A$2:$A$358,$A42,Enrollment!$B$2:$B$358,sel_year)</f>
        <v>2785821</v>
      </c>
      <c r="I42" s="20">
        <f t="shared" si="16"/>
        <v>1715.409580945797</v>
      </c>
      <c r="J42" s="17">
        <f>IF(D42&gt;0,SUMIFS(Data!$F$2:$F$6070,Data!$A$2:$A$6070,$A42,Data!$B$2:$B$6070,sel_year,Data!$C$2:$C$6070,IF(sel_area="All areas","*",sel_area))/D42,0)</f>
        <v>0.88214256472528041</v>
      </c>
      <c r="K42" s="21">
        <f t="shared" si="17"/>
        <v>0.94</v>
      </c>
      <c r="L42" s="21">
        <f t="shared" si="18"/>
        <v>0.7</v>
      </c>
      <c r="M42" s="21">
        <f t="shared" si="19"/>
        <v>0.8</v>
      </c>
      <c r="N42" s="21">
        <f t="shared" si="20"/>
        <v>0.38</v>
      </c>
      <c r="O42" s="22">
        <f t="shared" si="21"/>
        <v>74.000041999999993</v>
      </c>
      <c r="P42" s="23">
        <f t="shared" si="22"/>
        <v>9</v>
      </c>
      <c r="Q42" s="24" t="str">
        <f t="shared" si="23"/>
        <v>A</v>
      </c>
      <c r="R42" s="25">
        <f t="shared" si="24"/>
        <v>353633179241.40948</v>
      </c>
      <c r="S42" s="16">
        <f t="shared" si="25"/>
        <v>5210142049.1243305</v>
      </c>
      <c r="T42" s="17">
        <f t="shared" si="26"/>
        <v>9.025609895605502E-2</v>
      </c>
      <c r="U42" s="26">
        <f>SUMIFS(Flags!$C$2:$C$358,Flags!$A$2:$A$358,$A42,Flags!$B$2:$B$358,sel_year)</f>
        <v>7.3700000000000002E-2</v>
      </c>
      <c r="V42" s="26">
        <f>SUMIFS(Flags!$C$2:$C$358,Flags!$A$2:$A$358,$A42,Flags!$B$2:$B$358,sel_year-sel_lookback)</f>
        <v>8.0500000000000002E-2</v>
      </c>
      <c r="W42" s="26">
        <f>_xlfn.MAXIFS(Flags!$E$2:$E$358,Flags!$A$2:$A$358,$A42,Flags!$B$2:$B$358,"&gt;"&amp;(sel_year-sel_lookback),Flags!$B$2:$B$358,"&lt;="&amp;sel_year)</f>
        <v>0.1132</v>
      </c>
      <c r="X42" s="27" t="str">
        <f t="shared" si="27"/>
        <v/>
      </c>
    </row>
    <row r="43" spans="1:24" x14ac:dyDescent="0.3">
      <c r="A43" s="10" t="s">
        <v>67</v>
      </c>
      <c r="B43" s="10" t="s">
        <v>190</v>
      </c>
      <c r="C43" s="10" t="s">
        <v>151</v>
      </c>
      <c r="D43" s="16">
        <f>SUMIFS(Data!$D$2:$D$6070,Data!$A$2:$A$6070,$A43,Data!$B$2:$B$6070,sel_year,Data!$C$2:$C$6070,IF(sel_area="All areas","*",sel_area))</f>
        <v>1033659044.0100001</v>
      </c>
      <c r="E43" s="16">
        <f>SUMIFS(Data!$D$2:$D$6070,Data!$A$2:$A$6070,$A43,Data!$B$2:$B$6070,sel_year-sel_lookback,Data!$C$2:$C$6070,IF(sel_area="All areas","*",sel_area))</f>
        <v>892661534.0400002</v>
      </c>
      <c r="F43" s="17">
        <f t="shared" si="14"/>
        <v>5.0098801147732797E-2</v>
      </c>
      <c r="G43" s="17">
        <f t="shared" si="15"/>
        <v>1.2957402548823937E-2</v>
      </c>
      <c r="H43" s="19">
        <f>SUMIFS(Enrollment!$C$2:$C$358,Enrollment!$A$2:$A$358,$A43,Enrollment!$B$2:$B$358,sel_year)</f>
        <v>991024</v>
      </c>
      <c r="I43" s="20">
        <f t="shared" si="16"/>
        <v>1043.0212023220427</v>
      </c>
      <c r="J43" s="17">
        <f>IF(D43&gt;0,SUMIFS(Data!$F$2:$F$6070,Data!$A$2:$A$6070,$A43,Data!$B$2:$B$6070,sel_year,Data!$C$2:$C$6070,IF(sel_area="All areas","*",sel_area))/D43,0)</f>
        <v>0.91564528785842403</v>
      </c>
      <c r="K43" s="21">
        <f t="shared" si="17"/>
        <v>0.48</v>
      </c>
      <c r="L43" s="21">
        <f t="shared" si="18"/>
        <v>0.48</v>
      </c>
      <c r="M43" s="21">
        <f t="shared" si="19"/>
        <v>0.3</v>
      </c>
      <c r="N43" s="21">
        <f t="shared" si="20"/>
        <v>0.9</v>
      </c>
      <c r="O43" s="22">
        <f t="shared" si="21"/>
        <v>52.800043000000002</v>
      </c>
      <c r="P43" s="23">
        <f t="shared" si="22"/>
        <v>21</v>
      </c>
      <c r="Q43" s="24" t="str">
        <f t="shared" si="23"/>
        <v>B</v>
      </c>
      <c r="R43" s="25">
        <f t="shared" si="24"/>
        <v>54577241971.066902</v>
      </c>
      <c r="S43" s="16">
        <f t="shared" si="25"/>
        <v>1100225613.6896386</v>
      </c>
      <c r="T43" s="17">
        <f t="shared" si="26"/>
        <v>6.4398962177507402E-2</v>
      </c>
      <c r="U43" s="26">
        <f>SUMIFS(Flags!$C$2:$C$358,Flags!$A$2:$A$358,$A43,Flags!$B$2:$B$358,sel_year)</f>
        <v>0.45150000000000001</v>
      </c>
      <c r="V43" s="26">
        <f>SUMIFS(Flags!$C$2:$C$358,Flags!$A$2:$A$358,$A43,Flags!$B$2:$B$358,sel_year-sel_lookback)</f>
        <v>1</v>
      </c>
      <c r="W43" s="26">
        <f>_xlfn.MAXIFS(Flags!$E$2:$E$358,Flags!$A$2:$A$358,$A43,Flags!$B$2:$B$358,"&gt;"&amp;(sel_year-sel_lookback),Flags!$B$2:$B$358,"&lt;="&amp;sel_year)</f>
        <v>0.19900000000000001</v>
      </c>
      <c r="X43" s="27" t="str">
        <f t="shared" si="27"/>
        <v>Check</v>
      </c>
    </row>
    <row r="44" spans="1:24" x14ac:dyDescent="0.3">
      <c r="A44" s="10" t="s">
        <v>68</v>
      </c>
      <c r="B44" s="10" t="s">
        <v>191</v>
      </c>
      <c r="C44" s="10" t="s">
        <v>153</v>
      </c>
      <c r="D44" s="16">
        <f>SUMIFS(Data!$D$2:$D$6070,Data!$A$2:$A$6070,$A44,Data!$B$2:$B$6070,sel_year,Data!$C$2:$C$6070,IF(sel_area="All areas","*",sel_area))</f>
        <v>1021396769.75</v>
      </c>
      <c r="E44" s="16">
        <f>SUMIFS(Data!$D$2:$D$6070,Data!$A$2:$A$6070,$A44,Data!$B$2:$B$6070,sel_year-sel_lookback,Data!$C$2:$C$6070,IF(sel_area="All areas","*",sel_area))</f>
        <v>864298076.99999976</v>
      </c>
      <c r="F44" s="17">
        <f t="shared" si="14"/>
        <v>5.724825684004653E-2</v>
      </c>
      <c r="G44" s="17">
        <f t="shared" si="15"/>
        <v>5.724825684004653E-2</v>
      </c>
      <c r="H44" s="19">
        <f>SUMIFS(Enrollment!$C$2:$C$358,Enrollment!$A$2:$A$358,$A44,Enrollment!$B$2:$B$358,sel_year)</f>
        <v>1313886</v>
      </c>
      <c r="I44" s="20">
        <f t="shared" si="16"/>
        <v>777.38614289976454</v>
      </c>
      <c r="J44" s="17">
        <f>IF(D44&gt;0,SUMIFS(Data!$F$2:$F$6070,Data!$A$2:$A$6070,$A44,Data!$B$2:$B$6070,sel_year,Data!$C$2:$C$6070,IF(sel_area="All areas","*",sel_area))/D44,0)</f>
        <v>0.83471714683284071</v>
      </c>
      <c r="K44" s="21">
        <f t="shared" si="17"/>
        <v>0.46</v>
      </c>
      <c r="L44" s="21">
        <f t="shared" si="18"/>
        <v>0.9</v>
      </c>
      <c r="M44" s="21">
        <f t="shared" si="19"/>
        <v>0.08</v>
      </c>
      <c r="N44" s="21">
        <f t="shared" si="20"/>
        <v>0.08</v>
      </c>
      <c r="O44" s="22">
        <f t="shared" si="21"/>
        <v>41.800044000000007</v>
      </c>
      <c r="P44" s="23">
        <f t="shared" si="22"/>
        <v>34</v>
      </c>
      <c r="Q44" s="24" t="str">
        <f t="shared" si="23"/>
        <v>C</v>
      </c>
      <c r="R44" s="25">
        <f t="shared" si="24"/>
        <v>42694429917.007874</v>
      </c>
      <c r="S44" s="16">
        <f t="shared" si="25"/>
        <v>1073470154.9443196</v>
      </c>
      <c r="T44" s="17">
        <f t="shared" si="26"/>
        <v>5.098252386980362E-2</v>
      </c>
      <c r="U44" s="26">
        <f>SUMIFS(Flags!$C$2:$C$358,Flags!$A$2:$A$358,$A44,Flags!$B$2:$B$358,sel_year)</f>
        <v>0.15859999999999999</v>
      </c>
      <c r="V44" s="26">
        <f>SUMIFS(Flags!$C$2:$C$358,Flags!$A$2:$A$358,$A44,Flags!$B$2:$B$358,sel_year-sel_lookback)</f>
        <v>0.16309999999999999</v>
      </c>
      <c r="W44" s="26">
        <f>_xlfn.MAXIFS(Flags!$E$2:$E$358,Flags!$A$2:$A$358,$A44,Flags!$B$2:$B$358,"&gt;"&amp;(sel_year-sel_lookback),Flags!$B$2:$B$358,"&lt;="&amp;sel_year)</f>
        <v>7.5200000000000003E-2</v>
      </c>
      <c r="X44" s="27" t="str">
        <f t="shared" si="27"/>
        <v/>
      </c>
    </row>
    <row r="45" spans="1:24" x14ac:dyDescent="0.3">
      <c r="A45" s="10" t="s">
        <v>69</v>
      </c>
      <c r="B45" s="10" t="s">
        <v>192</v>
      </c>
      <c r="C45" s="10" t="s">
        <v>159</v>
      </c>
      <c r="D45" s="16">
        <f>SUMIFS(Data!$D$2:$D$6070,Data!$A$2:$A$6070,$A45,Data!$B$2:$B$6070,sel_year,Data!$C$2:$C$6070,IF(sel_area="All areas","*",sel_area))</f>
        <v>5368005107.3799992</v>
      </c>
      <c r="E45" s="16">
        <f>SUMIFS(Data!$D$2:$D$6070,Data!$A$2:$A$6070,$A45,Data!$B$2:$B$6070,sel_year-sel_lookback,Data!$C$2:$C$6070,IF(sel_area="All areas","*",sel_area))</f>
        <v>4689331335.0599995</v>
      </c>
      <c r="F45" s="17">
        <f t="shared" si="14"/>
        <v>4.6085864217215278E-2</v>
      </c>
      <c r="G45" s="17">
        <f t="shared" si="15"/>
        <v>4.6085864217215278E-2</v>
      </c>
      <c r="H45" s="19">
        <f>SUMIFS(Enrollment!$C$2:$C$358,Enrollment!$A$2:$A$358,$A45,Enrollment!$B$2:$B$358,sel_year)</f>
        <v>3061207</v>
      </c>
      <c r="I45" s="20">
        <f t="shared" si="16"/>
        <v>1753.5583537408609</v>
      </c>
      <c r="J45" s="17">
        <f>IF(D45&gt;0,SUMIFS(Data!$F$2:$F$6070,Data!$A$2:$A$6070,$A45,Data!$B$2:$B$6070,sel_year,Data!$C$2:$C$6070,IF(sel_area="All areas","*",sel_area))/D45,0)</f>
        <v>0.90552038535083745</v>
      </c>
      <c r="K45" s="21">
        <f t="shared" si="17"/>
        <v>0.96</v>
      </c>
      <c r="L45" s="21">
        <f t="shared" si="18"/>
        <v>0.86</v>
      </c>
      <c r="M45" s="21">
        <f t="shared" si="19"/>
        <v>0.84</v>
      </c>
      <c r="N45" s="21">
        <f t="shared" si="20"/>
        <v>0.76</v>
      </c>
      <c r="O45" s="22">
        <f t="shared" si="21"/>
        <v>87.100044999999994</v>
      </c>
      <c r="P45" s="23">
        <f t="shared" si="22"/>
        <v>2</v>
      </c>
      <c r="Q45" s="24" t="str">
        <f t="shared" si="23"/>
        <v>A</v>
      </c>
      <c r="R45" s="25">
        <f t="shared" si="24"/>
        <v>467553486413.02771</v>
      </c>
      <c r="S45" s="16">
        <f t="shared" si="25"/>
        <v>5938269023.4051123</v>
      </c>
      <c r="T45" s="17">
        <f t="shared" si="26"/>
        <v>0.1062338624158734</v>
      </c>
      <c r="U45" s="26">
        <f>SUMIFS(Flags!$C$2:$C$358,Flags!$A$2:$A$358,$A45,Flags!$B$2:$B$358,sel_year)</f>
        <v>8.2000000000000007E-3</v>
      </c>
      <c r="V45" s="26">
        <f>SUMIFS(Flags!$C$2:$C$358,Flags!$A$2:$A$358,$A45,Flags!$B$2:$B$358,sel_year-sel_lookback)</f>
        <v>9.4000000000000004E-3</v>
      </c>
      <c r="W45" s="26">
        <f>_xlfn.MAXIFS(Flags!$E$2:$E$358,Flags!$A$2:$A$358,$A45,Flags!$B$2:$B$358,"&gt;"&amp;(sel_year-sel_lookback),Flags!$B$2:$B$358,"&lt;="&amp;sel_year)</f>
        <v>0.1021</v>
      </c>
      <c r="X45" s="27" t="str">
        <f t="shared" si="27"/>
        <v/>
      </c>
    </row>
    <row r="46" spans="1:24" x14ac:dyDescent="0.3">
      <c r="A46" s="10" t="s">
        <v>70</v>
      </c>
      <c r="B46" s="10" t="s">
        <v>193</v>
      </c>
      <c r="C46" s="10" t="s">
        <v>159</v>
      </c>
      <c r="D46" s="16">
        <f>SUMIFS(Data!$D$2:$D$6070,Data!$A$2:$A$6070,$A46,Data!$B$2:$B$6070,sel_year,Data!$C$2:$C$6070,IF(sel_area="All areas","*",sel_area))</f>
        <v>306133098.75999999</v>
      </c>
      <c r="E46" s="16">
        <f>SUMIFS(Data!$D$2:$D$6070,Data!$A$2:$A$6070,$A46,Data!$B$2:$B$6070,sel_year-sel_lookback,Data!$C$2:$C$6070,IF(sel_area="All areas","*",sel_area))</f>
        <v>339207478.04000002</v>
      </c>
      <c r="F46" s="17">
        <f t="shared" si="14"/>
        <v>-3.3619206599130758E-2</v>
      </c>
      <c r="G46" s="17">
        <f t="shared" si="15"/>
        <v>-3.3619206599130758E-2</v>
      </c>
      <c r="H46" s="19">
        <f>SUMIFS(Enrollment!$C$2:$C$358,Enrollment!$A$2:$A$358,$A46,Enrollment!$B$2:$B$358,sel_year)</f>
        <v>309562</v>
      </c>
      <c r="I46" s="20">
        <f t="shared" si="16"/>
        <v>988.92337806319892</v>
      </c>
      <c r="J46" s="17">
        <f>IF(D46&gt;0,SUMIFS(Data!$F$2:$F$6070,Data!$A$2:$A$6070,$A46,Data!$B$2:$B$6070,sel_year,Data!$C$2:$C$6070,IF(sel_area="All areas","*",sel_area))/D46,0)</f>
        <v>0.87118660987744023</v>
      </c>
      <c r="K46" s="21">
        <f t="shared" si="17"/>
        <v>0.16</v>
      </c>
      <c r="L46" s="21">
        <f t="shared" si="18"/>
        <v>0.08</v>
      </c>
      <c r="M46" s="21">
        <f t="shared" si="19"/>
        <v>0.26</v>
      </c>
      <c r="N46" s="21">
        <f t="shared" si="20"/>
        <v>0.36</v>
      </c>
      <c r="O46" s="22">
        <f t="shared" si="21"/>
        <v>20.000046000000001</v>
      </c>
      <c r="P46" s="23">
        <f t="shared" si="22"/>
        <v>47</v>
      </c>
      <c r="Q46" s="24" t="str">
        <f t="shared" si="23"/>
        <v>C</v>
      </c>
      <c r="R46" s="25">
        <f t="shared" si="24"/>
        <v>6122676057.3225431</v>
      </c>
      <c r="S46" s="16">
        <f t="shared" si="25"/>
        <v>313600781.7662552</v>
      </c>
      <c r="T46" s="17">
        <f t="shared" si="26"/>
        <v>2.4393582518529522E-2</v>
      </c>
      <c r="U46" s="26">
        <f>SUMIFS(Flags!$C$2:$C$358,Flags!$A$2:$A$358,$A46,Flags!$B$2:$B$358,sel_year)</f>
        <v>2.75E-2</v>
      </c>
      <c r="V46" s="26">
        <f>SUMIFS(Flags!$C$2:$C$358,Flags!$A$2:$A$358,$A46,Flags!$B$2:$B$358,sel_year-sel_lookback)</f>
        <v>2.01E-2</v>
      </c>
      <c r="W46" s="26">
        <f>_xlfn.MAXIFS(Flags!$E$2:$E$358,Flags!$A$2:$A$358,$A46,Flags!$B$2:$B$358,"&gt;"&amp;(sel_year-sel_lookback),Flags!$B$2:$B$358,"&lt;="&amp;sel_year)</f>
        <v>9.5399999999999999E-2</v>
      </c>
      <c r="X46" s="27" t="str">
        <f t="shared" si="27"/>
        <v/>
      </c>
    </row>
    <row r="47" spans="1:24" x14ac:dyDescent="0.3">
      <c r="A47" s="10" t="s">
        <v>71</v>
      </c>
      <c r="B47" s="10" t="s">
        <v>194</v>
      </c>
      <c r="C47" s="10" t="s">
        <v>151</v>
      </c>
      <c r="D47" s="16">
        <f>SUMIFS(Data!$D$2:$D$6070,Data!$A$2:$A$6070,$A47,Data!$B$2:$B$6070,sel_year,Data!$C$2:$C$6070,IF(sel_area="All areas","*",sel_area))</f>
        <v>963506375.31000006</v>
      </c>
      <c r="E47" s="16">
        <f>SUMIFS(Data!$D$2:$D$6070,Data!$A$2:$A$6070,$A47,Data!$B$2:$B$6070,sel_year-sel_lookback,Data!$C$2:$C$6070,IF(sel_area="All areas","*",sel_area))</f>
        <v>999619604.6400001</v>
      </c>
      <c r="F47" s="17">
        <f t="shared" si="14"/>
        <v>-1.219032411247345E-2</v>
      </c>
      <c r="G47" s="17">
        <f t="shared" si="15"/>
        <v>-1.219032411247345E-2</v>
      </c>
      <c r="H47" s="19">
        <f>SUMIFS(Enrollment!$C$2:$C$358,Enrollment!$A$2:$A$358,$A47,Enrollment!$B$2:$B$358,sel_year)</f>
        <v>1036413</v>
      </c>
      <c r="I47" s="20">
        <f t="shared" si="16"/>
        <v>929.65485314252146</v>
      </c>
      <c r="J47" s="17">
        <f>IF(D47&gt;0,SUMIFS(Data!$F$2:$F$6070,Data!$A$2:$A$6070,$A47,Data!$B$2:$B$6070,sel_year,Data!$C$2:$C$6070,IF(sel_area="All areas","*",sel_area))/D47,0)</f>
        <v>0.86251762713310487</v>
      </c>
      <c r="K47" s="21">
        <f t="shared" si="17"/>
        <v>0.42</v>
      </c>
      <c r="L47" s="21">
        <f t="shared" si="18"/>
        <v>0.22</v>
      </c>
      <c r="M47" s="21">
        <f t="shared" si="19"/>
        <v>0.14000000000000001</v>
      </c>
      <c r="N47" s="21">
        <f t="shared" si="20"/>
        <v>0.2</v>
      </c>
      <c r="O47" s="22">
        <f t="shared" si="21"/>
        <v>27.000046999999999</v>
      </c>
      <c r="P47" s="23">
        <f t="shared" si="22"/>
        <v>42</v>
      </c>
      <c r="Q47" s="24" t="str">
        <f t="shared" si="23"/>
        <v>C</v>
      </c>
      <c r="R47" s="25">
        <f t="shared" si="24"/>
        <v>26014717418.16964</v>
      </c>
      <c r="S47" s="16">
        <f t="shared" si="25"/>
        <v>995235910.13388753</v>
      </c>
      <c r="T47" s="17">
        <f t="shared" si="26"/>
        <v>3.2931317982902497E-2</v>
      </c>
      <c r="U47" s="26">
        <f>SUMIFS(Flags!$C$2:$C$358,Flags!$A$2:$A$358,$A47,Flags!$B$2:$B$358,sel_year)</f>
        <v>0.188</v>
      </c>
      <c r="V47" s="26">
        <f>SUMIFS(Flags!$C$2:$C$358,Flags!$A$2:$A$358,$A47,Flags!$B$2:$B$358,sel_year-sel_lookback)</f>
        <v>0.18959999999999999</v>
      </c>
      <c r="W47" s="26">
        <f>_xlfn.MAXIFS(Flags!$E$2:$E$358,Flags!$A$2:$A$358,$A47,Flags!$B$2:$B$358,"&gt;"&amp;(sel_year-sel_lookback),Flags!$B$2:$B$358,"&lt;="&amp;sel_year)</f>
        <v>9.5799999999999996E-2</v>
      </c>
      <c r="X47" s="27" t="str">
        <f t="shared" si="27"/>
        <v/>
      </c>
    </row>
    <row r="48" spans="1:24" x14ac:dyDescent="0.3">
      <c r="A48" s="10" t="s">
        <v>72</v>
      </c>
      <c r="B48" s="10" t="s">
        <v>195</v>
      </c>
      <c r="C48" s="10" t="s">
        <v>167</v>
      </c>
      <c r="D48" s="16">
        <f>SUMIFS(Data!$D$2:$D$6070,Data!$A$2:$A$6070,$A48,Data!$B$2:$B$6070,sel_year,Data!$C$2:$C$6070,IF(sel_area="All areas","*",sel_area))</f>
        <v>282409292.88999999</v>
      </c>
      <c r="E48" s="16">
        <f>SUMIFS(Data!$D$2:$D$6070,Data!$A$2:$A$6070,$A48,Data!$B$2:$B$6070,sel_year-sel_lookback,Data!$C$2:$C$6070,IF(sel_area="All areas","*",sel_area))</f>
        <v>166838577.96999997</v>
      </c>
      <c r="F48" s="17">
        <f t="shared" si="14"/>
        <v>0.19177471740035057</v>
      </c>
      <c r="G48" s="17">
        <f t="shared" si="15"/>
        <v>1.2957402548823937E-2</v>
      </c>
      <c r="H48" s="19">
        <f>SUMIFS(Enrollment!$C$2:$C$358,Enrollment!$A$2:$A$358,$A48,Enrollment!$B$2:$B$358,sel_year)</f>
        <v>139921</v>
      </c>
      <c r="I48" s="20">
        <f t="shared" si="16"/>
        <v>2018.3481599616925</v>
      </c>
      <c r="J48" s="17">
        <f>IF(D48&gt;0,SUMIFS(Data!$F$2:$F$6070,Data!$A$2:$A$6070,$A48,Data!$B$2:$B$6070,sel_year,Data!$C$2:$C$6070,IF(sel_area="All areas","*",sel_area))/D48,0)</f>
        <v>0.72811933139924379</v>
      </c>
      <c r="K48" s="21">
        <f t="shared" si="17"/>
        <v>0.14000000000000001</v>
      </c>
      <c r="L48" s="21">
        <f t="shared" si="18"/>
        <v>0.48</v>
      </c>
      <c r="M48" s="21">
        <f t="shared" si="19"/>
        <v>0.96</v>
      </c>
      <c r="N48" s="21">
        <f t="shared" si="20"/>
        <v>0</v>
      </c>
      <c r="O48" s="22">
        <f t="shared" si="21"/>
        <v>36.100048000000001</v>
      </c>
      <c r="P48" s="23">
        <f t="shared" si="22"/>
        <v>39</v>
      </c>
      <c r="Q48" s="24" t="str">
        <f t="shared" si="23"/>
        <v>C</v>
      </c>
      <c r="R48" s="25">
        <f t="shared" si="24"/>
        <v>10194989028.975058</v>
      </c>
      <c r="S48" s="16">
        <f t="shared" si="25"/>
        <v>294843879.5981409</v>
      </c>
      <c r="T48" s="17">
        <f t="shared" si="26"/>
        <v>4.4030373720684413E-2</v>
      </c>
      <c r="U48" s="26">
        <f>SUMIFS(Flags!$C$2:$C$358,Flags!$A$2:$A$358,$A48,Flags!$B$2:$B$358,sel_year)</f>
        <v>1</v>
      </c>
      <c r="V48" s="26">
        <f>SUMIFS(Flags!$C$2:$C$358,Flags!$A$2:$A$358,$A48,Flags!$B$2:$B$358,sel_year-sel_lookback)</f>
        <v>1</v>
      </c>
      <c r="W48" s="26">
        <f>_xlfn.MAXIFS(Flags!$E$2:$E$358,Flags!$A$2:$A$358,$A48,Flags!$B$2:$B$358,"&gt;"&amp;(sel_year-sel_lookback),Flags!$B$2:$B$358,"&lt;="&amp;sel_year)</f>
        <v>0.74419999999999997</v>
      </c>
      <c r="X48" s="27" t="str">
        <f t="shared" si="27"/>
        <v>Check</v>
      </c>
    </row>
    <row r="49" spans="1:24" x14ac:dyDescent="0.3">
      <c r="A49" s="10" t="s">
        <v>73</v>
      </c>
      <c r="B49" s="10" t="s">
        <v>196</v>
      </c>
      <c r="C49" s="10" t="s">
        <v>151</v>
      </c>
      <c r="D49" s="16">
        <f>SUMIFS(Data!$D$2:$D$6070,Data!$A$2:$A$6070,$A49,Data!$B$2:$B$6070,sel_year,Data!$C$2:$C$6070,IF(sel_area="All areas","*",sel_area))</f>
        <v>1584397726.8200002</v>
      </c>
      <c r="E49" s="16">
        <f>SUMIFS(Data!$D$2:$D$6070,Data!$A$2:$A$6070,$A49,Data!$B$2:$B$6070,sel_year-sel_lookback,Data!$C$2:$C$6070,IF(sel_area="All areas","*",sel_area))</f>
        <v>1551482102.2699997</v>
      </c>
      <c r="F49" s="17">
        <f t="shared" si="14"/>
        <v>7.0224367968387824E-3</v>
      </c>
      <c r="G49" s="17">
        <f t="shared" si="15"/>
        <v>7.0224367968387824E-3</v>
      </c>
      <c r="H49" s="19">
        <f>SUMIFS(Enrollment!$C$2:$C$358,Enrollment!$A$2:$A$358,$A49,Enrollment!$B$2:$B$358,sel_year)</f>
        <v>1433753</v>
      </c>
      <c r="I49" s="20">
        <f t="shared" si="16"/>
        <v>1105.0702086203135</v>
      </c>
      <c r="J49" s="17">
        <f>IF(D49&gt;0,SUMIFS(Data!$F$2:$F$6070,Data!$A$2:$A$6070,$A49,Data!$B$2:$B$6070,sel_year,Data!$C$2:$C$6070,IF(sel_area="All areas","*",sel_area))/D49,0)</f>
        <v>0.89430551871839115</v>
      </c>
      <c r="K49" s="21">
        <f t="shared" si="17"/>
        <v>0.56000000000000005</v>
      </c>
      <c r="L49" s="21">
        <f t="shared" si="18"/>
        <v>0.44</v>
      </c>
      <c r="M49" s="21">
        <f t="shared" si="19"/>
        <v>0.36</v>
      </c>
      <c r="N49" s="21">
        <f t="shared" si="20"/>
        <v>0.62</v>
      </c>
      <c r="O49" s="22">
        <f t="shared" si="21"/>
        <v>50.200049</v>
      </c>
      <c r="P49" s="23">
        <f t="shared" si="22"/>
        <v>26</v>
      </c>
      <c r="Q49" s="24" t="str">
        <f t="shared" si="23"/>
        <v>B</v>
      </c>
      <c r="R49" s="25">
        <f t="shared" si="24"/>
        <v>79536843521.852615</v>
      </c>
      <c r="S49" s="16">
        <f t="shared" si="25"/>
        <v>1681406931.4845138</v>
      </c>
      <c r="T49" s="17">
        <f t="shared" si="26"/>
        <v>6.1227811061820958E-2</v>
      </c>
      <c r="U49" s="26">
        <f>SUMIFS(Flags!$C$2:$C$358,Flags!$A$2:$A$358,$A49,Flags!$B$2:$B$358,sel_year)</f>
        <v>0.89980000000000004</v>
      </c>
      <c r="V49" s="26">
        <f>SUMIFS(Flags!$C$2:$C$358,Flags!$A$2:$A$358,$A49,Flags!$B$2:$B$358,sel_year-sel_lookback)</f>
        <v>0.90780000000000005</v>
      </c>
      <c r="W49" s="26">
        <f>_xlfn.MAXIFS(Flags!$E$2:$E$358,Flags!$A$2:$A$358,$A49,Flags!$B$2:$B$358,"&gt;"&amp;(sel_year-sel_lookback),Flags!$B$2:$B$358,"&lt;="&amp;sel_year)</f>
        <v>0.1179</v>
      </c>
      <c r="X49" s="27" t="str">
        <f t="shared" si="27"/>
        <v/>
      </c>
    </row>
    <row r="50" spans="1:24" x14ac:dyDescent="0.3">
      <c r="A50" s="10" t="s">
        <v>74</v>
      </c>
      <c r="B50" s="10" t="s">
        <v>197</v>
      </c>
      <c r="C50" s="10" t="s">
        <v>151</v>
      </c>
      <c r="D50" s="16">
        <f>SUMIFS(Data!$D$2:$D$6070,Data!$A$2:$A$6070,$A50,Data!$B$2:$B$6070,sel_year,Data!$C$2:$C$6070,IF(sel_area="All areas","*",sel_area))</f>
        <v>3704310993.0399995</v>
      </c>
      <c r="E50" s="16">
        <f>SUMIFS(Data!$D$2:$D$6070,Data!$A$2:$A$6070,$A50,Data!$B$2:$B$6070,sel_year-sel_lookback,Data!$C$2:$C$6070,IF(sel_area="All areas","*",sel_area))</f>
        <v>4050273120.9399996</v>
      </c>
      <c r="F50" s="17">
        <f t="shared" si="14"/>
        <v>-2.9323809897838893E-2</v>
      </c>
      <c r="G50" s="17">
        <f t="shared" si="15"/>
        <v>-2.9323809897838893E-2</v>
      </c>
      <c r="H50" s="19">
        <f>SUMIFS(Enrollment!$C$2:$C$358,Enrollment!$A$2:$A$358,$A50,Enrollment!$B$2:$B$358,sel_year)</f>
        <v>4184378</v>
      </c>
      <c r="I50" s="20">
        <f t="shared" si="16"/>
        <v>885.27159664829503</v>
      </c>
      <c r="J50" s="17">
        <f>IF(D50&gt;0,SUMIFS(Data!$F$2:$F$6070,Data!$A$2:$A$6070,$A50,Data!$B$2:$B$6070,sel_year,Data!$C$2:$C$6070,IF(sel_area="All areas","*",sel_area))/D50,0)</f>
        <v>0.8823088765281506</v>
      </c>
      <c r="K50" s="21">
        <f t="shared" si="17"/>
        <v>0.88</v>
      </c>
      <c r="L50" s="21">
        <f t="shared" si="18"/>
        <v>0.16</v>
      </c>
      <c r="M50" s="21">
        <f t="shared" si="19"/>
        <v>0.12</v>
      </c>
      <c r="N50" s="21">
        <f t="shared" si="20"/>
        <v>0.4</v>
      </c>
      <c r="O50" s="22">
        <f t="shared" si="21"/>
        <v>45.200050000000005</v>
      </c>
      <c r="P50" s="23">
        <f t="shared" si="22"/>
        <v>33</v>
      </c>
      <c r="Q50" s="24" t="str">
        <f t="shared" si="23"/>
        <v>C</v>
      </c>
      <c r="R50" s="25">
        <f t="shared" si="24"/>
        <v>167435042100.95764</v>
      </c>
      <c r="S50" s="16">
        <f t="shared" si="25"/>
        <v>3908527549.1410799</v>
      </c>
      <c r="T50" s="17">
        <f t="shared" si="26"/>
        <v>5.5129430678142688E-2</v>
      </c>
      <c r="U50" s="26">
        <f>SUMIFS(Flags!$C$2:$C$358,Flags!$A$2:$A$358,$A50,Flags!$B$2:$B$358,sel_year)</f>
        <v>7.7999999999999996E-3</v>
      </c>
      <c r="V50" s="26">
        <f>SUMIFS(Flags!$C$2:$C$358,Flags!$A$2:$A$358,$A50,Flags!$B$2:$B$358,sel_year-sel_lookback)</f>
        <v>1.0200000000000001E-2</v>
      </c>
      <c r="W50" s="26">
        <f>_xlfn.MAXIFS(Flags!$E$2:$E$358,Flags!$A$2:$A$358,$A50,Flags!$B$2:$B$358,"&gt;"&amp;(sel_year-sel_lookback),Flags!$B$2:$B$358,"&lt;="&amp;sel_year)</f>
        <v>0.1404</v>
      </c>
      <c r="X50" s="27" t="str">
        <f t="shared" si="27"/>
        <v/>
      </c>
    </row>
    <row r="51" spans="1:24" x14ac:dyDescent="0.3">
      <c r="A51" s="10" t="s">
        <v>75</v>
      </c>
      <c r="B51" s="10" t="s">
        <v>198</v>
      </c>
      <c r="C51" s="10" t="s">
        <v>153</v>
      </c>
      <c r="D51" s="16">
        <f>SUMIFS(Data!$D$2:$D$6070,Data!$A$2:$A$6070,$A51,Data!$B$2:$B$6070,sel_year,Data!$C$2:$C$6070,IF(sel_area="All areas","*",sel_area))</f>
        <v>516950796.77000004</v>
      </c>
      <c r="E51" s="16">
        <f>SUMIFS(Data!$D$2:$D$6070,Data!$A$2:$A$6070,$A51,Data!$B$2:$B$6070,sel_year-sel_lookback,Data!$C$2:$C$6070,IF(sel_area="All areas","*",sel_area))</f>
        <v>515079709.73000002</v>
      </c>
      <c r="F51" s="17">
        <f t="shared" si="14"/>
        <v>1.2094088991141394E-3</v>
      </c>
      <c r="G51" s="17">
        <f t="shared" si="15"/>
        <v>1.2094088991141394E-3</v>
      </c>
      <c r="H51" s="19">
        <f>SUMIFS(Enrollment!$C$2:$C$358,Enrollment!$A$2:$A$358,$A51,Enrollment!$B$2:$B$358,sel_year)</f>
        <v>339252</v>
      </c>
      <c r="I51" s="20">
        <f t="shared" si="16"/>
        <v>1523.7958708275855</v>
      </c>
      <c r="J51" s="17">
        <f>IF(D51&gt;0,SUMIFS(Data!$F$2:$F$6070,Data!$A$2:$A$6070,$A51,Data!$B$2:$B$6070,sel_year,Data!$C$2:$C$6070,IF(sel_area="All areas","*",sel_area))/D51,0)</f>
        <v>0.89929481241681464</v>
      </c>
      <c r="K51" s="21">
        <f t="shared" si="17"/>
        <v>0.28000000000000003</v>
      </c>
      <c r="L51" s="21">
        <f t="shared" si="18"/>
        <v>0.38</v>
      </c>
      <c r="M51" s="21">
        <f t="shared" si="19"/>
        <v>0.66</v>
      </c>
      <c r="N51" s="21">
        <f t="shared" si="20"/>
        <v>0.72</v>
      </c>
      <c r="O51" s="22">
        <f t="shared" si="21"/>
        <v>46.900050999999998</v>
      </c>
      <c r="P51" s="23">
        <f t="shared" si="22"/>
        <v>30</v>
      </c>
      <c r="Q51" s="24" t="str">
        <f t="shared" si="23"/>
        <v>B</v>
      </c>
      <c r="R51" s="25">
        <f t="shared" si="24"/>
        <v>24245018733.003635</v>
      </c>
      <c r="S51" s="16">
        <f t="shared" si="25"/>
        <v>546521872.01286793</v>
      </c>
      <c r="T51" s="17">
        <f t="shared" si="26"/>
        <v>5.7202881642959502E-2</v>
      </c>
      <c r="U51" s="26">
        <f>SUMIFS(Flags!$C$2:$C$358,Flags!$A$2:$A$358,$A51,Flags!$B$2:$B$358,sel_year)</f>
        <v>0.46350000000000002</v>
      </c>
      <c r="V51" s="26">
        <f>SUMIFS(Flags!$C$2:$C$358,Flags!$A$2:$A$358,$A51,Flags!$B$2:$B$358,sel_year-sel_lookback)</f>
        <v>0.42830000000000001</v>
      </c>
      <c r="W51" s="26">
        <f>_xlfn.MAXIFS(Flags!$E$2:$E$358,Flags!$A$2:$A$358,$A51,Flags!$B$2:$B$358,"&gt;"&amp;(sel_year-sel_lookback),Flags!$B$2:$B$358,"&lt;="&amp;sel_year)</f>
        <v>0.20749999999999999</v>
      </c>
      <c r="X51" s="27" t="str">
        <f t="shared" si="27"/>
        <v/>
      </c>
    </row>
    <row r="52" spans="1:24" x14ac:dyDescent="0.3">
      <c r="A52" s="10" t="s">
        <v>77</v>
      </c>
      <c r="B52" s="10" t="s">
        <v>199</v>
      </c>
      <c r="C52" s="10" t="s">
        <v>159</v>
      </c>
      <c r="D52" s="16">
        <f>SUMIFS(Data!$D$2:$D$6070,Data!$A$2:$A$6070,$A52,Data!$B$2:$B$6070,sel_year,Data!$C$2:$C$6070,IF(sel_area="All areas","*",sel_area))</f>
        <v>178440109.12</v>
      </c>
      <c r="E52" s="16">
        <f>SUMIFS(Data!$D$2:$D$6070,Data!$A$2:$A$6070,$A52,Data!$B$2:$B$6070,sel_year-sel_lookback,Data!$C$2:$C$6070,IF(sel_area="All areas","*",sel_area))</f>
        <v>195463281.48999995</v>
      </c>
      <c r="F52" s="17">
        <f t="shared" si="14"/>
        <v>-2.9916543780448501E-2</v>
      </c>
      <c r="G52" s="17">
        <f t="shared" si="15"/>
        <v>-2.9916543780448501E-2</v>
      </c>
      <c r="H52" s="19">
        <f>SUMIFS(Enrollment!$C$2:$C$358,Enrollment!$A$2:$A$358,$A52,Enrollment!$B$2:$B$358,sel_year)</f>
        <v>155107</v>
      </c>
      <c r="I52" s="20">
        <f t="shared" si="16"/>
        <v>1150.4323410290961</v>
      </c>
      <c r="J52" s="17">
        <f>IF(D52&gt;0,SUMIFS(Data!$F$2:$F$6070,Data!$A$2:$A$6070,$A52,Data!$B$2:$B$6070,sel_year,Data!$C$2:$C$6070,IF(sel_area="All areas","*",sel_area))/D52,0)</f>
        <v>0.88872405448571601</v>
      </c>
      <c r="K52" s="21">
        <f t="shared" si="17"/>
        <v>0.04</v>
      </c>
      <c r="L52" s="21">
        <f t="shared" si="18"/>
        <v>0.14000000000000001</v>
      </c>
      <c r="M52" s="21">
        <f t="shared" si="19"/>
        <v>0.42</v>
      </c>
      <c r="N52" s="21">
        <f t="shared" si="20"/>
        <v>0.54</v>
      </c>
      <c r="O52" s="22">
        <f t="shared" si="21"/>
        <v>24.100052000000002</v>
      </c>
      <c r="P52" s="23">
        <f t="shared" si="22"/>
        <v>45</v>
      </c>
      <c r="Q52" s="24" t="str">
        <f t="shared" si="23"/>
        <v>C</v>
      </c>
      <c r="R52" s="25">
        <f t="shared" si="24"/>
        <v>4300415908.6776743</v>
      </c>
      <c r="S52" s="16">
        <f t="shared" si="25"/>
        <v>183685224.57285076</v>
      </c>
      <c r="T52" s="17">
        <f t="shared" si="26"/>
        <v>2.9394262751338385E-2</v>
      </c>
      <c r="U52" s="26">
        <f>SUMIFS(Flags!$C$2:$C$358,Flags!$A$2:$A$358,$A52,Flags!$B$2:$B$358,sel_year)</f>
        <v>0.99990000000000001</v>
      </c>
      <c r="V52" s="26">
        <f>SUMIFS(Flags!$C$2:$C$358,Flags!$A$2:$A$358,$A52,Flags!$B$2:$B$358,sel_year-sel_lookback)</f>
        <v>0.99970000000000003</v>
      </c>
      <c r="W52" s="26">
        <f>_xlfn.MAXIFS(Flags!$E$2:$E$358,Flags!$A$2:$A$358,$A52,Flags!$B$2:$B$358,"&gt;"&amp;(sel_year-sel_lookback),Flags!$B$2:$B$358,"&lt;="&amp;sel_year)</f>
        <v>0.12889999999999999</v>
      </c>
      <c r="X52" s="27" t="str">
        <f t="shared" si="27"/>
        <v/>
      </c>
    </row>
    <row r="53" spans="1:24" x14ac:dyDescent="0.3">
      <c r="A53" s="10" t="s">
        <v>76</v>
      </c>
      <c r="B53" s="10" t="s">
        <v>200</v>
      </c>
      <c r="C53" s="10" t="s">
        <v>151</v>
      </c>
      <c r="D53" s="16">
        <f>SUMIFS(Data!$D$2:$D$6070,Data!$A$2:$A$6070,$A53,Data!$B$2:$B$6070,sel_year,Data!$C$2:$C$6070,IF(sel_area="All areas","*",sel_area))</f>
        <v>2500863145.4499998</v>
      </c>
      <c r="E53" s="16">
        <f>SUMIFS(Data!$D$2:$D$6070,Data!$A$2:$A$6070,$A53,Data!$B$2:$B$6070,sel_year-sel_lookback,Data!$C$2:$C$6070,IF(sel_area="All areas","*",sel_area))</f>
        <v>6269773465.6500015</v>
      </c>
      <c r="F53" s="17">
        <f t="shared" si="14"/>
        <v>-0.26388439301610911</v>
      </c>
      <c r="G53" s="17">
        <f t="shared" si="15"/>
        <v>1.2957402548823937E-2</v>
      </c>
      <c r="H53" s="19">
        <f>SUMIFS(Enrollment!$C$2:$C$358,Enrollment!$A$2:$A$358,$A53,Enrollment!$B$2:$B$358,sel_year)</f>
        <v>1742176</v>
      </c>
      <c r="I53" s="20">
        <f t="shared" si="16"/>
        <v>1435.4824916942948</v>
      </c>
      <c r="J53" s="17">
        <f>IF(D53&gt;0,SUMIFS(Data!$F$2:$F$6070,Data!$A$2:$A$6070,$A53,Data!$B$2:$B$6070,sel_year,Data!$C$2:$C$6070,IF(sel_area="All areas","*",sel_area))/D53,0)</f>
        <v>0.88681240810197737</v>
      </c>
      <c r="K53" s="21">
        <f t="shared" si="17"/>
        <v>0.76</v>
      </c>
      <c r="L53" s="21">
        <f t="shared" si="18"/>
        <v>0.48</v>
      </c>
      <c r="M53" s="21">
        <f t="shared" si="19"/>
        <v>0.57999999999999996</v>
      </c>
      <c r="N53" s="21">
        <f t="shared" si="20"/>
        <v>0.48</v>
      </c>
      <c r="O53" s="22">
        <f t="shared" si="21"/>
        <v>59.800052999999998</v>
      </c>
      <c r="P53" s="23">
        <f t="shared" si="22"/>
        <v>16</v>
      </c>
      <c r="Q53" s="24" t="str">
        <f t="shared" si="23"/>
        <v>B</v>
      </c>
      <c r="R53" s="25">
        <f t="shared" si="24"/>
        <v>149551748643.65671</v>
      </c>
      <c r="S53" s="16">
        <f t="shared" si="25"/>
        <v>2683267871.9856005</v>
      </c>
      <c r="T53" s="17">
        <f t="shared" si="26"/>
        <v>7.2936708618967394E-2</v>
      </c>
      <c r="U53" s="26">
        <f>SUMIFS(Flags!$C$2:$C$358,Flags!$A$2:$A$358,$A53,Flags!$B$2:$B$358,sel_year)</f>
        <v>1.09E-2</v>
      </c>
      <c r="V53" s="26">
        <f>SUMIFS(Flags!$C$2:$C$358,Flags!$A$2:$A$358,$A53,Flags!$B$2:$B$358,sel_year-sel_lookback)</f>
        <v>5.0000000000000001E-3</v>
      </c>
      <c r="W53" s="26">
        <f>_xlfn.MAXIFS(Flags!$E$2:$E$358,Flags!$A$2:$A$358,$A53,Flags!$B$2:$B$358,"&gt;"&amp;(sel_year-sel_lookback),Flags!$B$2:$B$358,"&lt;="&amp;sel_year)</f>
        <v>0.41830000000000001</v>
      </c>
      <c r="X53" s="27" t="str">
        <f t="shared" si="27"/>
        <v>Check</v>
      </c>
    </row>
    <row r="54" spans="1:24" x14ac:dyDescent="0.3">
      <c r="A54" s="10" t="s">
        <v>78</v>
      </c>
      <c r="B54" s="10" t="s">
        <v>201</v>
      </c>
      <c r="C54" s="10" t="s">
        <v>153</v>
      </c>
      <c r="D54" s="16">
        <f>SUMIFS(Data!$D$2:$D$6070,Data!$A$2:$A$6070,$A54,Data!$B$2:$B$6070,sel_year,Data!$C$2:$C$6070,IF(sel_area="All areas","*",sel_area))</f>
        <v>1760619413.8599999</v>
      </c>
      <c r="E54" s="16">
        <f>SUMIFS(Data!$D$2:$D$6070,Data!$A$2:$A$6070,$A54,Data!$B$2:$B$6070,sel_year-sel_lookback,Data!$C$2:$C$6070,IF(sel_area="All areas","*",sel_area))</f>
        <v>1649336741.0899999</v>
      </c>
      <c r="F54" s="17">
        <f t="shared" si="14"/>
        <v>2.200271834666756E-2</v>
      </c>
      <c r="G54" s="17">
        <f t="shared" si="15"/>
        <v>2.200271834666756E-2</v>
      </c>
      <c r="H54" s="19">
        <f>SUMIFS(Enrollment!$C$2:$C$358,Enrollment!$A$2:$A$358,$A54,Enrollment!$B$2:$B$358,sel_year)</f>
        <v>1806964</v>
      </c>
      <c r="I54" s="20">
        <f t="shared" si="16"/>
        <v>974.35223604897487</v>
      </c>
      <c r="J54" s="17">
        <f>IF(D54&gt;0,SUMIFS(Data!$F$2:$F$6070,Data!$A$2:$A$6070,$A54,Data!$B$2:$B$6070,sel_year,Data!$C$2:$C$6070,IF(sel_area="All areas","*",sel_area))/D54,0)</f>
        <v>0.86994028340402685</v>
      </c>
      <c r="K54" s="21">
        <f t="shared" si="17"/>
        <v>0.62</v>
      </c>
      <c r="L54" s="21">
        <f t="shared" si="18"/>
        <v>0.64</v>
      </c>
      <c r="M54" s="21">
        <f t="shared" si="19"/>
        <v>0.22</v>
      </c>
      <c r="N54" s="21">
        <f t="shared" si="20"/>
        <v>0.32</v>
      </c>
      <c r="O54" s="22">
        <f t="shared" si="21"/>
        <v>48.500053999999999</v>
      </c>
      <c r="P54" s="23">
        <f t="shared" si="22"/>
        <v>29</v>
      </c>
      <c r="Q54" s="24" t="str">
        <f t="shared" si="23"/>
        <v>B</v>
      </c>
      <c r="R54" s="25">
        <f t="shared" si="24"/>
        <v>85390136645.65834</v>
      </c>
      <c r="S54" s="16">
        <f t="shared" si="25"/>
        <v>1864767741.5455654</v>
      </c>
      <c r="T54" s="17">
        <f t="shared" si="26"/>
        <v>5.9154367415061859E-2</v>
      </c>
      <c r="U54" s="26">
        <f>SUMIFS(Flags!$C$2:$C$358,Flags!$A$2:$A$358,$A54,Flags!$B$2:$B$358,sel_year)</f>
        <v>0.13450000000000001</v>
      </c>
      <c r="V54" s="26">
        <f>SUMIFS(Flags!$C$2:$C$358,Flags!$A$2:$A$358,$A54,Flags!$B$2:$B$358,sel_year-sel_lookback)</f>
        <v>8.7099999999999997E-2</v>
      </c>
      <c r="W54" s="26">
        <f>_xlfn.MAXIFS(Flags!$E$2:$E$358,Flags!$A$2:$A$358,$A54,Flags!$B$2:$B$358,"&gt;"&amp;(sel_year-sel_lookback),Flags!$B$2:$B$358,"&lt;="&amp;sel_year)</f>
        <v>4.1099999999999998E-2</v>
      </c>
      <c r="X54" s="27" t="str">
        <f t="shared" si="27"/>
        <v/>
      </c>
    </row>
    <row r="55" spans="1:24" x14ac:dyDescent="0.3">
      <c r="A55" s="10" t="s">
        <v>80</v>
      </c>
      <c r="B55" s="10" t="s">
        <v>202</v>
      </c>
      <c r="C55" s="10" t="s">
        <v>151</v>
      </c>
      <c r="D55" s="16">
        <f>SUMIFS(Data!$D$2:$D$6070,Data!$A$2:$A$6070,$A55,Data!$B$2:$B$6070,sel_year,Data!$C$2:$C$6070,IF(sel_area="All areas","*",sel_area))</f>
        <v>885980979.49000001</v>
      </c>
      <c r="E55" s="16">
        <f>SUMIFS(Data!$D$2:$D$6070,Data!$A$2:$A$6070,$A55,Data!$B$2:$B$6070,sel_year-sel_lookback,Data!$C$2:$C$6070,IF(sel_area="All areas","*",sel_area))</f>
        <v>892026947.56000006</v>
      </c>
      <c r="F55" s="17">
        <f t="shared" si="14"/>
        <v>-2.264385689420001E-3</v>
      </c>
      <c r="G55" s="17">
        <f t="shared" si="15"/>
        <v>-2.264385689420001E-3</v>
      </c>
      <c r="H55" s="19">
        <f>SUMIFS(Enrollment!$C$2:$C$358,Enrollment!$A$2:$A$358,$A55,Enrollment!$B$2:$B$358,sel_year)</f>
        <v>501577</v>
      </c>
      <c r="I55" s="20">
        <f t="shared" si="16"/>
        <v>1766.3907625150275</v>
      </c>
      <c r="J55" s="17">
        <f>IF(D55&gt;0,SUMIFS(Data!$F$2:$F$6070,Data!$A$2:$A$6070,$A55,Data!$B$2:$B$6070,sel_year,Data!$C$2:$C$6070,IF(sel_area="All areas","*",sel_area))/D55,0)</f>
        <v>0.89292972125134584</v>
      </c>
      <c r="K55" s="21">
        <f t="shared" si="17"/>
        <v>0.4</v>
      </c>
      <c r="L55" s="21">
        <f t="shared" si="18"/>
        <v>0.32</v>
      </c>
      <c r="M55" s="21">
        <f t="shared" si="19"/>
        <v>0.86</v>
      </c>
      <c r="N55" s="21">
        <f t="shared" si="20"/>
        <v>0.6</v>
      </c>
      <c r="O55" s="22">
        <f t="shared" si="21"/>
        <v>51.200055000000006</v>
      </c>
      <c r="P55" s="23">
        <f t="shared" si="22"/>
        <v>24</v>
      </c>
      <c r="Q55" s="24" t="str">
        <f t="shared" si="23"/>
        <v>B</v>
      </c>
      <c r="R55" s="25">
        <f t="shared" si="24"/>
        <v>45362274878.841881</v>
      </c>
      <c r="S55" s="16">
        <f t="shared" si="25"/>
        <v>941308272.01148975</v>
      </c>
      <c r="T55" s="17">
        <f t="shared" si="26"/>
        <v>6.2447494700549777E-2</v>
      </c>
      <c r="U55" s="26">
        <f>SUMIFS(Flags!$C$2:$C$358,Flags!$A$2:$A$358,$A55,Flags!$B$2:$B$358,sel_year)</f>
        <v>0.98470000000000002</v>
      </c>
      <c r="V55" s="26">
        <f>SUMIFS(Flags!$C$2:$C$358,Flags!$A$2:$A$358,$A55,Flags!$B$2:$B$358,sel_year-sel_lookback)</f>
        <v>0.97750000000000004</v>
      </c>
      <c r="W55" s="26">
        <f>_xlfn.MAXIFS(Flags!$E$2:$E$358,Flags!$A$2:$A$358,$A55,Flags!$B$2:$B$358,"&gt;"&amp;(sel_year-sel_lookback),Flags!$B$2:$B$358,"&lt;="&amp;sel_year)</f>
        <v>9.4899999999999998E-2</v>
      </c>
      <c r="X55" s="27" t="str">
        <f t="shared" si="27"/>
        <v/>
      </c>
    </row>
    <row r="56" spans="1:24" x14ac:dyDescent="0.3">
      <c r="A56" s="10" t="s">
        <v>79</v>
      </c>
      <c r="B56" s="10" t="s">
        <v>203</v>
      </c>
      <c r="C56" s="10" t="s">
        <v>167</v>
      </c>
      <c r="D56" s="16">
        <f>SUMIFS(Data!$D$2:$D$6070,Data!$A$2:$A$6070,$A56,Data!$B$2:$B$6070,sel_year,Data!$C$2:$C$6070,IF(sel_area="All areas","*",sel_area))</f>
        <v>2146433188.8399997</v>
      </c>
      <c r="E56" s="16">
        <f>SUMIFS(Data!$D$2:$D$6070,Data!$A$2:$A$6070,$A56,Data!$B$2:$B$6070,sel_year-sel_lookback,Data!$C$2:$C$6070,IF(sel_area="All areas","*",sel_area))</f>
        <v>2019481505.6099999</v>
      </c>
      <c r="F56" s="17">
        <f t="shared" si="14"/>
        <v>2.0530130602881114E-2</v>
      </c>
      <c r="G56" s="17">
        <f t="shared" si="15"/>
        <v>2.0530130602881114E-2</v>
      </c>
      <c r="H56" s="19">
        <f>SUMIFS(Enrollment!$C$2:$C$358,Enrollment!$A$2:$A$358,$A56,Enrollment!$B$2:$B$358,sel_year)</f>
        <v>1149023</v>
      </c>
      <c r="I56" s="20">
        <f t="shared" si="16"/>
        <v>1868.050673345964</v>
      </c>
      <c r="J56" s="17">
        <f>IF(D56&gt;0,SUMIFS(Data!$F$2:$F$6070,Data!$A$2:$A$6070,$A56,Data!$B$2:$B$6070,sel_year,Data!$C$2:$C$6070,IF(sel_area="All areas","*",sel_area))/D56,0)</f>
        <v>0.90655888926205475</v>
      </c>
      <c r="K56" s="21">
        <f t="shared" si="17"/>
        <v>0.72</v>
      </c>
      <c r="L56" s="21">
        <f t="shared" si="18"/>
        <v>0.62</v>
      </c>
      <c r="M56" s="21">
        <f t="shared" si="19"/>
        <v>0.92</v>
      </c>
      <c r="N56" s="21">
        <f t="shared" si="20"/>
        <v>0.78</v>
      </c>
      <c r="O56" s="22">
        <f t="shared" si="21"/>
        <v>74.700056000000018</v>
      </c>
      <c r="P56" s="23">
        <f t="shared" si="22"/>
        <v>8</v>
      </c>
      <c r="Q56" s="24" t="str">
        <f t="shared" si="23"/>
        <v>A</v>
      </c>
      <c r="R56" s="25">
        <f t="shared" si="24"/>
        <v>160338679406.6066</v>
      </c>
      <c r="S56" s="16">
        <f t="shared" si="25"/>
        <v>2341994479.3998871</v>
      </c>
      <c r="T56" s="17">
        <f t="shared" si="26"/>
        <v>9.1109889455993187E-2</v>
      </c>
      <c r="U56" s="26">
        <f>SUMIFS(Flags!$C$2:$C$358,Flags!$A$2:$A$358,$A56,Flags!$B$2:$B$358,sel_year)</f>
        <v>1</v>
      </c>
      <c r="V56" s="26">
        <f>SUMIFS(Flags!$C$2:$C$358,Flags!$A$2:$A$358,$A56,Flags!$B$2:$B$358,sel_year-sel_lookback)</f>
        <v>1</v>
      </c>
      <c r="W56" s="26">
        <f>_xlfn.MAXIFS(Flags!$E$2:$E$358,Flags!$A$2:$A$358,$A56,Flags!$B$2:$B$358,"&gt;"&amp;(sel_year-sel_lookback),Flags!$B$2:$B$358,"&lt;="&amp;sel_year)</f>
        <v>6.5199999999999994E-2</v>
      </c>
      <c r="X56" s="27" t="str">
        <f t="shared" si="27"/>
        <v/>
      </c>
    </row>
    <row r="57" spans="1:24" x14ac:dyDescent="0.3">
      <c r="A57" s="10" t="s">
        <v>81</v>
      </c>
      <c r="B57" s="10" t="s">
        <v>204</v>
      </c>
      <c r="C57" s="10" t="s">
        <v>153</v>
      </c>
      <c r="D57" s="16">
        <f>SUMIFS(Data!$D$2:$D$6070,Data!$A$2:$A$6070,$A57,Data!$B$2:$B$6070,sel_year,Data!$C$2:$C$6070,IF(sel_area="All areas","*",sel_area))</f>
        <v>42961808.719999991</v>
      </c>
      <c r="E57" s="16">
        <f>SUMIFS(Data!$D$2:$D$6070,Data!$A$2:$A$6070,$A57,Data!$B$2:$B$6070,sel_year-sel_lookback,Data!$C$2:$C$6070,IF(sel_area="All areas","*",sel_area))</f>
        <v>47276170.850000009</v>
      </c>
      <c r="F57" s="17">
        <f t="shared" si="14"/>
        <v>-3.1394892963507615E-2</v>
      </c>
      <c r="G57" s="17">
        <f t="shared" si="15"/>
        <v>-3.1394892963507615E-2</v>
      </c>
      <c r="H57" s="19">
        <f>SUMIFS(Enrollment!$C$2:$C$358,Enrollment!$A$2:$A$358,$A57,Enrollment!$B$2:$B$358,sel_year)</f>
        <v>62025</v>
      </c>
      <c r="I57" s="20">
        <f t="shared" si="16"/>
        <v>692.65310310358711</v>
      </c>
      <c r="J57" s="17">
        <f>IF(D57&gt;0,SUMIFS(Data!$F$2:$F$6070,Data!$A$2:$A$6070,$A57,Data!$B$2:$B$6070,sel_year,Data!$C$2:$C$6070,IF(sel_area="All areas","*",sel_area))/D57,0)</f>
        <v>0.86583177078118156</v>
      </c>
      <c r="K57" s="21">
        <f t="shared" si="17"/>
        <v>0</v>
      </c>
      <c r="L57" s="21">
        <f t="shared" si="18"/>
        <v>0.12</v>
      </c>
      <c r="M57" s="21">
        <f t="shared" si="19"/>
        <v>0.06</v>
      </c>
      <c r="N57" s="21">
        <f t="shared" si="20"/>
        <v>0.24</v>
      </c>
      <c r="O57" s="22">
        <f t="shared" si="21"/>
        <v>9.000057</v>
      </c>
      <c r="P57" s="23">
        <f t="shared" si="22"/>
        <v>51</v>
      </c>
      <c r="Q57" s="24" t="str">
        <f t="shared" si="23"/>
        <v>C</v>
      </c>
      <c r="R57" s="25">
        <f t="shared" si="24"/>
        <v>386658727.30309695</v>
      </c>
      <c r="S57" s="16">
        <f t="shared" si="25"/>
        <v>43433407.213872343</v>
      </c>
      <c r="T57" s="17">
        <f t="shared" si="26"/>
        <v>1.0977156407588895E-2</v>
      </c>
      <c r="U57" s="26">
        <f>SUMIFS(Flags!$C$2:$C$358,Flags!$A$2:$A$358,$A57,Flags!$B$2:$B$358,sel_year)</f>
        <v>1</v>
      </c>
      <c r="V57" s="26">
        <f>SUMIFS(Flags!$C$2:$C$358,Flags!$A$2:$A$358,$A57,Flags!$B$2:$B$358,sel_year-sel_lookback)</f>
        <v>1</v>
      </c>
      <c r="W57" s="26">
        <f>_xlfn.MAXIFS(Flags!$E$2:$E$358,Flags!$A$2:$A$358,$A57,Flags!$B$2:$B$358,"&gt;"&amp;(sel_year-sel_lookback),Flags!$B$2:$B$358,"&lt;="&amp;sel_year)</f>
        <v>0.1757</v>
      </c>
      <c r="X57" s="27" t="str">
        <f t="shared" si="27"/>
        <v/>
      </c>
    </row>
    <row r="58" spans="1:24" x14ac:dyDescent="0.3">
      <c r="A58" s="13"/>
      <c r="B58" s="13" t="s">
        <v>205</v>
      </c>
      <c r="C58" s="13"/>
      <c r="D58" s="28">
        <f>SUM(D7:D57)</f>
        <v>107100132037.68001</v>
      </c>
      <c r="E58" s="28">
        <f>SUM(E7:E57)</f>
        <v>93763139817.37999</v>
      </c>
      <c r="F58" s="13"/>
      <c r="G58" s="13"/>
      <c r="H58" s="29">
        <f>SUM(H7:H57)</f>
        <v>78052004</v>
      </c>
      <c r="I58" s="13"/>
      <c r="J58" s="13"/>
      <c r="K58" s="13"/>
      <c r="L58" s="13"/>
      <c r="M58" s="13"/>
      <c r="N58" s="13"/>
      <c r="O58" s="13"/>
      <c r="P58" s="13"/>
      <c r="Q58" s="13"/>
      <c r="R58" s="13"/>
      <c r="S58" s="28">
        <f>SUM(S7:S57)</f>
        <v>115668142600.69437</v>
      </c>
      <c r="T58" s="30">
        <f t="shared" si="26"/>
        <v>7.9999999999999627E-2</v>
      </c>
    </row>
  </sheetData>
  <autoFilter ref="A6:X57" xr:uid="{00000000-0009-0000-0000-000002000000}"/>
  <conditionalFormatting sqref="O7:O57">
    <cfRule type="dataBar" priority="3">
      <dataBar>
        <cfvo type="num" val="0"/>
        <cfvo type="num" val="100"/>
        <color rgb="FF7DC4BA"/>
      </dataBar>
      <extLst>
        <ext xmlns:x14="http://schemas.microsoft.com/office/spreadsheetml/2009/9/main" uri="{B025F937-C7B1-47D3-B67F-A62EFF666E3E}">
          <x14:id>{DA7ABA51-AAAA-BBBB-0003-000000000001}</x14:id>
        </ext>
      </extLst>
    </cfRule>
  </conditionalFormatting>
  <conditionalFormatting sqref="Q7:Q57">
    <cfRule type="cellIs" dxfId="4" priority="1" operator="equal">
      <formula>"A"</formula>
    </cfRule>
    <cfRule type="cellIs" dxfId="3" priority="2" operator="equal">
      <formula>"B"</formula>
    </cfRule>
  </conditionalFormatting>
  <conditionalFormatting sqref="T7:T57">
    <cfRule type="cellIs" dxfId="2" priority="4" operator="less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3-000000000001}">
            <x14:dataBar minLength="0" maxLength="100" border="1" gradient="0" negativeBarBorderColorSameAsPositive="0">
              <x14:cfvo type="num">
                <xm:f>0</xm:f>
              </x14:cfvo>
              <x14:cfvo type="num">
                <xm:f>100</xm:f>
              </x14:cfvo>
              <x14:borderColor rgb="FF7DC4BA"/>
              <x14:negativeFillColor rgb="FFFF0000"/>
              <x14:negativeBorderColor rgb="FFFF0000"/>
              <x14:axisColor rgb="FF000000"/>
            </x14:dataBar>
          </x14:cfRule>
          <xm:sqref>O7:O57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F766E"/>
  </sheetPr>
  <dimension ref="B1:H31"/>
  <sheetViews>
    <sheetView showGridLines="0" workbookViewId="0"/>
  </sheetViews>
  <sheetFormatPr defaultRowHeight="14.4" x14ac:dyDescent="0.3"/>
  <cols>
    <col min="1" max="1" width="3.6640625" customWidth="1"/>
    <col min="2" max="2" width="8.6640625" customWidth="1"/>
    <col min="3" max="3" width="22.6640625" customWidth="1"/>
    <col min="4" max="7" width="14.6640625" customWidth="1"/>
    <col min="8" max="8" width="12.6640625" customWidth="1"/>
    <col min="9" max="9" width="3.6640625" customWidth="1"/>
    <col min="10" max="15" width="12.6640625" customWidth="1"/>
  </cols>
  <sheetData>
    <row r="1" spans="2:8" ht="23.4" x14ac:dyDescent="0.45">
      <c r="B1" s="1" t="s">
        <v>206</v>
      </c>
    </row>
    <row r="2" spans="2:8" x14ac:dyDescent="0.3">
      <c r="B2" s="2" t="str">
        <f>sel_area&amp;", "&amp;sel_year&amp;" - top 10 states by opportunity score"</f>
        <v>All areas, 2025 - top 10 states by opportunity score</v>
      </c>
    </row>
    <row r="4" spans="2:8" x14ac:dyDescent="0.3">
      <c r="B4" s="18" t="s">
        <v>141</v>
      </c>
      <c r="C4" s="18" t="s">
        <v>127</v>
      </c>
      <c r="D4" s="18" t="s">
        <v>207</v>
      </c>
      <c r="E4" s="18" t="s">
        <v>208</v>
      </c>
      <c r="F4" s="18" t="s">
        <v>131</v>
      </c>
      <c r="G4" s="18" t="s">
        <v>142</v>
      </c>
      <c r="H4" s="18" t="s">
        <v>209</v>
      </c>
    </row>
    <row r="5" spans="2:8" x14ac:dyDescent="0.3">
      <c r="B5" s="31">
        <v>1</v>
      </c>
      <c r="C5" s="10" t="str">
        <f>INDEX(Scorecard!$B$7:$B$57,MATCH($B5,Scorecard!$P$7:$P$57,0))</f>
        <v>Michigan</v>
      </c>
      <c r="D5" s="32">
        <f>INDEX(Scorecard!$O$7:$O$57,MATCH($B5,Scorecard!$P$7:$P$57,0))</f>
        <v>90.300028999999995</v>
      </c>
      <c r="E5" s="16">
        <f>INDEX(Scorecard!$D$7:$D$57,MATCH($B5,Scorecard!$P$7:$P$57,0))</f>
        <v>4170522029.7600012</v>
      </c>
      <c r="F5" s="17">
        <f>INDEX(Scorecard!$G$7:$G$57,MATCH($B5,Scorecard!$P$7:$P$57,0))</f>
        <v>4.8405451745443306E-2</v>
      </c>
      <c r="G5" s="24" t="str">
        <f>INDEX(Scorecard!$Q$7:$Q$57,MATCH($B5,Scorecard!$P$7:$P$57,0))</f>
        <v>A</v>
      </c>
      <c r="H5" s="27" t="str">
        <f>IF(INDEX(Scorecard!$X$7:$X$57,MATCH($B5,Scorecard!$P$7:$P$57,0))="Check","Check","")</f>
        <v/>
      </c>
    </row>
    <row r="6" spans="2:8" x14ac:dyDescent="0.3">
      <c r="B6" s="31">
        <v>2</v>
      </c>
      <c r="C6" s="10" t="str">
        <f>INDEX(Scorecard!$B$7:$B$57,MATCH($B6,Scorecard!$P$7:$P$57,0))</f>
        <v>Pennsylvania</v>
      </c>
      <c r="D6" s="32">
        <f>INDEX(Scorecard!$O$7:$O$57,MATCH($B6,Scorecard!$P$7:$P$57,0))</f>
        <v>87.100044999999994</v>
      </c>
      <c r="E6" s="16">
        <f>INDEX(Scorecard!$D$7:$D$57,MATCH($B6,Scorecard!$P$7:$P$57,0))</f>
        <v>5368005107.3799992</v>
      </c>
      <c r="F6" s="17">
        <f>INDEX(Scorecard!$G$7:$G$57,MATCH($B6,Scorecard!$P$7:$P$57,0))</f>
        <v>4.6085864217215278E-2</v>
      </c>
      <c r="G6" s="24" t="str">
        <f>INDEX(Scorecard!$Q$7:$Q$57,MATCH($B6,Scorecard!$P$7:$P$57,0))</f>
        <v>A</v>
      </c>
      <c r="H6" s="27" t="str">
        <f>IF(INDEX(Scorecard!$X$7:$X$57,MATCH($B6,Scorecard!$P$7:$P$57,0))="Check","Check","")</f>
        <v/>
      </c>
    </row>
    <row r="7" spans="2:8" x14ac:dyDescent="0.3">
      <c r="B7" s="31">
        <v>3</v>
      </c>
      <c r="C7" s="10" t="str">
        <f>INDEX(Scorecard!$B$7:$B$57,MATCH($B7,Scorecard!$P$7:$P$57,0))</f>
        <v>California</v>
      </c>
      <c r="D7" s="32">
        <f>INDEX(Scorecard!$O$7:$O$57,MATCH($B7,Scorecard!$P$7:$P$57,0))</f>
        <v>81.100010999999995</v>
      </c>
      <c r="E7" s="16">
        <f>INDEX(Scorecard!$D$7:$D$57,MATCH($B7,Scorecard!$P$7:$P$57,0))</f>
        <v>18272383687.549999</v>
      </c>
      <c r="F7" s="17">
        <f>INDEX(Scorecard!$G$7:$G$57,MATCH($B7,Scorecard!$P$7:$P$57,0))</f>
        <v>0.14553685630487134</v>
      </c>
      <c r="G7" s="24" t="str">
        <f>INDEX(Scorecard!$Q$7:$Q$57,MATCH($B7,Scorecard!$P$7:$P$57,0))</f>
        <v>A</v>
      </c>
      <c r="H7" s="27" t="str">
        <f>IF(INDEX(Scorecard!$X$7:$X$57,MATCH($B7,Scorecard!$P$7:$P$57,0))="Check","Check","")</f>
        <v/>
      </c>
    </row>
    <row r="8" spans="2:8" x14ac:dyDescent="0.3">
      <c r="B8" s="31">
        <v>4</v>
      </c>
      <c r="C8" s="10" t="str">
        <f>INDEX(Scorecard!$B$7:$B$57,MATCH($B8,Scorecard!$P$7:$P$57,0))</f>
        <v>Massachusetts</v>
      </c>
      <c r="D8" s="32">
        <f>INDEX(Scorecard!$O$7:$O$57,MATCH($B8,Scorecard!$P$7:$P$57,0))</f>
        <v>79.700028000000003</v>
      </c>
      <c r="E8" s="16">
        <f>INDEX(Scorecard!$D$7:$D$57,MATCH($B8,Scorecard!$P$7:$P$57,0))</f>
        <v>2568658574.0100002</v>
      </c>
      <c r="F8" s="17">
        <f>INDEX(Scorecard!$G$7:$G$57,MATCH($B8,Scorecard!$P$7:$P$57,0))</f>
        <v>4.1254148320217565E-2</v>
      </c>
      <c r="G8" s="24" t="str">
        <f>INDEX(Scorecard!$Q$7:$Q$57,MATCH($B8,Scorecard!$P$7:$P$57,0))</f>
        <v>A</v>
      </c>
      <c r="H8" s="27" t="str">
        <f>IF(INDEX(Scorecard!$X$7:$X$57,MATCH($B8,Scorecard!$P$7:$P$57,0))="Check","Check","")</f>
        <v/>
      </c>
    </row>
    <row r="9" spans="2:8" x14ac:dyDescent="0.3">
      <c r="B9" s="31">
        <v>5</v>
      </c>
      <c r="C9" s="10" t="str">
        <f>INDEX(Scorecard!$B$7:$B$57,MATCH($B9,Scorecard!$P$7:$P$57,0))</f>
        <v>Connecticut</v>
      </c>
      <c r="D9" s="32">
        <f>INDEX(Scorecard!$O$7:$O$57,MATCH($B9,Scorecard!$P$7:$P$57,0))</f>
        <v>79.700012999999984</v>
      </c>
      <c r="E9" s="16">
        <f>INDEX(Scorecard!$D$7:$D$57,MATCH($B9,Scorecard!$P$7:$P$57,0))</f>
        <v>1963167108.6000004</v>
      </c>
      <c r="F9" s="17">
        <f>INDEX(Scorecard!$G$7:$G$57,MATCH($B9,Scorecard!$P$7:$P$57,0))</f>
        <v>3.1093075909136791E-2</v>
      </c>
      <c r="G9" s="24" t="str">
        <f>INDEX(Scorecard!$Q$7:$Q$57,MATCH($B9,Scorecard!$P$7:$P$57,0))</f>
        <v>A</v>
      </c>
      <c r="H9" s="27" t="str">
        <f>IF(INDEX(Scorecard!$X$7:$X$57,MATCH($B9,Scorecard!$P$7:$P$57,0))="Check","Check","")</f>
        <v/>
      </c>
    </row>
    <row r="10" spans="2:8" x14ac:dyDescent="0.3">
      <c r="B10" s="31">
        <v>6</v>
      </c>
      <c r="C10" s="10" t="str">
        <f>INDEX(Scorecard!$B$7:$B$57,MATCH($B10,Scorecard!$P$7:$P$57,0))</f>
        <v>Indiana</v>
      </c>
      <c r="D10" s="32">
        <f>INDEX(Scorecard!$O$7:$O$57,MATCH($B10,Scorecard!$P$7:$P$57,0))</f>
        <v>78.90002100000001</v>
      </c>
      <c r="E10" s="16">
        <f>INDEX(Scorecard!$D$7:$D$57,MATCH($B10,Scorecard!$P$7:$P$57,0))</f>
        <v>2930352459.23</v>
      </c>
      <c r="F10" s="17">
        <f>INDEX(Scorecard!$G$7:$G$57,MATCH($B10,Scorecard!$P$7:$P$57,0))</f>
        <v>3.2914994109345841E-2</v>
      </c>
      <c r="G10" s="24" t="str">
        <f>INDEX(Scorecard!$Q$7:$Q$57,MATCH($B10,Scorecard!$P$7:$P$57,0))</f>
        <v>A</v>
      </c>
      <c r="H10" s="27" t="str">
        <f>IF(INDEX(Scorecard!$X$7:$X$57,MATCH($B10,Scorecard!$P$7:$P$57,0))="Check","Check","")</f>
        <v/>
      </c>
    </row>
    <row r="11" spans="2:8" x14ac:dyDescent="0.3">
      <c r="B11" s="31">
        <v>7</v>
      </c>
      <c r="C11" s="10" t="str">
        <f>INDEX(Scorecard!$B$7:$B$57,MATCH($B11,Scorecard!$P$7:$P$57,0))</f>
        <v>Kentucky</v>
      </c>
      <c r="D11" s="32">
        <f>INDEX(Scorecard!$O$7:$O$57,MATCH($B11,Scorecard!$P$7:$P$57,0))</f>
        <v>78.200023999999999</v>
      </c>
      <c r="E11" s="16">
        <f>INDEX(Scorecard!$D$7:$D$57,MATCH($B11,Scorecard!$P$7:$P$57,0))</f>
        <v>2803892182.3000002</v>
      </c>
      <c r="F11" s="17">
        <f>INDEX(Scorecard!$G$7:$G$57,MATCH($B11,Scorecard!$P$7:$P$57,0))</f>
        <v>0.14581053484129169</v>
      </c>
      <c r="G11" s="24" t="str">
        <f>INDEX(Scorecard!$Q$7:$Q$57,MATCH($B11,Scorecard!$P$7:$P$57,0))</f>
        <v>A</v>
      </c>
      <c r="H11" s="27" t="str">
        <f>IF(INDEX(Scorecard!$X$7:$X$57,MATCH($B11,Scorecard!$P$7:$P$57,0))="Check","Check","")</f>
        <v/>
      </c>
    </row>
    <row r="12" spans="2:8" x14ac:dyDescent="0.3">
      <c r="B12" s="31">
        <v>8</v>
      </c>
      <c r="C12" s="10" t="str">
        <f>INDEX(Scorecard!$B$7:$B$57,MATCH($B12,Scorecard!$P$7:$P$57,0))</f>
        <v>Wisconsin</v>
      </c>
      <c r="D12" s="32">
        <f>INDEX(Scorecard!$O$7:$O$57,MATCH($B12,Scorecard!$P$7:$P$57,0))</f>
        <v>74.700056000000018</v>
      </c>
      <c r="E12" s="16">
        <f>INDEX(Scorecard!$D$7:$D$57,MATCH($B12,Scorecard!$P$7:$P$57,0))</f>
        <v>2146433188.8399997</v>
      </c>
      <c r="F12" s="17">
        <f>INDEX(Scorecard!$G$7:$G$57,MATCH($B12,Scorecard!$P$7:$P$57,0))</f>
        <v>2.0530130602881114E-2</v>
      </c>
      <c r="G12" s="24" t="str">
        <f>INDEX(Scorecard!$Q$7:$Q$57,MATCH($B12,Scorecard!$P$7:$P$57,0))</f>
        <v>A</v>
      </c>
      <c r="H12" s="27" t="str">
        <f>IF(INDEX(Scorecard!$X$7:$X$57,MATCH($B12,Scorecard!$P$7:$P$57,0))="Check","Check","")</f>
        <v/>
      </c>
    </row>
    <row r="13" spans="2:8" x14ac:dyDescent="0.3">
      <c r="B13" s="31">
        <v>9</v>
      </c>
      <c r="C13" s="10" t="str">
        <f>INDEX(Scorecard!$B$7:$B$57,MATCH($B13,Scorecard!$P$7:$P$57,0))</f>
        <v>Ohio</v>
      </c>
      <c r="D13" s="32">
        <f>INDEX(Scorecard!$O$7:$O$57,MATCH($B13,Scorecard!$P$7:$P$57,0))</f>
        <v>74.000041999999993</v>
      </c>
      <c r="E13" s="16">
        <f>INDEX(Scorecard!$D$7:$D$57,MATCH($B13,Scorecard!$P$7:$P$57,0))</f>
        <v>4778824034.2000008</v>
      </c>
      <c r="F13" s="17">
        <f>INDEX(Scorecard!$G$7:$G$57,MATCH($B13,Scorecard!$P$7:$P$57,0))</f>
        <v>2.8581538827333608E-2</v>
      </c>
      <c r="G13" s="24" t="str">
        <f>INDEX(Scorecard!$Q$7:$Q$57,MATCH($B13,Scorecard!$P$7:$P$57,0))</f>
        <v>A</v>
      </c>
      <c r="H13" s="27" t="str">
        <f>IF(INDEX(Scorecard!$X$7:$X$57,MATCH($B13,Scorecard!$P$7:$P$57,0))="Check","Check","")</f>
        <v/>
      </c>
    </row>
    <row r="14" spans="2:8" x14ac:dyDescent="0.3">
      <c r="B14" s="31">
        <v>10</v>
      </c>
      <c r="C14" s="10" t="str">
        <f>INDEX(Scorecard!$B$7:$B$57,MATCH($B14,Scorecard!$P$7:$P$57,0))</f>
        <v>Missouri</v>
      </c>
      <c r="D14" s="32">
        <f>INDEX(Scorecard!$O$7:$O$57,MATCH($B14,Scorecard!$P$7:$P$57,0))</f>
        <v>70.600031999999999</v>
      </c>
      <c r="E14" s="16">
        <f>INDEX(Scorecard!$D$7:$D$57,MATCH($B14,Scorecard!$P$7:$P$57,0))</f>
        <v>2041449004.6599998</v>
      </c>
      <c r="F14" s="17">
        <f>INDEX(Scorecard!$G$7:$G$57,MATCH($B14,Scorecard!$P$7:$P$57,0))</f>
        <v>8.7018042210768032E-2</v>
      </c>
      <c r="G14" s="24" t="str">
        <f>INDEX(Scorecard!$Q$7:$Q$57,MATCH($B14,Scorecard!$P$7:$P$57,0))</f>
        <v>A</v>
      </c>
      <c r="H14" s="27" t="str">
        <f>IF(INDEX(Scorecard!$X$7:$X$57,MATCH($B14,Scorecard!$P$7:$P$57,0))="Check","Check","")</f>
        <v/>
      </c>
    </row>
    <row r="17" spans="2:3" x14ac:dyDescent="0.3">
      <c r="B17" s="5" t="s">
        <v>210</v>
      </c>
    </row>
    <row r="18" spans="2:3" x14ac:dyDescent="0.3">
      <c r="B18" s="33" t="str">
        <f>"The top 10 states hold "&amp;TEXT(SUMPRODUCT((Scorecard!$P$7:$P$57&lt;=10)*Scorecard!$D$7:$D$57)/Scorecard!$D$58,"0%")&amp;" of reported spend in this selection."</f>
        <v>The top 10 states hold 44% of reported spend in this selection.</v>
      </c>
    </row>
    <row r="19" spans="2:3" x14ac:dyDescent="0.3">
      <c r="B19" s="33" t="str">
        <f>"Tier A ("&amp;tier_a&amp;" states) carries "&amp;TEXT(SUMIFS(Scorecard!$D$7:$D$57,Scorecard!$Q$7:$Q$57,"A")/Scorecard!$D$58,"0%")&amp;" of spend and "&amp;TEXT((SUMIFS(Scorecard!$S$7:$S$57,Scorecard!$Q$7:$Q$57,"A")-SUMIFS(Scorecard!$D$7:$D$57,Scorecard!$Q$7:$Q$57,"A"))/(Scorecard!$S$58-Scorecard!$D$58),"0%")&amp;" of the growth target."</f>
        <v>Tier A (10 states) carries 44% of spend and 54% of the growth target.</v>
      </c>
    </row>
    <row r="20" spans="2:3" x14ac:dyDescent="0.3">
      <c r="B20" s="33" t="str">
        <f>"National growth target: "&amp;TEXT(target_growth,"0%")&amp;" = "&amp;TEXT(Scorecard!$S$58-Scorecard!$D$58,"$#,##0.0,,")&amp;"M extra spend to win across the 51 states."</f>
        <v>National growth target: 8% = $8,568.0M extra spend to win across the 51 states.</v>
      </c>
    </row>
    <row r="21" spans="2:3" x14ac:dyDescent="0.3">
      <c r="B21" s="33" t="str">
        <f>"States flagged for a reporting break in this window: "&amp;COUNTIF(Scorecard!$X$7:$X$57,"Check")&amp;" (see the Reporting flag column)."</f>
        <v>States flagged for a reporting break in this window: 5 (see the Reporting flag column).</v>
      </c>
    </row>
    <row r="24" spans="2:3" ht="27.6" x14ac:dyDescent="0.3">
      <c r="B24" s="9" t="s">
        <v>211</v>
      </c>
      <c r="C24" s="9" t="s">
        <v>212</v>
      </c>
    </row>
    <row r="25" spans="2:3" x14ac:dyDescent="0.3">
      <c r="B25" s="31">
        <v>2019</v>
      </c>
      <c r="C25" s="16">
        <f>SUMIFS(National!$C$2:$C$120,National!$A$2:$A$120,$B25,National!$B$2:$B$120,IF(sel_area="All areas","*",sel_area))</f>
        <v>73049292884.490005</v>
      </c>
    </row>
    <row r="26" spans="2:3" x14ac:dyDescent="0.3">
      <c r="B26" s="31">
        <v>2020</v>
      </c>
      <c r="C26" s="16">
        <f>SUMIFS(National!$C$2:$C$120,National!$A$2:$A$120,$B26,National!$B$2:$B$120,IF(sel_area="All areas","*",sel_area))</f>
        <v>77713603184.529999</v>
      </c>
    </row>
    <row r="27" spans="2:3" x14ac:dyDescent="0.3">
      <c r="B27" s="31">
        <v>2021</v>
      </c>
      <c r="C27" s="16">
        <f>SUMIFS(National!$C$2:$C$120,National!$A$2:$A$120,$B27,National!$B$2:$B$120,IF(sel_area="All areas","*",sel_area))</f>
        <v>87883139068.170013</v>
      </c>
    </row>
    <row r="28" spans="2:3" x14ac:dyDescent="0.3">
      <c r="B28" s="31">
        <v>2022</v>
      </c>
      <c r="C28" s="16">
        <f>SUMIFS(National!$C$2:$C$120,National!$A$2:$A$120,$B28,National!$B$2:$B$120,IF(sel_area="All areas","*",sel_area))</f>
        <v>100073226793.24001</v>
      </c>
    </row>
    <row r="29" spans="2:3" x14ac:dyDescent="0.3">
      <c r="B29" s="31">
        <v>2023</v>
      </c>
      <c r="C29" s="16">
        <f>SUMIFS(National!$C$2:$C$120,National!$A$2:$A$120,$B29,National!$B$2:$B$120,IF(sel_area="All areas","*",sel_area))</f>
        <v>111742371483.99998</v>
      </c>
    </row>
    <row r="30" spans="2:3" x14ac:dyDescent="0.3">
      <c r="B30" s="31">
        <v>2024</v>
      </c>
      <c r="C30" s="16">
        <f>SUMIFS(National!$C$2:$C$120,National!$A$2:$A$120,$B30,National!$B$2:$B$120,IF(sel_area="All areas","*",sel_area))</f>
        <v>108317862644.50999</v>
      </c>
    </row>
    <row r="31" spans="2:3" x14ac:dyDescent="0.3">
      <c r="B31" s="31">
        <v>2025</v>
      </c>
      <c r="C31" s="16">
        <f>SUMIFS(National!$C$2:$C$120,National!$A$2:$A$120,$B31,National!$B$2:$B$120,IF(sel_area="All areas","*",sel_area))</f>
        <v>116891569122.96001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6B73"/>
  </sheetPr>
  <dimension ref="B1:E13"/>
  <sheetViews>
    <sheetView showGridLines="0" workbookViewId="0"/>
  </sheetViews>
  <sheetFormatPr defaultRowHeight="14.4" x14ac:dyDescent="0.3"/>
  <cols>
    <col min="1" max="1" width="3.6640625" customWidth="1"/>
    <col min="2" max="2" width="62.6640625" customWidth="1"/>
    <col min="3" max="4" width="20.6640625" customWidth="1"/>
    <col min="5" max="5" width="12.6640625" customWidth="1"/>
  </cols>
  <sheetData>
    <row r="1" spans="2:5" ht="23.4" x14ac:dyDescent="0.45">
      <c r="B1" s="1" t="s">
        <v>213</v>
      </c>
    </row>
    <row r="2" spans="2:5" x14ac:dyDescent="0.3">
      <c r="B2" s="2" t="s">
        <v>214</v>
      </c>
    </row>
    <row r="4" spans="2:5" x14ac:dyDescent="0.3">
      <c r="B4" s="9" t="s">
        <v>215</v>
      </c>
      <c r="C4" s="9" t="s">
        <v>216</v>
      </c>
      <c r="D4" s="9" t="s">
        <v>217</v>
      </c>
      <c r="E4" s="9" t="s">
        <v>218</v>
      </c>
    </row>
    <row r="5" spans="2:5" x14ac:dyDescent="0.3">
      <c r="B5" s="10" t="s">
        <v>219</v>
      </c>
      <c r="C5" s="26">
        <f>Inputs!G21</f>
        <v>1</v>
      </c>
      <c r="D5" s="26">
        <f>1</f>
        <v>1</v>
      </c>
      <c r="E5" s="34" t="str">
        <f>IF(ABS(C5-D5)&lt;0.000001,"OK","CHECK")</f>
        <v>OK</v>
      </c>
    </row>
    <row r="6" spans="2:5" x14ac:dyDescent="0.3">
      <c r="B6" s="10" t="s">
        <v>220</v>
      </c>
      <c r="C6" s="20">
        <f>Scorecard!D58</f>
        <v>107100132037.68001</v>
      </c>
      <c r="D6" s="20">
        <f>SUMIFS(Data!$D$2:$D$6070,Data!$B$2:$B$6070,sel_year,Data!$C$2:$C$6070,IF(sel_area="All areas","*",sel_area))</f>
        <v>107100132037.67996</v>
      </c>
      <c r="E6" s="34" t="str">
        <f>IF(ABS(C6-D6)&lt;1,"OK","CHECK")</f>
        <v>OK</v>
      </c>
    </row>
    <row r="7" spans="2:5" x14ac:dyDescent="0.3">
      <c r="B7" s="10" t="s">
        <v>221</v>
      </c>
      <c r="C7" s="20">
        <f>Scorecard!S58</f>
        <v>115668142600.69437</v>
      </c>
      <c r="D7" s="20">
        <f>Scorecard!D58*(1+target_growth)</f>
        <v>115668142600.69441</v>
      </c>
      <c r="E7" s="34" t="str">
        <f>IF(ABS(C7-D7)&lt;1,"OK","CHECK")</f>
        <v>OK</v>
      </c>
    </row>
    <row r="8" spans="2:5" x14ac:dyDescent="0.3">
      <c r="B8" s="10" t="s">
        <v>222</v>
      </c>
      <c r="C8" s="19">
        <f>SUMPRODUCT(1/COUNTIF(Scorecard!P7:P57,Scorecard!P7:P57))</f>
        <v>51</v>
      </c>
      <c r="D8" s="19">
        <f>51</f>
        <v>51</v>
      </c>
      <c r="E8" s="34" t="str">
        <f>IF(C8=D8,"OK","CHECK")</f>
        <v>OK</v>
      </c>
    </row>
    <row r="9" spans="2:5" x14ac:dyDescent="0.3">
      <c r="B9" s="10" t="s">
        <v>223</v>
      </c>
      <c r="C9" s="19">
        <f>SUMPRODUCT(--ISERROR(Scorecard!D7:X57))</f>
        <v>0</v>
      </c>
      <c r="D9" s="19">
        <f>0</f>
        <v>0</v>
      </c>
      <c r="E9" s="34" t="str">
        <f>IF(C9=D9,"OK","CHECK")</f>
        <v>OK</v>
      </c>
    </row>
    <row r="10" spans="2:5" x14ac:dyDescent="0.3">
      <c r="B10" s="10" t="s">
        <v>224</v>
      </c>
      <c r="C10" s="20">
        <f>SUMIFS(Data!$D$2:$D$6070,Data!$B$2:$B$6070,sel_year,Data!$C$2:$C$6070,IF(sel_area="All areas","*",sel_area))</f>
        <v>107100132037.67996</v>
      </c>
      <c r="D10" s="20">
        <f>SUMIFS(National!$C$2:$C$120,National!$A$2:$A$120,sel_year,National!$B$2:$B$120,IF(sel_area="All areas","*",sel_area))*(1-0)</f>
        <v>116891569122.96001</v>
      </c>
      <c r="E10" s="34" t="str">
        <f>IF(C10&lt;=D10+1,"OK","CHECK")</f>
        <v>OK</v>
      </c>
    </row>
    <row r="11" spans="2:5" x14ac:dyDescent="0.3">
      <c r="B11" s="10" t="s">
        <v>225</v>
      </c>
      <c r="C11" s="19">
        <f>COUNTIFS(Enrollment!$B$2:$B$358,sel_year)</f>
        <v>51</v>
      </c>
      <c r="D11" s="19">
        <f>51</f>
        <v>51</v>
      </c>
      <c r="E11" s="34" t="str">
        <f>IF(C11=D11,"OK","CHECK")</f>
        <v>OK</v>
      </c>
    </row>
    <row r="13" spans="2:5" x14ac:dyDescent="0.3">
      <c r="B13" s="3" t="s">
        <v>226</v>
      </c>
      <c r="C13" s="3" t="str">
        <f>IF(COUNTIF(E5:E11,"OK")=7,"All checks pass","Review the rows marked CHECK")</f>
        <v>All checks pass</v>
      </c>
    </row>
  </sheetData>
  <conditionalFormatting sqref="E5:E11">
    <cfRule type="cellIs" dxfId="1" priority="1" operator="equal">
      <formula>"OK"</formula>
    </cfRule>
    <cfRule type="cellIs" dxfId="0" priority="2" operator="equal">
      <formula>"CHECK"</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4A3B8"/>
  </sheetPr>
  <dimension ref="A1:F6070"/>
  <sheetViews>
    <sheetView showGridLines="0" workbookViewId="0">
      <pane ySplit="1" topLeftCell="A2" activePane="bottomLeft" state="frozen"/>
      <selection pane="bottomLeft"/>
    </sheetView>
  </sheetViews>
  <sheetFormatPr defaultRowHeight="14.4" x14ac:dyDescent="0.3"/>
  <cols>
    <col min="1" max="2" width="8.6640625" customWidth="1"/>
    <col min="3" max="3" width="34.6640625" customWidth="1"/>
    <col min="4" max="6" width="16.6640625" style="35" customWidth="1"/>
  </cols>
  <sheetData>
    <row r="1" spans="1:6" x14ac:dyDescent="0.3">
      <c r="A1" s="9" t="s">
        <v>25</v>
      </c>
      <c r="B1" s="9" t="s">
        <v>26</v>
      </c>
      <c r="C1" s="9" t="s">
        <v>27</v>
      </c>
      <c r="D1" s="9" t="s">
        <v>28</v>
      </c>
      <c r="E1" s="9" t="s">
        <v>29</v>
      </c>
      <c r="F1" s="9" t="s">
        <v>30</v>
      </c>
    </row>
    <row r="2" spans="1:6" x14ac:dyDescent="0.3">
      <c r="A2" t="s">
        <v>31</v>
      </c>
      <c r="B2">
        <v>2019</v>
      </c>
      <c r="C2" t="s">
        <v>10</v>
      </c>
      <c r="D2" s="35">
        <v>5795005.0999999996</v>
      </c>
      <c r="E2" s="35">
        <v>160032</v>
      </c>
      <c r="F2" s="35">
        <v>3134620.399999999</v>
      </c>
    </row>
    <row r="3" spans="1:6" x14ac:dyDescent="0.3">
      <c r="A3" t="s">
        <v>31</v>
      </c>
      <c r="B3">
        <v>2019</v>
      </c>
      <c r="C3" t="s">
        <v>4</v>
      </c>
      <c r="D3" s="35">
        <v>14189090.73</v>
      </c>
      <c r="E3" s="35">
        <v>47281</v>
      </c>
      <c r="F3" s="35">
        <v>13909984.23</v>
      </c>
    </row>
    <row r="4" spans="1:6" x14ac:dyDescent="0.3">
      <c r="A4" t="s">
        <v>31</v>
      </c>
      <c r="B4">
        <v>2019</v>
      </c>
      <c r="C4" t="s">
        <v>13</v>
      </c>
      <c r="D4" s="35">
        <v>5776645.9800000004</v>
      </c>
      <c r="E4" s="35">
        <v>48884</v>
      </c>
      <c r="F4" s="35">
        <v>4513198.74</v>
      </c>
    </row>
    <row r="5" spans="1:6" x14ac:dyDescent="0.3">
      <c r="A5" t="s">
        <v>31</v>
      </c>
      <c r="B5">
        <v>2019</v>
      </c>
      <c r="C5" t="s">
        <v>16</v>
      </c>
      <c r="D5" s="35">
        <v>1434849.99</v>
      </c>
      <c r="E5" s="35">
        <v>5006</v>
      </c>
      <c r="F5" s="35">
        <v>1291180.5900000001</v>
      </c>
    </row>
    <row r="6" spans="1:6" x14ac:dyDescent="0.3">
      <c r="A6" t="s">
        <v>31</v>
      </c>
      <c r="B6">
        <v>2019</v>
      </c>
      <c r="C6" t="s">
        <v>14</v>
      </c>
      <c r="D6" s="35">
        <v>5909854.7699999996</v>
      </c>
      <c r="E6" s="35">
        <v>74616</v>
      </c>
      <c r="F6" s="35">
        <v>2166484.0099999988</v>
      </c>
    </row>
    <row r="7" spans="1:6" x14ac:dyDescent="0.3">
      <c r="A7" t="s">
        <v>31</v>
      </c>
      <c r="B7">
        <v>2019</v>
      </c>
      <c r="C7" t="s">
        <v>7</v>
      </c>
      <c r="D7" s="35">
        <v>5964363.7300000004</v>
      </c>
      <c r="E7" s="35">
        <v>2819</v>
      </c>
      <c r="F7" s="35">
        <v>5958904.4699999997</v>
      </c>
    </row>
    <row r="8" spans="1:6" x14ac:dyDescent="0.3">
      <c r="A8" t="s">
        <v>31</v>
      </c>
      <c r="B8">
        <v>2019</v>
      </c>
      <c r="C8" t="s">
        <v>11</v>
      </c>
      <c r="D8" s="35">
        <v>3971312.49</v>
      </c>
      <c r="E8" s="35">
        <v>5915</v>
      </c>
      <c r="F8" s="35">
        <v>3887761.05</v>
      </c>
    </row>
    <row r="9" spans="1:6" x14ac:dyDescent="0.3">
      <c r="A9" t="s">
        <v>31</v>
      </c>
      <c r="B9">
        <v>2019</v>
      </c>
      <c r="C9" t="s">
        <v>3</v>
      </c>
      <c r="D9" s="35">
        <v>24359048.039999999</v>
      </c>
      <c r="E9" s="35">
        <v>57275</v>
      </c>
      <c r="F9" s="35">
        <v>22768872.34</v>
      </c>
    </row>
    <row r="10" spans="1:6" x14ac:dyDescent="0.3">
      <c r="A10" t="s">
        <v>31</v>
      </c>
      <c r="B10">
        <v>2019</v>
      </c>
      <c r="C10" t="s">
        <v>12</v>
      </c>
      <c r="D10" s="35">
        <v>14603824.640000001</v>
      </c>
      <c r="E10" s="35">
        <v>136988</v>
      </c>
      <c r="F10" s="35">
        <v>11041153.33</v>
      </c>
    </row>
    <row r="11" spans="1:6" x14ac:dyDescent="0.3">
      <c r="A11" t="s">
        <v>31</v>
      </c>
      <c r="B11">
        <v>2019</v>
      </c>
      <c r="C11" t="s">
        <v>2</v>
      </c>
      <c r="D11" s="35">
        <v>25288026.289999999</v>
      </c>
      <c r="E11" s="35">
        <v>351412</v>
      </c>
      <c r="F11" s="35">
        <v>17696777.68</v>
      </c>
    </row>
    <row r="12" spans="1:6" x14ac:dyDescent="0.3">
      <c r="A12" t="s">
        <v>31</v>
      </c>
      <c r="B12">
        <v>2019</v>
      </c>
      <c r="C12" t="s">
        <v>5</v>
      </c>
      <c r="D12" s="35">
        <v>9258064.7999999989</v>
      </c>
      <c r="E12" s="35">
        <v>6320</v>
      </c>
      <c r="F12" s="35">
        <v>8742776.879999999</v>
      </c>
    </row>
    <row r="13" spans="1:6" x14ac:dyDescent="0.3">
      <c r="A13" t="s">
        <v>31</v>
      </c>
      <c r="B13">
        <v>2019</v>
      </c>
      <c r="C13" t="s">
        <v>17</v>
      </c>
      <c r="D13" s="35">
        <v>3001081.44</v>
      </c>
      <c r="E13" s="35">
        <v>27477</v>
      </c>
      <c r="F13" s="35">
        <v>153205.97</v>
      </c>
    </row>
    <row r="14" spans="1:6" x14ac:dyDescent="0.3">
      <c r="A14" t="s">
        <v>31</v>
      </c>
      <c r="B14">
        <v>2019</v>
      </c>
      <c r="C14" t="s">
        <v>9</v>
      </c>
      <c r="D14" s="35">
        <v>16905135.789999999</v>
      </c>
      <c r="E14" s="35">
        <v>209231</v>
      </c>
      <c r="F14" s="35">
        <v>10175933.57</v>
      </c>
    </row>
    <row r="15" spans="1:6" x14ac:dyDescent="0.3">
      <c r="A15" t="s">
        <v>31</v>
      </c>
      <c r="B15">
        <v>2019</v>
      </c>
      <c r="C15" t="s">
        <v>8</v>
      </c>
      <c r="D15" s="35">
        <v>1776498.92</v>
      </c>
      <c r="E15" s="35">
        <v>263</v>
      </c>
      <c r="F15" s="35">
        <v>1576292.78</v>
      </c>
    </row>
    <row r="16" spans="1:6" x14ac:dyDescent="0.3">
      <c r="A16" t="s">
        <v>31</v>
      </c>
      <c r="B16">
        <v>2019</v>
      </c>
      <c r="C16" t="s">
        <v>6</v>
      </c>
      <c r="D16" s="35">
        <v>17079954.440000001</v>
      </c>
      <c r="E16" s="35">
        <v>150000</v>
      </c>
      <c r="F16" s="35">
        <v>14029742.65</v>
      </c>
    </row>
    <row r="17" spans="1:6" x14ac:dyDescent="0.3">
      <c r="A17" t="s">
        <v>31</v>
      </c>
      <c r="B17">
        <v>2019</v>
      </c>
      <c r="C17" t="s">
        <v>15</v>
      </c>
      <c r="D17" s="35">
        <v>4953773.1899999985</v>
      </c>
      <c r="E17" s="35">
        <v>77132</v>
      </c>
      <c r="F17" s="35">
        <v>2488619.2999999998</v>
      </c>
    </row>
    <row r="18" spans="1:6" x14ac:dyDescent="0.3">
      <c r="A18" t="s">
        <v>31</v>
      </c>
      <c r="B18">
        <v>2019</v>
      </c>
      <c r="C18" t="s">
        <v>18</v>
      </c>
      <c r="D18" s="35">
        <v>710857.42999999982</v>
      </c>
      <c r="E18" s="35">
        <v>6896</v>
      </c>
      <c r="F18" s="35">
        <v>421573.77</v>
      </c>
    </row>
    <row r="19" spans="1:6" x14ac:dyDescent="0.3">
      <c r="A19" t="s">
        <v>31</v>
      </c>
      <c r="B19">
        <v>2020</v>
      </c>
      <c r="C19" t="s">
        <v>10</v>
      </c>
      <c r="D19" s="35">
        <v>6504793.6800000006</v>
      </c>
      <c r="E19" s="35">
        <v>157748</v>
      </c>
      <c r="F19" s="35">
        <v>3954015.83</v>
      </c>
    </row>
    <row r="20" spans="1:6" x14ac:dyDescent="0.3">
      <c r="A20" t="s">
        <v>31</v>
      </c>
      <c r="B20">
        <v>2020</v>
      </c>
      <c r="C20" t="s">
        <v>4</v>
      </c>
      <c r="D20" s="35">
        <v>16225902.470000001</v>
      </c>
      <c r="E20" s="35">
        <v>49749</v>
      </c>
      <c r="F20" s="35">
        <v>15912117.52</v>
      </c>
    </row>
    <row r="21" spans="1:6" x14ac:dyDescent="0.3">
      <c r="A21" t="s">
        <v>31</v>
      </c>
      <c r="B21">
        <v>2020</v>
      </c>
      <c r="C21" t="s">
        <v>13</v>
      </c>
      <c r="D21" s="35">
        <v>5486591.2500000009</v>
      </c>
      <c r="E21" s="35">
        <v>44120</v>
      </c>
      <c r="F21" s="35">
        <v>4226425.4399999985</v>
      </c>
    </row>
    <row r="22" spans="1:6" x14ac:dyDescent="0.3">
      <c r="A22" t="s">
        <v>31</v>
      </c>
      <c r="B22">
        <v>2020</v>
      </c>
      <c r="C22" t="s">
        <v>16</v>
      </c>
      <c r="D22" s="35">
        <v>1308707.17</v>
      </c>
      <c r="E22" s="35">
        <v>4532</v>
      </c>
      <c r="F22" s="35">
        <v>1181936.96</v>
      </c>
    </row>
    <row r="23" spans="1:6" x14ac:dyDescent="0.3">
      <c r="A23" t="s">
        <v>31</v>
      </c>
      <c r="B23">
        <v>2020</v>
      </c>
      <c r="C23" t="s">
        <v>14</v>
      </c>
      <c r="D23" s="35">
        <v>3860524.44</v>
      </c>
      <c r="E23" s="35">
        <v>70979</v>
      </c>
      <c r="F23" s="35">
        <v>1878295.78</v>
      </c>
    </row>
    <row r="24" spans="1:6" x14ac:dyDescent="0.3">
      <c r="A24" t="s">
        <v>31</v>
      </c>
      <c r="B24">
        <v>2020</v>
      </c>
      <c r="C24" t="s">
        <v>7</v>
      </c>
      <c r="D24" s="35">
        <v>5499459.5899999999</v>
      </c>
      <c r="E24" s="35">
        <v>2300</v>
      </c>
      <c r="F24" s="35">
        <v>5467884.1799999997</v>
      </c>
    </row>
    <row r="25" spans="1:6" x14ac:dyDescent="0.3">
      <c r="A25" t="s">
        <v>31</v>
      </c>
      <c r="B25">
        <v>2020</v>
      </c>
      <c r="C25" t="s">
        <v>11</v>
      </c>
      <c r="D25" s="35">
        <v>5693193.5199999986</v>
      </c>
      <c r="E25" s="35">
        <v>4201</v>
      </c>
      <c r="F25" s="35">
        <v>5646878.7299999986</v>
      </c>
    </row>
    <row r="26" spans="1:6" x14ac:dyDescent="0.3">
      <c r="A26" t="s">
        <v>31</v>
      </c>
      <c r="B26">
        <v>2020</v>
      </c>
      <c r="C26" t="s">
        <v>3</v>
      </c>
      <c r="D26" s="35">
        <v>29554466.56000001</v>
      </c>
      <c r="E26" s="35">
        <v>46471</v>
      </c>
      <c r="F26" s="35">
        <v>28601652.600000009</v>
      </c>
    </row>
    <row r="27" spans="1:6" x14ac:dyDescent="0.3">
      <c r="A27" t="s">
        <v>31</v>
      </c>
      <c r="B27">
        <v>2020</v>
      </c>
      <c r="C27" t="s">
        <v>12</v>
      </c>
      <c r="D27" s="35">
        <v>9788098.0199999996</v>
      </c>
      <c r="E27" s="35">
        <v>108660</v>
      </c>
      <c r="F27" s="35">
        <v>7208072.9500000002</v>
      </c>
    </row>
    <row r="28" spans="1:6" x14ac:dyDescent="0.3">
      <c r="A28" t="s">
        <v>31</v>
      </c>
      <c r="B28">
        <v>2020</v>
      </c>
      <c r="C28" t="s">
        <v>2</v>
      </c>
      <c r="D28" s="35">
        <v>24160018.760000002</v>
      </c>
      <c r="E28" s="35">
        <v>343483</v>
      </c>
      <c r="F28" s="35">
        <v>17208505.940000001</v>
      </c>
    </row>
    <row r="29" spans="1:6" x14ac:dyDescent="0.3">
      <c r="A29" t="s">
        <v>31</v>
      </c>
      <c r="B29">
        <v>2020</v>
      </c>
      <c r="C29" t="s">
        <v>5</v>
      </c>
      <c r="D29" s="35">
        <v>8826233.5800000019</v>
      </c>
      <c r="E29" s="35">
        <v>5210</v>
      </c>
      <c r="F29" s="35">
        <v>8582081.2799999975</v>
      </c>
    </row>
    <row r="30" spans="1:6" x14ac:dyDescent="0.3">
      <c r="A30" t="s">
        <v>31</v>
      </c>
      <c r="B30">
        <v>2020</v>
      </c>
      <c r="C30" t="s">
        <v>17</v>
      </c>
      <c r="D30" s="35">
        <v>1136853.56</v>
      </c>
      <c r="E30" s="35">
        <v>22725</v>
      </c>
      <c r="F30" s="35">
        <v>114046.69</v>
      </c>
    </row>
    <row r="31" spans="1:6" x14ac:dyDescent="0.3">
      <c r="A31" t="s">
        <v>31</v>
      </c>
      <c r="B31">
        <v>2020</v>
      </c>
      <c r="C31" t="s">
        <v>9</v>
      </c>
      <c r="D31" s="35">
        <v>14378867.779999999</v>
      </c>
      <c r="E31" s="35">
        <v>188895</v>
      </c>
      <c r="F31" s="35">
        <v>8566110.5800000001</v>
      </c>
    </row>
    <row r="32" spans="1:6" x14ac:dyDescent="0.3">
      <c r="A32" t="s">
        <v>31</v>
      </c>
      <c r="B32">
        <v>2020</v>
      </c>
      <c r="C32" t="s">
        <v>8</v>
      </c>
      <c r="D32" s="35">
        <v>3071712.100000001</v>
      </c>
      <c r="E32" s="35">
        <v>390</v>
      </c>
      <c r="F32" s="35">
        <v>3071712.100000001</v>
      </c>
    </row>
    <row r="33" spans="1:6" x14ac:dyDescent="0.3">
      <c r="A33" t="s">
        <v>31</v>
      </c>
      <c r="B33">
        <v>2020</v>
      </c>
      <c r="C33" t="s">
        <v>6</v>
      </c>
      <c r="D33" s="35">
        <v>15703808.810000001</v>
      </c>
      <c r="E33" s="35">
        <v>139835</v>
      </c>
      <c r="F33" s="35">
        <v>12973837.68</v>
      </c>
    </row>
    <row r="34" spans="1:6" x14ac:dyDescent="0.3">
      <c r="A34" t="s">
        <v>31</v>
      </c>
      <c r="B34">
        <v>2020</v>
      </c>
      <c r="C34" t="s">
        <v>15</v>
      </c>
      <c r="D34" s="35">
        <v>2403029.3800000008</v>
      </c>
      <c r="E34" s="35">
        <v>63231</v>
      </c>
      <c r="F34" s="35">
        <v>742603.47000000009</v>
      </c>
    </row>
    <row r="35" spans="1:6" x14ac:dyDescent="0.3">
      <c r="A35" t="s">
        <v>31</v>
      </c>
      <c r="B35">
        <v>2020</v>
      </c>
      <c r="C35" t="s">
        <v>18</v>
      </c>
      <c r="D35" s="35">
        <v>594810.66000000015</v>
      </c>
      <c r="E35" s="35">
        <v>6899</v>
      </c>
      <c r="F35" s="35">
        <v>463169.66</v>
      </c>
    </row>
    <row r="36" spans="1:6" x14ac:dyDescent="0.3">
      <c r="A36" t="s">
        <v>31</v>
      </c>
      <c r="B36">
        <v>2021</v>
      </c>
      <c r="C36" t="s">
        <v>10</v>
      </c>
      <c r="D36" s="35">
        <v>8335336.9499999993</v>
      </c>
      <c r="E36" s="35">
        <v>182136</v>
      </c>
      <c r="F36" s="35">
        <v>5258131.8699999992</v>
      </c>
    </row>
    <row r="37" spans="1:6" x14ac:dyDescent="0.3">
      <c r="A37" t="s">
        <v>31</v>
      </c>
      <c r="B37">
        <v>2021</v>
      </c>
      <c r="C37" t="s">
        <v>4</v>
      </c>
      <c r="D37" s="35">
        <v>22698927.66</v>
      </c>
      <c r="E37" s="35">
        <v>55868</v>
      </c>
      <c r="F37" s="35">
        <v>22280545.899999999</v>
      </c>
    </row>
    <row r="38" spans="1:6" x14ac:dyDescent="0.3">
      <c r="A38" t="s">
        <v>31</v>
      </c>
      <c r="B38">
        <v>2021</v>
      </c>
      <c r="C38" t="s">
        <v>13</v>
      </c>
      <c r="D38" s="35">
        <v>6402178.0000000009</v>
      </c>
      <c r="E38" s="35">
        <v>49450</v>
      </c>
      <c r="F38" s="35">
        <v>4836618.9300000006</v>
      </c>
    </row>
    <row r="39" spans="1:6" x14ac:dyDescent="0.3">
      <c r="A39" t="s">
        <v>31</v>
      </c>
      <c r="B39">
        <v>2021</v>
      </c>
      <c r="C39" t="s">
        <v>16</v>
      </c>
      <c r="D39" s="35">
        <v>1925838.65</v>
      </c>
      <c r="E39" s="35">
        <v>5569</v>
      </c>
      <c r="F39" s="35">
        <v>1781210.33</v>
      </c>
    </row>
    <row r="40" spans="1:6" x14ac:dyDescent="0.3">
      <c r="A40" t="s">
        <v>31</v>
      </c>
      <c r="B40">
        <v>2021</v>
      </c>
      <c r="C40" t="s">
        <v>14</v>
      </c>
      <c r="D40" s="35">
        <v>3690781.6100000008</v>
      </c>
      <c r="E40" s="35">
        <v>81601</v>
      </c>
      <c r="F40" s="35">
        <v>2040054.17</v>
      </c>
    </row>
    <row r="41" spans="1:6" x14ac:dyDescent="0.3">
      <c r="A41" t="s">
        <v>31</v>
      </c>
      <c r="B41">
        <v>2021</v>
      </c>
      <c r="C41" t="s">
        <v>7</v>
      </c>
      <c r="D41" s="35">
        <v>5879362.2800000003</v>
      </c>
      <c r="E41" s="35">
        <v>2253</v>
      </c>
      <c r="F41" s="35">
        <v>5820933.5300000003</v>
      </c>
    </row>
    <row r="42" spans="1:6" x14ac:dyDescent="0.3">
      <c r="A42" t="s">
        <v>31</v>
      </c>
      <c r="B42">
        <v>2021</v>
      </c>
      <c r="C42" t="s">
        <v>11</v>
      </c>
      <c r="D42" s="35">
        <v>3518969.84</v>
      </c>
      <c r="E42" s="35">
        <v>3294</v>
      </c>
      <c r="F42" s="35">
        <v>3470941.88</v>
      </c>
    </row>
    <row r="43" spans="1:6" x14ac:dyDescent="0.3">
      <c r="A43" t="s">
        <v>31</v>
      </c>
      <c r="B43">
        <v>2021</v>
      </c>
      <c r="C43" t="s">
        <v>3</v>
      </c>
      <c r="D43" s="35">
        <v>41333688.469999999</v>
      </c>
      <c r="E43" s="35">
        <v>50102</v>
      </c>
      <c r="F43" s="35">
        <v>40459468.320000008</v>
      </c>
    </row>
    <row r="44" spans="1:6" x14ac:dyDescent="0.3">
      <c r="A44" t="s">
        <v>31</v>
      </c>
      <c r="B44">
        <v>2021</v>
      </c>
      <c r="C44" t="s">
        <v>12</v>
      </c>
      <c r="D44" s="35">
        <v>10974168.869999999</v>
      </c>
      <c r="E44" s="35">
        <v>113141</v>
      </c>
      <c r="F44" s="35">
        <v>8739541.1800000016</v>
      </c>
    </row>
    <row r="45" spans="1:6" x14ac:dyDescent="0.3">
      <c r="A45" t="s">
        <v>31</v>
      </c>
      <c r="B45">
        <v>2021</v>
      </c>
      <c r="C45" t="s">
        <v>2</v>
      </c>
      <c r="D45" s="35">
        <v>29549061.020000011</v>
      </c>
      <c r="E45" s="35">
        <v>375255</v>
      </c>
      <c r="F45" s="35">
        <v>22258277.190000001</v>
      </c>
    </row>
    <row r="46" spans="1:6" x14ac:dyDescent="0.3">
      <c r="A46" t="s">
        <v>31</v>
      </c>
      <c r="B46">
        <v>2021</v>
      </c>
      <c r="C46" t="s">
        <v>5</v>
      </c>
      <c r="D46" s="35">
        <v>7256396.9899999984</v>
      </c>
      <c r="E46" s="35">
        <v>4285</v>
      </c>
      <c r="F46" s="35">
        <v>7137855.4800000004</v>
      </c>
    </row>
    <row r="47" spans="1:6" x14ac:dyDescent="0.3">
      <c r="A47" t="s">
        <v>31</v>
      </c>
      <c r="B47">
        <v>2021</v>
      </c>
      <c r="C47" t="s">
        <v>17</v>
      </c>
      <c r="D47" s="35">
        <v>620989.44999999995</v>
      </c>
      <c r="E47" s="35">
        <v>21562</v>
      </c>
      <c r="F47" s="35">
        <v>75236.639999999999</v>
      </c>
    </row>
    <row r="48" spans="1:6" x14ac:dyDescent="0.3">
      <c r="A48" t="s">
        <v>31</v>
      </c>
      <c r="B48">
        <v>2021</v>
      </c>
      <c r="C48" t="s">
        <v>9</v>
      </c>
      <c r="D48" s="35">
        <v>16251073.710000001</v>
      </c>
      <c r="E48" s="35">
        <v>203354</v>
      </c>
      <c r="F48" s="35">
        <v>10024640.390000001</v>
      </c>
    </row>
    <row r="49" spans="1:6" x14ac:dyDescent="0.3">
      <c r="A49" t="s">
        <v>31</v>
      </c>
      <c r="B49">
        <v>2021</v>
      </c>
      <c r="C49" t="s">
        <v>8</v>
      </c>
      <c r="D49" s="35">
        <v>2124960.37</v>
      </c>
      <c r="E49" s="35">
        <v>263</v>
      </c>
      <c r="F49" s="35">
        <v>2124960.37</v>
      </c>
    </row>
    <row r="50" spans="1:6" x14ac:dyDescent="0.3">
      <c r="A50" t="s">
        <v>31</v>
      </c>
      <c r="B50">
        <v>2021</v>
      </c>
      <c r="C50" t="s">
        <v>6</v>
      </c>
      <c r="D50" s="35">
        <v>17649529.010000002</v>
      </c>
      <c r="E50" s="35">
        <v>151521</v>
      </c>
      <c r="F50" s="35">
        <v>14585668.33</v>
      </c>
    </row>
    <row r="51" spans="1:6" x14ac:dyDescent="0.3">
      <c r="A51" t="s">
        <v>31</v>
      </c>
      <c r="B51">
        <v>2021</v>
      </c>
      <c r="C51" t="s">
        <v>15</v>
      </c>
      <c r="D51" s="35">
        <v>2214954.29</v>
      </c>
      <c r="E51" s="35">
        <v>59031</v>
      </c>
      <c r="F51" s="35">
        <v>675006.0199999999</v>
      </c>
    </row>
    <row r="52" spans="1:6" x14ac:dyDescent="0.3">
      <c r="A52" t="s">
        <v>31</v>
      </c>
      <c r="B52">
        <v>2021</v>
      </c>
      <c r="C52" t="s">
        <v>18</v>
      </c>
      <c r="D52" s="35">
        <v>647105.98</v>
      </c>
      <c r="E52" s="35">
        <v>6876</v>
      </c>
      <c r="F52" s="35">
        <v>524410.05000000005</v>
      </c>
    </row>
    <row r="53" spans="1:6" x14ac:dyDescent="0.3">
      <c r="A53" t="s">
        <v>31</v>
      </c>
      <c r="B53">
        <v>2022</v>
      </c>
      <c r="C53" t="s">
        <v>10</v>
      </c>
      <c r="D53" s="35">
        <v>8964011.4400000013</v>
      </c>
      <c r="E53" s="35">
        <v>189499</v>
      </c>
      <c r="F53" s="35">
        <v>5777300.0300000012</v>
      </c>
    </row>
    <row r="54" spans="1:6" x14ac:dyDescent="0.3">
      <c r="A54" t="s">
        <v>31</v>
      </c>
      <c r="B54">
        <v>2022</v>
      </c>
      <c r="C54" t="s">
        <v>4</v>
      </c>
      <c r="D54" s="35">
        <v>30279746.729999989</v>
      </c>
      <c r="E54" s="35">
        <v>62763</v>
      </c>
      <c r="F54" s="35">
        <v>29880006.390000001</v>
      </c>
    </row>
    <row r="55" spans="1:6" x14ac:dyDescent="0.3">
      <c r="A55" t="s">
        <v>31</v>
      </c>
      <c r="B55">
        <v>2022</v>
      </c>
      <c r="C55" t="s">
        <v>13</v>
      </c>
      <c r="D55" s="35">
        <v>6418444.3100000015</v>
      </c>
      <c r="E55" s="35">
        <v>50845</v>
      </c>
      <c r="F55" s="35">
        <v>4861739.76</v>
      </c>
    </row>
    <row r="56" spans="1:6" x14ac:dyDescent="0.3">
      <c r="A56" t="s">
        <v>31</v>
      </c>
      <c r="B56">
        <v>2022</v>
      </c>
      <c r="C56" t="s">
        <v>16</v>
      </c>
      <c r="D56" s="35">
        <v>2066993.43</v>
      </c>
      <c r="E56" s="35">
        <v>4853</v>
      </c>
      <c r="F56" s="35">
        <v>1970067.71</v>
      </c>
    </row>
    <row r="57" spans="1:6" x14ac:dyDescent="0.3">
      <c r="A57" t="s">
        <v>31</v>
      </c>
      <c r="B57">
        <v>2022</v>
      </c>
      <c r="C57" t="s">
        <v>14</v>
      </c>
      <c r="D57" s="35">
        <v>4030871.49</v>
      </c>
      <c r="E57" s="35">
        <v>86734</v>
      </c>
      <c r="F57" s="35">
        <v>2250451.48</v>
      </c>
    </row>
    <row r="58" spans="1:6" x14ac:dyDescent="0.3">
      <c r="A58" t="s">
        <v>31</v>
      </c>
      <c r="B58">
        <v>2022</v>
      </c>
      <c r="C58" t="s">
        <v>7</v>
      </c>
      <c r="D58" s="35">
        <v>5384238.9900000002</v>
      </c>
      <c r="E58" s="35">
        <v>1870</v>
      </c>
      <c r="F58" s="35">
        <v>5371508.9300000006</v>
      </c>
    </row>
    <row r="59" spans="1:6" x14ac:dyDescent="0.3">
      <c r="A59" t="s">
        <v>31</v>
      </c>
      <c r="B59">
        <v>2022</v>
      </c>
      <c r="C59" t="s">
        <v>11</v>
      </c>
      <c r="D59" s="35">
        <v>8697700.3800000008</v>
      </c>
      <c r="E59" s="35">
        <v>3022</v>
      </c>
      <c r="F59" s="35">
        <v>8663878.0200000033</v>
      </c>
    </row>
    <row r="60" spans="1:6" x14ac:dyDescent="0.3">
      <c r="A60" t="s">
        <v>31</v>
      </c>
      <c r="B60">
        <v>2022</v>
      </c>
      <c r="C60" t="s">
        <v>3</v>
      </c>
      <c r="D60" s="35">
        <v>50052104.82</v>
      </c>
      <c r="E60" s="35">
        <v>55491</v>
      </c>
      <c r="F60" s="35">
        <v>49112957.279999986</v>
      </c>
    </row>
    <row r="61" spans="1:6" x14ac:dyDescent="0.3">
      <c r="A61" t="s">
        <v>31</v>
      </c>
      <c r="B61">
        <v>2022</v>
      </c>
      <c r="C61" t="s">
        <v>12</v>
      </c>
      <c r="D61" s="35">
        <v>13310687.140000001</v>
      </c>
      <c r="E61" s="35">
        <v>135178</v>
      </c>
      <c r="F61" s="35">
        <v>10742056.880000001</v>
      </c>
    </row>
    <row r="62" spans="1:6" x14ac:dyDescent="0.3">
      <c r="A62" t="s">
        <v>31</v>
      </c>
      <c r="B62">
        <v>2022</v>
      </c>
      <c r="C62" t="s">
        <v>2</v>
      </c>
      <c r="D62" s="35">
        <v>32046851.109999988</v>
      </c>
      <c r="E62" s="35">
        <v>384279</v>
      </c>
      <c r="F62" s="35">
        <v>24941137.48</v>
      </c>
    </row>
    <row r="63" spans="1:6" x14ac:dyDescent="0.3">
      <c r="A63" t="s">
        <v>31</v>
      </c>
      <c r="B63">
        <v>2022</v>
      </c>
      <c r="C63" t="s">
        <v>5</v>
      </c>
      <c r="D63" s="35">
        <v>9889231.7999999989</v>
      </c>
      <c r="E63" s="35">
        <v>4731</v>
      </c>
      <c r="F63" s="35">
        <v>9750471.1399999987</v>
      </c>
    </row>
    <row r="64" spans="1:6" x14ac:dyDescent="0.3">
      <c r="A64" t="s">
        <v>31</v>
      </c>
      <c r="B64">
        <v>2022</v>
      </c>
      <c r="C64" t="s">
        <v>17</v>
      </c>
      <c r="D64" s="35">
        <v>690521.06000000017</v>
      </c>
      <c r="E64" s="35">
        <v>22785</v>
      </c>
      <c r="F64" s="35">
        <v>109267.23</v>
      </c>
    </row>
    <row r="65" spans="1:6" x14ac:dyDescent="0.3">
      <c r="A65" t="s">
        <v>31</v>
      </c>
      <c r="B65">
        <v>2022</v>
      </c>
      <c r="C65" t="s">
        <v>9</v>
      </c>
      <c r="D65" s="35">
        <v>18368652.109999999</v>
      </c>
      <c r="E65" s="35">
        <v>208888</v>
      </c>
      <c r="F65" s="35">
        <v>11636772.82</v>
      </c>
    </row>
    <row r="66" spans="1:6" x14ac:dyDescent="0.3">
      <c r="A66" t="s">
        <v>31</v>
      </c>
      <c r="B66">
        <v>2022</v>
      </c>
      <c r="C66" t="s">
        <v>8</v>
      </c>
      <c r="D66" s="35">
        <v>4171079.6800000002</v>
      </c>
      <c r="E66" s="35">
        <v>336</v>
      </c>
      <c r="F66" s="35">
        <v>4171079.6800000002</v>
      </c>
    </row>
    <row r="67" spans="1:6" x14ac:dyDescent="0.3">
      <c r="A67" t="s">
        <v>31</v>
      </c>
      <c r="B67">
        <v>2022</v>
      </c>
      <c r="C67" t="s">
        <v>6</v>
      </c>
      <c r="D67" s="35">
        <v>18445519.199999999</v>
      </c>
      <c r="E67" s="35">
        <v>165916</v>
      </c>
      <c r="F67" s="35">
        <v>15188707.24</v>
      </c>
    </row>
    <row r="68" spans="1:6" x14ac:dyDescent="0.3">
      <c r="A68" t="s">
        <v>31</v>
      </c>
      <c r="B68">
        <v>2022</v>
      </c>
      <c r="C68" t="s">
        <v>15</v>
      </c>
      <c r="D68" s="35">
        <v>1706739.66</v>
      </c>
      <c r="E68" s="35">
        <v>47829</v>
      </c>
      <c r="F68" s="35">
        <v>522585.04</v>
      </c>
    </row>
    <row r="69" spans="1:6" x14ac:dyDescent="0.3">
      <c r="A69" t="s">
        <v>31</v>
      </c>
      <c r="B69">
        <v>2022</v>
      </c>
      <c r="C69" t="s">
        <v>18</v>
      </c>
      <c r="D69" s="35">
        <v>739613.44000000006</v>
      </c>
      <c r="E69" s="35">
        <v>6555</v>
      </c>
      <c r="F69" s="35">
        <v>631554.12</v>
      </c>
    </row>
    <row r="70" spans="1:6" x14ac:dyDescent="0.3">
      <c r="A70" t="s">
        <v>31</v>
      </c>
      <c r="B70">
        <v>2023</v>
      </c>
      <c r="C70" t="s">
        <v>10</v>
      </c>
      <c r="D70" s="35">
        <v>8917405.7100000028</v>
      </c>
      <c r="E70" s="35">
        <v>180161</v>
      </c>
      <c r="F70" s="35">
        <v>5948718.4199999999</v>
      </c>
    </row>
    <row r="71" spans="1:6" x14ac:dyDescent="0.3">
      <c r="A71" t="s">
        <v>31</v>
      </c>
      <c r="B71">
        <v>2023</v>
      </c>
      <c r="C71" t="s">
        <v>4</v>
      </c>
      <c r="D71" s="35">
        <v>35077449.159999996</v>
      </c>
      <c r="E71" s="35">
        <v>67721</v>
      </c>
      <c r="F71" s="35">
        <v>34751529.660000011</v>
      </c>
    </row>
    <row r="72" spans="1:6" x14ac:dyDescent="0.3">
      <c r="A72" t="s">
        <v>31</v>
      </c>
      <c r="B72">
        <v>2023</v>
      </c>
      <c r="C72" t="s">
        <v>13</v>
      </c>
      <c r="D72" s="35">
        <v>6521824.0999999978</v>
      </c>
      <c r="E72" s="35">
        <v>50451</v>
      </c>
      <c r="F72" s="35">
        <v>5088901.3699999992</v>
      </c>
    </row>
    <row r="73" spans="1:6" x14ac:dyDescent="0.3">
      <c r="A73" t="s">
        <v>31</v>
      </c>
      <c r="B73">
        <v>2023</v>
      </c>
      <c r="C73" t="s">
        <v>16</v>
      </c>
      <c r="D73" s="35">
        <v>2160216.7200000002</v>
      </c>
      <c r="E73" s="35">
        <v>4782</v>
      </c>
      <c r="F73" s="35">
        <v>2036543.41</v>
      </c>
    </row>
    <row r="74" spans="1:6" x14ac:dyDescent="0.3">
      <c r="A74" t="s">
        <v>31</v>
      </c>
      <c r="B74">
        <v>2023</v>
      </c>
      <c r="C74" t="s">
        <v>14</v>
      </c>
      <c r="D74" s="35">
        <v>3657374.620000001</v>
      </c>
      <c r="E74" s="35">
        <v>82146</v>
      </c>
      <c r="F74" s="35">
        <v>1859655.65</v>
      </c>
    </row>
    <row r="75" spans="1:6" x14ac:dyDescent="0.3">
      <c r="A75" t="s">
        <v>31</v>
      </c>
      <c r="B75">
        <v>2023</v>
      </c>
      <c r="C75" t="s">
        <v>7</v>
      </c>
      <c r="D75" s="35">
        <v>5546064.6399999997</v>
      </c>
      <c r="E75" s="35">
        <v>1979</v>
      </c>
      <c r="F75" s="35">
        <v>5535289.6999999993</v>
      </c>
    </row>
    <row r="76" spans="1:6" x14ac:dyDescent="0.3">
      <c r="A76" t="s">
        <v>31</v>
      </c>
      <c r="B76">
        <v>2023</v>
      </c>
      <c r="C76" t="s">
        <v>11</v>
      </c>
      <c r="D76" s="35">
        <v>9736782.1000000015</v>
      </c>
      <c r="E76" s="35">
        <v>3206</v>
      </c>
      <c r="F76" s="35">
        <v>9676067.870000001</v>
      </c>
    </row>
    <row r="77" spans="1:6" x14ac:dyDescent="0.3">
      <c r="A77" t="s">
        <v>31</v>
      </c>
      <c r="B77">
        <v>2023</v>
      </c>
      <c r="C77" t="s">
        <v>3</v>
      </c>
      <c r="D77" s="35">
        <v>51810309.570000008</v>
      </c>
      <c r="E77" s="35">
        <v>52932</v>
      </c>
      <c r="F77" s="35">
        <v>50985387.919999987</v>
      </c>
    </row>
    <row r="78" spans="1:6" x14ac:dyDescent="0.3">
      <c r="A78" t="s">
        <v>31</v>
      </c>
      <c r="B78">
        <v>2023</v>
      </c>
      <c r="C78" t="s">
        <v>12</v>
      </c>
      <c r="D78" s="35">
        <v>12428733.130000001</v>
      </c>
      <c r="E78" s="35">
        <v>131701</v>
      </c>
      <c r="F78" s="35">
        <v>9979529.0599999987</v>
      </c>
    </row>
    <row r="79" spans="1:6" x14ac:dyDescent="0.3">
      <c r="A79" t="s">
        <v>31</v>
      </c>
      <c r="B79">
        <v>2023</v>
      </c>
      <c r="C79" t="s">
        <v>2</v>
      </c>
      <c r="D79" s="35">
        <v>29208495.09999999</v>
      </c>
      <c r="E79" s="35">
        <v>352943</v>
      </c>
      <c r="F79" s="35">
        <v>22698260.289999999</v>
      </c>
    </row>
    <row r="80" spans="1:6" x14ac:dyDescent="0.3">
      <c r="A80" t="s">
        <v>31</v>
      </c>
      <c r="B80">
        <v>2023</v>
      </c>
      <c r="C80" t="s">
        <v>5</v>
      </c>
      <c r="D80" s="35">
        <v>12219063.42</v>
      </c>
      <c r="E80" s="35">
        <v>5346</v>
      </c>
      <c r="F80" s="35">
        <v>12091856.65</v>
      </c>
    </row>
    <row r="81" spans="1:6" x14ac:dyDescent="0.3">
      <c r="A81" t="s">
        <v>31</v>
      </c>
      <c r="B81">
        <v>2023</v>
      </c>
      <c r="C81" t="s">
        <v>17</v>
      </c>
      <c r="D81" s="35">
        <v>763177.65</v>
      </c>
      <c r="E81" s="35">
        <v>21364</v>
      </c>
      <c r="F81" s="35">
        <v>103224.24</v>
      </c>
    </row>
    <row r="82" spans="1:6" x14ac:dyDescent="0.3">
      <c r="A82" t="s">
        <v>31</v>
      </c>
      <c r="B82">
        <v>2023</v>
      </c>
      <c r="C82" t="s">
        <v>9</v>
      </c>
      <c r="D82" s="35">
        <v>18491523.199999999</v>
      </c>
      <c r="E82" s="35">
        <v>185611</v>
      </c>
      <c r="F82" s="35">
        <v>12193817.220000001</v>
      </c>
    </row>
    <row r="83" spans="1:6" x14ac:dyDescent="0.3">
      <c r="A83" t="s">
        <v>31</v>
      </c>
      <c r="B83">
        <v>2023</v>
      </c>
      <c r="C83" t="s">
        <v>8</v>
      </c>
      <c r="D83" s="35">
        <v>4348444.21</v>
      </c>
      <c r="E83" s="35">
        <v>274</v>
      </c>
      <c r="F83" s="35">
        <v>4348444.21</v>
      </c>
    </row>
    <row r="84" spans="1:6" x14ac:dyDescent="0.3">
      <c r="A84" t="s">
        <v>31</v>
      </c>
      <c r="B84">
        <v>2023</v>
      </c>
      <c r="C84" t="s">
        <v>6</v>
      </c>
      <c r="D84" s="35">
        <v>17031615.690000001</v>
      </c>
      <c r="E84" s="35">
        <v>152837</v>
      </c>
      <c r="F84" s="35">
        <v>14142332.83</v>
      </c>
    </row>
    <row r="85" spans="1:6" x14ac:dyDescent="0.3">
      <c r="A85" t="s">
        <v>31</v>
      </c>
      <c r="B85">
        <v>2023</v>
      </c>
      <c r="C85" t="s">
        <v>15</v>
      </c>
      <c r="D85" s="35">
        <v>1299041.43</v>
      </c>
      <c r="E85" s="35">
        <v>35712</v>
      </c>
      <c r="F85" s="35">
        <v>452033.98</v>
      </c>
    </row>
    <row r="86" spans="1:6" x14ac:dyDescent="0.3">
      <c r="A86" t="s">
        <v>31</v>
      </c>
      <c r="B86">
        <v>2023</v>
      </c>
      <c r="C86" t="s">
        <v>18</v>
      </c>
      <c r="D86" s="35">
        <v>730363.20000000007</v>
      </c>
      <c r="E86" s="35">
        <v>5719</v>
      </c>
      <c r="F86" s="35">
        <v>647197.75</v>
      </c>
    </row>
    <row r="87" spans="1:6" x14ac:dyDescent="0.3">
      <c r="A87" t="s">
        <v>31</v>
      </c>
      <c r="B87">
        <v>2024</v>
      </c>
      <c r="C87" t="s">
        <v>10</v>
      </c>
      <c r="D87" s="35">
        <v>9987862</v>
      </c>
      <c r="E87" s="35">
        <v>176129</v>
      </c>
      <c r="F87" s="35">
        <v>7018746.4800000004</v>
      </c>
    </row>
    <row r="88" spans="1:6" x14ac:dyDescent="0.3">
      <c r="A88" t="s">
        <v>31</v>
      </c>
      <c r="B88">
        <v>2024</v>
      </c>
      <c r="C88" t="s">
        <v>4</v>
      </c>
      <c r="D88" s="35">
        <v>34396520</v>
      </c>
      <c r="E88" s="35">
        <v>71212</v>
      </c>
      <c r="F88" s="35">
        <v>34085536.509999998</v>
      </c>
    </row>
    <row r="89" spans="1:6" x14ac:dyDescent="0.3">
      <c r="A89" t="s">
        <v>31</v>
      </c>
      <c r="B89">
        <v>2024</v>
      </c>
      <c r="C89" t="s">
        <v>13</v>
      </c>
      <c r="D89" s="35">
        <v>7417072.2999999998</v>
      </c>
      <c r="E89" s="35">
        <v>51692</v>
      </c>
      <c r="F89" s="35">
        <v>5934250.8599999994</v>
      </c>
    </row>
    <row r="90" spans="1:6" x14ac:dyDescent="0.3">
      <c r="A90" t="s">
        <v>31</v>
      </c>
      <c r="B90">
        <v>2024</v>
      </c>
      <c r="C90" t="s">
        <v>16</v>
      </c>
      <c r="D90" s="35">
        <v>3846653.47</v>
      </c>
      <c r="E90" s="35">
        <v>5606</v>
      </c>
      <c r="F90" s="35">
        <v>3718359.21</v>
      </c>
    </row>
    <row r="91" spans="1:6" x14ac:dyDescent="0.3">
      <c r="A91" t="s">
        <v>31</v>
      </c>
      <c r="B91">
        <v>2024</v>
      </c>
      <c r="C91" t="s">
        <v>14</v>
      </c>
      <c r="D91" s="35">
        <v>3673885.56</v>
      </c>
      <c r="E91" s="35">
        <v>77081</v>
      </c>
      <c r="F91" s="35">
        <v>1873789.37</v>
      </c>
    </row>
    <row r="92" spans="1:6" x14ac:dyDescent="0.3">
      <c r="A92" t="s">
        <v>31</v>
      </c>
      <c r="B92">
        <v>2024</v>
      </c>
      <c r="C92" t="s">
        <v>7</v>
      </c>
      <c r="D92" s="35">
        <v>5810087.2999999998</v>
      </c>
      <c r="E92" s="35">
        <v>2039</v>
      </c>
      <c r="F92" s="35">
        <v>5799036.9299999997</v>
      </c>
    </row>
    <row r="93" spans="1:6" x14ac:dyDescent="0.3">
      <c r="A93" t="s">
        <v>31</v>
      </c>
      <c r="B93">
        <v>2024</v>
      </c>
      <c r="C93" t="s">
        <v>11</v>
      </c>
      <c r="D93" s="35">
        <v>10213396.539999999</v>
      </c>
      <c r="E93" s="35">
        <v>2742</v>
      </c>
      <c r="F93" s="35">
        <v>10179105.51</v>
      </c>
    </row>
    <row r="94" spans="1:6" x14ac:dyDescent="0.3">
      <c r="A94" t="s">
        <v>31</v>
      </c>
      <c r="B94">
        <v>2024</v>
      </c>
      <c r="C94" t="s">
        <v>3</v>
      </c>
      <c r="D94" s="35">
        <v>47456769.659999996</v>
      </c>
      <c r="E94" s="35">
        <v>51506</v>
      </c>
      <c r="F94" s="35">
        <v>46681669.210000001</v>
      </c>
    </row>
    <row r="95" spans="1:6" x14ac:dyDescent="0.3">
      <c r="A95" t="s">
        <v>31</v>
      </c>
      <c r="B95">
        <v>2024</v>
      </c>
      <c r="C95" t="s">
        <v>12</v>
      </c>
      <c r="D95" s="35">
        <v>11917656.57</v>
      </c>
      <c r="E95" s="35">
        <v>139632</v>
      </c>
      <c r="F95" s="35">
        <v>9250839.0999999978</v>
      </c>
    </row>
    <row r="96" spans="1:6" x14ac:dyDescent="0.3">
      <c r="A96" t="s">
        <v>31</v>
      </c>
      <c r="B96">
        <v>2024</v>
      </c>
      <c r="C96" t="s">
        <v>2</v>
      </c>
      <c r="D96" s="35">
        <v>28649138.219999999</v>
      </c>
      <c r="E96" s="35">
        <v>338078</v>
      </c>
      <c r="F96" s="35">
        <v>21685884.050000001</v>
      </c>
    </row>
    <row r="97" spans="1:6" x14ac:dyDescent="0.3">
      <c r="A97" t="s">
        <v>31</v>
      </c>
      <c r="B97">
        <v>2024</v>
      </c>
      <c r="C97" t="s">
        <v>5</v>
      </c>
      <c r="D97" s="35">
        <v>7461440.1699999999</v>
      </c>
      <c r="E97" s="35">
        <v>4130</v>
      </c>
      <c r="F97" s="35">
        <v>7354933.4499999993</v>
      </c>
    </row>
    <row r="98" spans="1:6" x14ac:dyDescent="0.3">
      <c r="A98" t="s">
        <v>31</v>
      </c>
      <c r="B98">
        <v>2024</v>
      </c>
      <c r="C98" t="s">
        <v>17</v>
      </c>
      <c r="D98" s="35">
        <v>923187.05000000028</v>
      </c>
      <c r="E98" s="35">
        <v>20224</v>
      </c>
      <c r="F98" s="35">
        <v>87466.62000000001</v>
      </c>
    </row>
    <row r="99" spans="1:6" x14ac:dyDescent="0.3">
      <c r="A99" t="s">
        <v>31</v>
      </c>
      <c r="B99">
        <v>2024</v>
      </c>
      <c r="C99" t="s">
        <v>9</v>
      </c>
      <c r="D99" s="35">
        <v>18960709.57</v>
      </c>
      <c r="E99" s="35">
        <v>166172</v>
      </c>
      <c r="F99" s="35">
        <v>13699618.51</v>
      </c>
    </row>
    <row r="100" spans="1:6" x14ac:dyDescent="0.3">
      <c r="A100" t="s">
        <v>31</v>
      </c>
      <c r="B100">
        <v>2024</v>
      </c>
      <c r="C100" t="s">
        <v>8</v>
      </c>
      <c r="D100" s="35">
        <v>6766423.4399999985</v>
      </c>
      <c r="E100" s="35">
        <v>289</v>
      </c>
      <c r="F100" s="35">
        <v>6766423.4399999985</v>
      </c>
    </row>
    <row r="101" spans="1:6" x14ac:dyDescent="0.3">
      <c r="A101" t="s">
        <v>31</v>
      </c>
      <c r="B101">
        <v>2024</v>
      </c>
      <c r="C101" t="s">
        <v>6</v>
      </c>
      <c r="D101" s="35">
        <v>16181092.08</v>
      </c>
      <c r="E101" s="35">
        <v>148186</v>
      </c>
      <c r="F101" s="35">
        <v>13048228.07</v>
      </c>
    </row>
    <row r="102" spans="1:6" x14ac:dyDescent="0.3">
      <c r="A102" t="s">
        <v>31</v>
      </c>
      <c r="B102">
        <v>2024</v>
      </c>
      <c r="C102" t="s">
        <v>15</v>
      </c>
      <c r="D102" s="35">
        <v>1443989.99</v>
      </c>
      <c r="E102" s="35">
        <v>26262</v>
      </c>
      <c r="F102" s="35">
        <v>756826.88000000012</v>
      </c>
    </row>
    <row r="103" spans="1:6" x14ac:dyDescent="0.3">
      <c r="A103" t="s">
        <v>31</v>
      </c>
      <c r="B103">
        <v>2024</v>
      </c>
      <c r="C103" t="s">
        <v>18</v>
      </c>
      <c r="D103" s="35">
        <v>636827.2799999998</v>
      </c>
      <c r="E103" s="35">
        <v>4081</v>
      </c>
      <c r="F103" s="35">
        <v>491647.49</v>
      </c>
    </row>
    <row r="104" spans="1:6" x14ac:dyDescent="0.3">
      <c r="A104" t="s">
        <v>31</v>
      </c>
      <c r="B104">
        <v>2025</v>
      </c>
      <c r="C104" t="s">
        <v>10</v>
      </c>
      <c r="D104" s="35">
        <v>9068440.7599999998</v>
      </c>
      <c r="E104" s="35">
        <v>169016</v>
      </c>
      <c r="F104" s="35">
        <v>5975056.6899999985</v>
      </c>
    </row>
    <row r="105" spans="1:6" x14ac:dyDescent="0.3">
      <c r="A105" t="s">
        <v>31</v>
      </c>
      <c r="B105">
        <v>2025</v>
      </c>
      <c r="C105" t="s">
        <v>4</v>
      </c>
      <c r="D105" s="35">
        <v>33505374.920000002</v>
      </c>
      <c r="E105" s="35">
        <v>66926</v>
      </c>
      <c r="F105" s="35">
        <v>33126691.449999999</v>
      </c>
    </row>
    <row r="106" spans="1:6" x14ac:dyDescent="0.3">
      <c r="A106" t="s">
        <v>31</v>
      </c>
      <c r="B106">
        <v>2025</v>
      </c>
      <c r="C106" t="s">
        <v>13</v>
      </c>
      <c r="D106" s="35">
        <v>7625542.6199999992</v>
      </c>
      <c r="E106" s="35">
        <v>52265</v>
      </c>
      <c r="F106" s="35">
        <v>6084200.8399999989</v>
      </c>
    </row>
    <row r="107" spans="1:6" x14ac:dyDescent="0.3">
      <c r="A107" t="s">
        <v>31</v>
      </c>
      <c r="B107">
        <v>2025</v>
      </c>
      <c r="C107" t="s">
        <v>16</v>
      </c>
      <c r="D107" s="35">
        <v>1790960.48</v>
      </c>
      <c r="E107" s="35">
        <v>4199</v>
      </c>
      <c r="F107" s="35">
        <v>1688510.41</v>
      </c>
    </row>
    <row r="108" spans="1:6" x14ac:dyDescent="0.3">
      <c r="A108" t="s">
        <v>31</v>
      </c>
      <c r="B108">
        <v>2025</v>
      </c>
      <c r="C108" t="s">
        <v>14</v>
      </c>
      <c r="D108" s="35">
        <v>3672927.919999999</v>
      </c>
      <c r="E108" s="35">
        <v>74965</v>
      </c>
      <c r="F108" s="35">
        <v>1679300.77</v>
      </c>
    </row>
    <row r="109" spans="1:6" x14ac:dyDescent="0.3">
      <c r="A109" t="s">
        <v>31</v>
      </c>
      <c r="B109">
        <v>2025</v>
      </c>
      <c r="C109" t="s">
        <v>7</v>
      </c>
      <c r="D109" s="35">
        <v>6099668.3700000001</v>
      </c>
      <c r="E109" s="35">
        <v>2140</v>
      </c>
      <c r="F109" s="35">
        <v>6081830.0300000003</v>
      </c>
    </row>
    <row r="110" spans="1:6" x14ac:dyDescent="0.3">
      <c r="A110" t="s">
        <v>31</v>
      </c>
      <c r="B110">
        <v>2025</v>
      </c>
      <c r="C110" t="s">
        <v>11</v>
      </c>
      <c r="D110" s="35">
        <v>7839674.6700000027</v>
      </c>
      <c r="E110" s="35">
        <v>2671</v>
      </c>
      <c r="F110" s="35">
        <v>7799063.9700000016</v>
      </c>
    </row>
    <row r="111" spans="1:6" x14ac:dyDescent="0.3">
      <c r="A111" t="s">
        <v>31</v>
      </c>
      <c r="B111">
        <v>2025</v>
      </c>
      <c r="C111" t="s">
        <v>3</v>
      </c>
      <c r="D111" s="35">
        <v>44007265.079999991</v>
      </c>
      <c r="E111" s="35">
        <v>49287</v>
      </c>
      <c r="F111" s="35">
        <v>43215184.780000009</v>
      </c>
    </row>
    <row r="112" spans="1:6" x14ac:dyDescent="0.3">
      <c r="A112" t="s">
        <v>31</v>
      </c>
      <c r="B112">
        <v>2025</v>
      </c>
      <c r="C112" t="s">
        <v>12</v>
      </c>
      <c r="D112" s="35">
        <v>12422937.01</v>
      </c>
      <c r="E112" s="35">
        <v>129914</v>
      </c>
      <c r="F112" s="35">
        <v>9512831.7199999988</v>
      </c>
    </row>
    <row r="113" spans="1:6" x14ac:dyDescent="0.3">
      <c r="A113" t="s">
        <v>31</v>
      </c>
      <c r="B113">
        <v>2025</v>
      </c>
      <c r="C113" t="s">
        <v>2</v>
      </c>
      <c r="D113" s="35">
        <v>30124224.43</v>
      </c>
      <c r="E113" s="35">
        <v>329418</v>
      </c>
      <c r="F113" s="35">
        <v>22783172.34</v>
      </c>
    </row>
    <row r="114" spans="1:6" x14ac:dyDescent="0.3">
      <c r="A114" t="s">
        <v>31</v>
      </c>
      <c r="B114">
        <v>2025</v>
      </c>
      <c r="C114" t="s">
        <v>5</v>
      </c>
      <c r="D114" s="35">
        <v>11721927.92</v>
      </c>
      <c r="E114" s="35">
        <v>4994</v>
      </c>
      <c r="F114" s="35">
        <v>11531715.75</v>
      </c>
    </row>
    <row r="115" spans="1:6" x14ac:dyDescent="0.3">
      <c r="A115" t="s">
        <v>31</v>
      </c>
      <c r="B115">
        <v>2025</v>
      </c>
      <c r="C115" t="s">
        <v>17</v>
      </c>
      <c r="D115" s="35">
        <v>1681694.8</v>
      </c>
      <c r="E115" s="35">
        <v>21444</v>
      </c>
      <c r="F115" s="35">
        <v>108544.46</v>
      </c>
    </row>
    <row r="116" spans="1:6" x14ac:dyDescent="0.3">
      <c r="A116" t="s">
        <v>31</v>
      </c>
      <c r="B116">
        <v>2025</v>
      </c>
      <c r="C116" t="s">
        <v>9</v>
      </c>
      <c r="D116" s="35">
        <v>19075111.670000002</v>
      </c>
      <c r="E116" s="35">
        <v>158591</v>
      </c>
      <c r="F116" s="35">
        <v>14114133.619999999</v>
      </c>
    </row>
    <row r="117" spans="1:6" x14ac:dyDescent="0.3">
      <c r="A117" t="s">
        <v>31</v>
      </c>
      <c r="B117">
        <v>2025</v>
      </c>
      <c r="C117" t="s">
        <v>8</v>
      </c>
      <c r="D117" s="35">
        <v>6120104.0199999996</v>
      </c>
      <c r="E117" s="35">
        <v>230</v>
      </c>
      <c r="F117" s="35">
        <v>6120104.0199999996</v>
      </c>
    </row>
    <row r="118" spans="1:6" x14ac:dyDescent="0.3">
      <c r="A118" t="s">
        <v>31</v>
      </c>
      <c r="B118">
        <v>2025</v>
      </c>
      <c r="C118" t="s">
        <v>6</v>
      </c>
      <c r="D118" s="35">
        <v>15551622.32</v>
      </c>
      <c r="E118" s="35">
        <v>140583</v>
      </c>
      <c r="F118" s="35">
        <v>12263579.74</v>
      </c>
    </row>
    <row r="119" spans="1:6" x14ac:dyDescent="0.3">
      <c r="A119" t="s">
        <v>31</v>
      </c>
      <c r="B119">
        <v>2025</v>
      </c>
      <c r="C119" t="s">
        <v>15</v>
      </c>
      <c r="D119" s="35">
        <v>1629319.540000001</v>
      </c>
      <c r="E119" s="35">
        <v>21904</v>
      </c>
      <c r="F119" s="35">
        <v>980274.06000000017</v>
      </c>
    </row>
    <row r="120" spans="1:6" x14ac:dyDescent="0.3">
      <c r="A120" t="s">
        <v>31</v>
      </c>
      <c r="B120">
        <v>2025</v>
      </c>
      <c r="C120" t="s">
        <v>18</v>
      </c>
      <c r="D120" s="35">
        <v>578255.92000000004</v>
      </c>
      <c r="E120" s="35">
        <v>3743</v>
      </c>
      <c r="F120" s="35">
        <v>353786.29999999987</v>
      </c>
    </row>
    <row r="121" spans="1:6" x14ac:dyDescent="0.3">
      <c r="A121" t="s">
        <v>32</v>
      </c>
      <c r="B121">
        <v>2019</v>
      </c>
      <c r="C121" t="s">
        <v>10</v>
      </c>
      <c r="D121" s="35">
        <v>26130205.010000002</v>
      </c>
      <c r="E121" s="35">
        <v>624492</v>
      </c>
      <c r="F121" s="35">
        <v>17287341.91</v>
      </c>
    </row>
    <row r="122" spans="1:6" x14ac:dyDescent="0.3">
      <c r="A122" t="s">
        <v>32</v>
      </c>
      <c r="B122">
        <v>2019</v>
      </c>
      <c r="C122" t="s">
        <v>4</v>
      </c>
      <c r="D122" s="35">
        <v>67238764.320000008</v>
      </c>
      <c r="E122" s="35">
        <v>175752</v>
      </c>
      <c r="F122" s="35">
        <v>66342736.340000004</v>
      </c>
    </row>
    <row r="123" spans="1:6" x14ac:dyDescent="0.3">
      <c r="A123" t="s">
        <v>32</v>
      </c>
      <c r="B123">
        <v>2019</v>
      </c>
      <c r="C123" t="s">
        <v>13</v>
      </c>
      <c r="D123" s="35">
        <v>41957998.759999998</v>
      </c>
      <c r="E123" s="35">
        <v>222586</v>
      </c>
      <c r="F123" s="35">
        <v>37073560.899999999</v>
      </c>
    </row>
    <row r="124" spans="1:6" x14ac:dyDescent="0.3">
      <c r="A124" t="s">
        <v>32</v>
      </c>
      <c r="B124">
        <v>2019</v>
      </c>
      <c r="C124" t="s">
        <v>16</v>
      </c>
      <c r="D124" s="35">
        <v>6114412.9900000002</v>
      </c>
      <c r="E124" s="35">
        <v>21942</v>
      </c>
      <c r="F124" s="35">
        <v>5885708.4199999999</v>
      </c>
    </row>
    <row r="125" spans="1:6" x14ac:dyDescent="0.3">
      <c r="A125" t="s">
        <v>32</v>
      </c>
      <c r="B125">
        <v>2019</v>
      </c>
      <c r="C125" t="s">
        <v>14</v>
      </c>
      <c r="D125" s="35">
        <v>17679444.359999999</v>
      </c>
      <c r="E125" s="35">
        <v>403382</v>
      </c>
      <c r="F125" s="35">
        <v>10152752.73</v>
      </c>
    </row>
    <row r="126" spans="1:6" x14ac:dyDescent="0.3">
      <c r="A126" t="s">
        <v>32</v>
      </c>
      <c r="B126">
        <v>2019</v>
      </c>
      <c r="C126" t="s">
        <v>7</v>
      </c>
      <c r="D126" s="35">
        <v>29597864.41</v>
      </c>
      <c r="E126" s="35">
        <v>13813</v>
      </c>
      <c r="F126" s="35">
        <v>29521266.579999998</v>
      </c>
    </row>
    <row r="127" spans="1:6" x14ac:dyDescent="0.3">
      <c r="A127" t="s">
        <v>32</v>
      </c>
      <c r="B127">
        <v>2019</v>
      </c>
      <c r="C127" t="s">
        <v>11</v>
      </c>
      <c r="D127" s="35">
        <v>41982136.119999997</v>
      </c>
      <c r="E127" s="35">
        <v>63320</v>
      </c>
      <c r="F127" s="35">
        <v>41554626.919999987</v>
      </c>
    </row>
    <row r="128" spans="1:6" x14ac:dyDescent="0.3">
      <c r="A128" t="s">
        <v>32</v>
      </c>
      <c r="B128">
        <v>2019</v>
      </c>
      <c r="C128" t="s">
        <v>3</v>
      </c>
      <c r="D128" s="35">
        <v>67690907.770000011</v>
      </c>
      <c r="E128" s="35">
        <v>450823</v>
      </c>
      <c r="F128" s="35">
        <v>60572941.880000003</v>
      </c>
    </row>
    <row r="129" spans="1:6" x14ac:dyDescent="0.3">
      <c r="A129" t="s">
        <v>32</v>
      </c>
      <c r="B129">
        <v>2019</v>
      </c>
      <c r="C129" t="s">
        <v>12</v>
      </c>
      <c r="D129" s="35">
        <v>57716692.189999998</v>
      </c>
      <c r="E129" s="35">
        <v>1178067</v>
      </c>
      <c r="F129" s="35">
        <v>30873695.34</v>
      </c>
    </row>
    <row r="130" spans="1:6" x14ac:dyDescent="0.3">
      <c r="A130" t="s">
        <v>32</v>
      </c>
      <c r="B130">
        <v>2019</v>
      </c>
      <c r="C130" t="s">
        <v>2</v>
      </c>
      <c r="D130" s="35">
        <v>264465730.88999999</v>
      </c>
      <c r="E130" s="35">
        <v>1729999</v>
      </c>
      <c r="F130" s="35">
        <v>231598104.81</v>
      </c>
    </row>
    <row r="131" spans="1:6" x14ac:dyDescent="0.3">
      <c r="A131" t="s">
        <v>32</v>
      </c>
      <c r="B131">
        <v>2019</v>
      </c>
      <c r="C131" t="s">
        <v>5</v>
      </c>
      <c r="D131" s="35">
        <v>45115771.439999998</v>
      </c>
      <c r="E131" s="35">
        <v>34592</v>
      </c>
      <c r="F131" s="35">
        <v>43366613.319999993</v>
      </c>
    </row>
    <row r="132" spans="1:6" x14ac:dyDescent="0.3">
      <c r="A132" t="s">
        <v>32</v>
      </c>
      <c r="B132">
        <v>2019</v>
      </c>
      <c r="C132" t="s">
        <v>17</v>
      </c>
      <c r="D132" s="35">
        <v>2176797.54</v>
      </c>
      <c r="E132" s="35">
        <v>106282</v>
      </c>
      <c r="F132" s="35">
        <v>475755.8</v>
      </c>
    </row>
    <row r="133" spans="1:6" x14ac:dyDescent="0.3">
      <c r="A133" t="s">
        <v>32</v>
      </c>
      <c r="B133">
        <v>2019</v>
      </c>
      <c r="C133" t="s">
        <v>9</v>
      </c>
      <c r="D133" s="35">
        <v>28273538.109999999</v>
      </c>
      <c r="E133" s="35">
        <v>643179</v>
      </c>
      <c r="F133" s="35">
        <v>19360051.699999999</v>
      </c>
    </row>
    <row r="134" spans="1:6" x14ac:dyDescent="0.3">
      <c r="A134" t="s">
        <v>32</v>
      </c>
      <c r="B134">
        <v>2019</v>
      </c>
      <c r="C134" t="s">
        <v>8</v>
      </c>
      <c r="D134" s="35">
        <v>25976789.329999998</v>
      </c>
      <c r="E134" s="35">
        <v>2447</v>
      </c>
      <c r="F134" s="35">
        <v>25976789.329999998</v>
      </c>
    </row>
    <row r="135" spans="1:6" x14ac:dyDescent="0.3">
      <c r="A135" t="s">
        <v>32</v>
      </c>
      <c r="B135">
        <v>2019</v>
      </c>
      <c r="C135" t="s">
        <v>6</v>
      </c>
      <c r="D135" s="35">
        <v>85087646.260000005</v>
      </c>
      <c r="E135" s="35">
        <v>1209400</v>
      </c>
      <c r="F135" s="35">
        <v>68200872.75000003</v>
      </c>
    </row>
    <row r="136" spans="1:6" x14ac:dyDescent="0.3">
      <c r="A136" t="s">
        <v>32</v>
      </c>
      <c r="B136">
        <v>2019</v>
      </c>
      <c r="C136" t="s">
        <v>15</v>
      </c>
      <c r="D136" s="35">
        <v>29241489.039999999</v>
      </c>
      <c r="E136" s="35">
        <v>421769</v>
      </c>
      <c r="F136" s="35">
        <v>19304720.260000002</v>
      </c>
    </row>
    <row r="137" spans="1:6" x14ac:dyDescent="0.3">
      <c r="A137" t="s">
        <v>32</v>
      </c>
      <c r="B137">
        <v>2019</v>
      </c>
      <c r="C137" t="s">
        <v>18</v>
      </c>
      <c r="D137" s="35">
        <v>3235525.81</v>
      </c>
      <c r="E137" s="35">
        <v>44493</v>
      </c>
      <c r="F137" s="35">
        <v>1751355.66</v>
      </c>
    </row>
    <row r="138" spans="1:6" x14ac:dyDescent="0.3">
      <c r="A138" t="s">
        <v>32</v>
      </c>
      <c r="B138">
        <v>2020</v>
      </c>
      <c r="C138" t="s">
        <v>10</v>
      </c>
      <c r="D138" s="35">
        <v>29509222.719999999</v>
      </c>
      <c r="E138" s="35">
        <v>660860</v>
      </c>
      <c r="F138" s="35">
        <v>20001228.239999998</v>
      </c>
    </row>
    <row r="139" spans="1:6" x14ac:dyDescent="0.3">
      <c r="A139" t="s">
        <v>32</v>
      </c>
      <c r="B139">
        <v>2020</v>
      </c>
      <c r="C139" t="s">
        <v>4</v>
      </c>
      <c r="D139" s="35">
        <v>78976199.180000007</v>
      </c>
      <c r="E139" s="35">
        <v>194143</v>
      </c>
      <c r="F139" s="35">
        <v>78057108.680000007</v>
      </c>
    </row>
    <row r="140" spans="1:6" x14ac:dyDescent="0.3">
      <c r="A140" t="s">
        <v>32</v>
      </c>
      <c r="B140">
        <v>2020</v>
      </c>
      <c r="C140" t="s">
        <v>13</v>
      </c>
      <c r="D140" s="35">
        <v>39541540.219999999</v>
      </c>
      <c r="E140" s="35">
        <v>230476</v>
      </c>
      <c r="F140" s="35">
        <v>33848124.82</v>
      </c>
    </row>
    <row r="141" spans="1:6" x14ac:dyDescent="0.3">
      <c r="A141" t="s">
        <v>32</v>
      </c>
      <c r="B141">
        <v>2020</v>
      </c>
      <c r="C141" t="s">
        <v>16</v>
      </c>
      <c r="D141" s="35">
        <v>6019747.7799999984</v>
      </c>
      <c r="E141" s="35">
        <v>23923</v>
      </c>
      <c r="F141" s="35">
        <v>5628277.9999999991</v>
      </c>
    </row>
    <row r="142" spans="1:6" x14ac:dyDescent="0.3">
      <c r="A142" t="s">
        <v>32</v>
      </c>
      <c r="B142">
        <v>2020</v>
      </c>
      <c r="C142" t="s">
        <v>14</v>
      </c>
      <c r="D142" s="35">
        <v>20319672.260000009</v>
      </c>
      <c r="E142" s="35">
        <v>391032</v>
      </c>
      <c r="F142" s="35">
        <v>11528598.630000001</v>
      </c>
    </row>
    <row r="143" spans="1:6" x14ac:dyDescent="0.3">
      <c r="A143" t="s">
        <v>32</v>
      </c>
      <c r="B143">
        <v>2020</v>
      </c>
      <c r="C143" t="s">
        <v>7</v>
      </c>
      <c r="D143" s="35">
        <v>33219293.77</v>
      </c>
      <c r="E143" s="35">
        <v>14305</v>
      </c>
      <c r="F143" s="35">
        <v>33026640.559999999</v>
      </c>
    </row>
    <row r="144" spans="1:6" x14ac:dyDescent="0.3">
      <c r="A144" t="s">
        <v>32</v>
      </c>
      <c r="B144">
        <v>2020</v>
      </c>
      <c r="C144" t="s">
        <v>11</v>
      </c>
      <c r="D144" s="35">
        <v>50601316.610000007</v>
      </c>
      <c r="E144" s="35">
        <v>63948</v>
      </c>
      <c r="F144" s="35">
        <v>44348596.380000003</v>
      </c>
    </row>
    <row r="145" spans="1:6" x14ac:dyDescent="0.3">
      <c r="A145" t="s">
        <v>32</v>
      </c>
      <c r="B145">
        <v>2020</v>
      </c>
      <c r="C145" t="s">
        <v>3</v>
      </c>
      <c r="D145" s="35">
        <v>83043835.540000021</v>
      </c>
      <c r="E145" s="35">
        <v>375751</v>
      </c>
      <c r="F145" s="35">
        <v>76339092.190000027</v>
      </c>
    </row>
    <row r="146" spans="1:6" x14ac:dyDescent="0.3">
      <c r="A146" t="s">
        <v>32</v>
      </c>
      <c r="B146">
        <v>2020</v>
      </c>
      <c r="C146" t="s">
        <v>12</v>
      </c>
      <c r="D146" s="35">
        <v>42861293.850000009</v>
      </c>
      <c r="E146" s="35">
        <v>938006</v>
      </c>
      <c r="F146" s="35">
        <v>22994802.940000001</v>
      </c>
    </row>
    <row r="147" spans="1:6" x14ac:dyDescent="0.3">
      <c r="A147" t="s">
        <v>32</v>
      </c>
      <c r="B147">
        <v>2020</v>
      </c>
      <c r="C147" t="s">
        <v>2</v>
      </c>
      <c r="D147" s="35">
        <v>262137931.74000001</v>
      </c>
      <c r="E147" s="35">
        <v>1711051</v>
      </c>
      <c r="F147" s="35">
        <v>227652550.19</v>
      </c>
    </row>
    <row r="148" spans="1:6" x14ac:dyDescent="0.3">
      <c r="A148" t="s">
        <v>32</v>
      </c>
      <c r="B148">
        <v>2020</v>
      </c>
      <c r="C148" t="s">
        <v>5</v>
      </c>
      <c r="D148" s="35">
        <v>43327436.06000001</v>
      </c>
      <c r="E148" s="35">
        <v>31714</v>
      </c>
      <c r="F148" s="35">
        <v>42073974.329999998</v>
      </c>
    </row>
    <row r="149" spans="1:6" x14ac:dyDescent="0.3">
      <c r="A149" t="s">
        <v>32</v>
      </c>
      <c r="B149">
        <v>2020</v>
      </c>
      <c r="C149" t="s">
        <v>17</v>
      </c>
      <c r="D149" s="35">
        <v>2246780.6</v>
      </c>
      <c r="E149" s="35">
        <v>99788</v>
      </c>
      <c r="F149" s="35">
        <v>585764.96</v>
      </c>
    </row>
    <row r="150" spans="1:6" x14ac:dyDescent="0.3">
      <c r="A150" t="s">
        <v>32</v>
      </c>
      <c r="B150">
        <v>2020</v>
      </c>
      <c r="C150" t="s">
        <v>9</v>
      </c>
      <c r="D150" s="35">
        <v>30925691.690000001</v>
      </c>
      <c r="E150" s="35">
        <v>585275</v>
      </c>
      <c r="F150" s="35">
        <v>22673403.280000001</v>
      </c>
    </row>
    <row r="151" spans="1:6" x14ac:dyDescent="0.3">
      <c r="A151" t="s">
        <v>32</v>
      </c>
      <c r="B151">
        <v>2020</v>
      </c>
      <c r="C151" t="s">
        <v>8</v>
      </c>
      <c r="D151" s="35">
        <v>32715611.350000001</v>
      </c>
      <c r="E151" s="35">
        <v>2802</v>
      </c>
      <c r="F151" s="35">
        <v>32715611.350000001</v>
      </c>
    </row>
    <row r="152" spans="1:6" x14ac:dyDescent="0.3">
      <c r="A152" t="s">
        <v>32</v>
      </c>
      <c r="B152">
        <v>2020</v>
      </c>
      <c r="C152" t="s">
        <v>6</v>
      </c>
      <c r="D152" s="35">
        <v>82397569.680000022</v>
      </c>
      <c r="E152" s="35">
        <v>1160690</v>
      </c>
      <c r="F152" s="35">
        <v>63683629.440000013</v>
      </c>
    </row>
    <row r="153" spans="1:6" x14ac:dyDescent="0.3">
      <c r="A153" t="s">
        <v>32</v>
      </c>
      <c r="B153">
        <v>2020</v>
      </c>
      <c r="C153" t="s">
        <v>15</v>
      </c>
      <c r="D153" s="35">
        <v>20029127.09</v>
      </c>
      <c r="E153" s="35">
        <v>309622</v>
      </c>
      <c r="F153" s="35">
        <v>11203107.869999999</v>
      </c>
    </row>
    <row r="154" spans="1:6" x14ac:dyDescent="0.3">
      <c r="A154" t="s">
        <v>32</v>
      </c>
      <c r="B154">
        <v>2020</v>
      </c>
      <c r="C154" t="s">
        <v>18</v>
      </c>
      <c r="D154" s="35">
        <v>2660081.3199999998</v>
      </c>
      <c r="E154" s="35">
        <v>46594</v>
      </c>
      <c r="F154" s="35">
        <v>1903701.73</v>
      </c>
    </row>
    <row r="155" spans="1:6" x14ac:dyDescent="0.3">
      <c r="A155" t="s">
        <v>32</v>
      </c>
      <c r="B155">
        <v>2021</v>
      </c>
      <c r="C155" t="s">
        <v>10</v>
      </c>
      <c r="D155" s="35">
        <v>34125188.539999992</v>
      </c>
      <c r="E155" s="35">
        <v>752959</v>
      </c>
      <c r="F155" s="35">
        <v>23359621.41</v>
      </c>
    </row>
    <row r="156" spans="1:6" x14ac:dyDescent="0.3">
      <c r="A156" t="s">
        <v>32</v>
      </c>
      <c r="B156">
        <v>2021</v>
      </c>
      <c r="C156" t="s">
        <v>4</v>
      </c>
      <c r="D156" s="35">
        <v>102146657.51000001</v>
      </c>
      <c r="E156" s="35">
        <v>236487</v>
      </c>
      <c r="F156" s="35">
        <v>100654257.2</v>
      </c>
    </row>
    <row r="157" spans="1:6" x14ac:dyDescent="0.3">
      <c r="A157" t="s">
        <v>32</v>
      </c>
      <c r="B157">
        <v>2021</v>
      </c>
      <c r="C157" t="s">
        <v>13</v>
      </c>
      <c r="D157" s="35">
        <v>41144840.849999987</v>
      </c>
      <c r="E157" s="35">
        <v>259127</v>
      </c>
      <c r="F157" s="35">
        <v>34790441.029999986</v>
      </c>
    </row>
    <row r="158" spans="1:6" x14ac:dyDescent="0.3">
      <c r="A158" t="s">
        <v>32</v>
      </c>
      <c r="B158">
        <v>2021</v>
      </c>
      <c r="C158" t="s">
        <v>16</v>
      </c>
      <c r="D158" s="35">
        <v>7344278.2700000014</v>
      </c>
      <c r="E158" s="35">
        <v>26630</v>
      </c>
      <c r="F158" s="35">
        <v>6931801.9400000004</v>
      </c>
    </row>
    <row r="159" spans="1:6" x14ac:dyDescent="0.3">
      <c r="A159" t="s">
        <v>32</v>
      </c>
      <c r="B159">
        <v>2021</v>
      </c>
      <c r="C159" t="s">
        <v>14</v>
      </c>
      <c r="D159" s="35">
        <v>25697971.960000001</v>
      </c>
      <c r="E159" s="35">
        <v>476322</v>
      </c>
      <c r="F159" s="35">
        <v>14984949.119999999</v>
      </c>
    </row>
    <row r="160" spans="1:6" x14ac:dyDescent="0.3">
      <c r="A160" t="s">
        <v>32</v>
      </c>
      <c r="B160">
        <v>2021</v>
      </c>
      <c r="C160" t="s">
        <v>7</v>
      </c>
      <c r="D160" s="35">
        <v>38800095.109999999</v>
      </c>
      <c r="E160" s="35">
        <v>16433</v>
      </c>
      <c r="F160" s="35">
        <v>38172574.039999999</v>
      </c>
    </row>
    <row r="161" spans="1:6" x14ac:dyDescent="0.3">
      <c r="A161" t="s">
        <v>32</v>
      </c>
      <c r="B161">
        <v>2021</v>
      </c>
      <c r="C161" t="s">
        <v>11</v>
      </c>
      <c r="D161" s="35">
        <v>50895414.229999997</v>
      </c>
      <c r="E161" s="35">
        <v>70732</v>
      </c>
      <c r="F161" s="35">
        <v>43644369.460000001</v>
      </c>
    </row>
    <row r="162" spans="1:6" x14ac:dyDescent="0.3">
      <c r="A162" t="s">
        <v>32</v>
      </c>
      <c r="B162">
        <v>2021</v>
      </c>
      <c r="C162" t="s">
        <v>3</v>
      </c>
      <c r="D162" s="35">
        <v>116220631.56999999</v>
      </c>
      <c r="E162" s="35">
        <v>451266</v>
      </c>
      <c r="F162" s="35">
        <v>108862859.73999999</v>
      </c>
    </row>
    <row r="163" spans="1:6" x14ac:dyDescent="0.3">
      <c r="A163" t="s">
        <v>32</v>
      </c>
      <c r="B163">
        <v>2021</v>
      </c>
      <c r="C163" t="s">
        <v>12</v>
      </c>
      <c r="D163" s="35">
        <v>44970008.030000009</v>
      </c>
      <c r="E163" s="35">
        <v>1064891</v>
      </c>
      <c r="F163" s="35">
        <v>26460362.670000002</v>
      </c>
    </row>
    <row r="164" spans="1:6" x14ac:dyDescent="0.3">
      <c r="A164" t="s">
        <v>32</v>
      </c>
      <c r="B164">
        <v>2021</v>
      </c>
      <c r="C164" t="s">
        <v>2</v>
      </c>
      <c r="D164" s="35">
        <v>287077187.61000007</v>
      </c>
      <c r="E164" s="35">
        <v>1839071</v>
      </c>
      <c r="F164" s="35">
        <v>250629241.69</v>
      </c>
    </row>
    <row r="165" spans="1:6" x14ac:dyDescent="0.3">
      <c r="A165" t="s">
        <v>32</v>
      </c>
      <c r="B165">
        <v>2021</v>
      </c>
      <c r="C165" t="s">
        <v>5</v>
      </c>
      <c r="D165" s="35">
        <v>49504419.570000008</v>
      </c>
      <c r="E165" s="35">
        <v>33556</v>
      </c>
      <c r="F165" s="35">
        <v>47984996.049999997</v>
      </c>
    </row>
    <row r="166" spans="1:6" x14ac:dyDescent="0.3">
      <c r="A166" t="s">
        <v>32</v>
      </c>
      <c r="B166">
        <v>2021</v>
      </c>
      <c r="C166" t="s">
        <v>17</v>
      </c>
      <c r="D166" s="35">
        <v>2346883.5</v>
      </c>
      <c r="E166" s="35">
        <v>106898</v>
      </c>
      <c r="F166" s="35">
        <v>544044.17000000004</v>
      </c>
    </row>
    <row r="167" spans="1:6" x14ac:dyDescent="0.3">
      <c r="A167" t="s">
        <v>32</v>
      </c>
      <c r="B167">
        <v>2021</v>
      </c>
      <c r="C167" t="s">
        <v>9</v>
      </c>
      <c r="D167" s="35">
        <v>34545602.430000007</v>
      </c>
      <c r="E167" s="35">
        <v>625927</v>
      </c>
      <c r="F167" s="35">
        <v>25903599.699999999</v>
      </c>
    </row>
    <row r="168" spans="1:6" x14ac:dyDescent="0.3">
      <c r="A168" t="s">
        <v>32</v>
      </c>
      <c r="B168">
        <v>2021</v>
      </c>
      <c r="C168" t="s">
        <v>8</v>
      </c>
      <c r="D168" s="35">
        <v>49020670.549999997</v>
      </c>
      <c r="E168" s="35">
        <v>2748</v>
      </c>
      <c r="F168" s="35">
        <v>49020670.549999997</v>
      </c>
    </row>
    <row r="169" spans="1:6" x14ac:dyDescent="0.3">
      <c r="A169" t="s">
        <v>32</v>
      </c>
      <c r="B169">
        <v>2021</v>
      </c>
      <c r="C169" t="s">
        <v>6</v>
      </c>
      <c r="D169" s="35">
        <v>87706883.590000018</v>
      </c>
      <c r="E169" s="35">
        <v>1339832</v>
      </c>
      <c r="F169" s="35">
        <v>62934224.380000003</v>
      </c>
    </row>
    <row r="170" spans="1:6" x14ac:dyDescent="0.3">
      <c r="A170" t="s">
        <v>32</v>
      </c>
      <c r="B170">
        <v>2021</v>
      </c>
      <c r="C170" t="s">
        <v>15</v>
      </c>
      <c r="D170" s="35">
        <v>18474687.75999999</v>
      </c>
      <c r="E170" s="35">
        <v>299796</v>
      </c>
      <c r="F170" s="35">
        <v>9532184.2899999991</v>
      </c>
    </row>
    <row r="171" spans="1:6" x14ac:dyDescent="0.3">
      <c r="A171" t="s">
        <v>32</v>
      </c>
      <c r="B171">
        <v>2021</v>
      </c>
      <c r="C171" t="s">
        <v>18</v>
      </c>
      <c r="D171" s="35">
        <v>2294359.9500000002</v>
      </c>
      <c r="E171" s="35">
        <v>50537</v>
      </c>
      <c r="F171" s="35">
        <v>1646440.24</v>
      </c>
    </row>
    <row r="172" spans="1:6" x14ac:dyDescent="0.3">
      <c r="A172" t="s">
        <v>32</v>
      </c>
      <c r="B172">
        <v>2022</v>
      </c>
      <c r="C172" t="s">
        <v>10</v>
      </c>
      <c r="D172" s="35">
        <v>36946654.029999986</v>
      </c>
      <c r="E172" s="35">
        <v>754931</v>
      </c>
      <c r="F172" s="35">
        <v>25549500.739999991</v>
      </c>
    </row>
    <row r="173" spans="1:6" x14ac:dyDescent="0.3">
      <c r="A173" t="s">
        <v>32</v>
      </c>
      <c r="B173">
        <v>2022</v>
      </c>
      <c r="C173" t="s">
        <v>4</v>
      </c>
      <c r="D173" s="35">
        <v>118376984.36</v>
      </c>
      <c r="E173" s="35">
        <v>254196</v>
      </c>
      <c r="F173" s="35">
        <v>116969934.42</v>
      </c>
    </row>
    <row r="174" spans="1:6" x14ac:dyDescent="0.3">
      <c r="A174" t="s">
        <v>32</v>
      </c>
      <c r="B174">
        <v>2022</v>
      </c>
      <c r="C174" t="s">
        <v>13</v>
      </c>
      <c r="D174" s="35">
        <v>40046519.479999997</v>
      </c>
      <c r="E174" s="35">
        <v>254903</v>
      </c>
      <c r="F174" s="35">
        <v>34121597.43</v>
      </c>
    </row>
    <row r="175" spans="1:6" x14ac:dyDescent="0.3">
      <c r="A175" t="s">
        <v>32</v>
      </c>
      <c r="B175">
        <v>2022</v>
      </c>
      <c r="C175" t="s">
        <v>16</v>
      </c>
      <c r="D175" s="35">
        <v>8032521.0899999989</v>
      </c>
      <c r="E175" s="35">
        <v>27271</v>
      </c>
      <c r="F175" s="35">
        <v>7682022.3299999982</v>
      </c>
    </row>
    <row r="176" spans="1:6" x14ac:dyDescent="0.3">
      <c r="A176" t="s">
        <v>32</v>
      </c>
      <c r="B176">
        <v>2022</v>
      </c>
      <c r="C176" t="s">
        <v>14</v>
      </c>
      <c r="D176" s="35">
        <v>29511971.890000001</v>
      </c>
      <c r="E176" s="35">
        <v>498584</v>
      </c>
      <c r="F176" s="35">
        <v>18569184.469999999</v>
      </c>
    </row>
    <row r="177" spans="1:6" x14ac:dyDescent="0.3">
      <c r="A177" t="s">
        <v>32</v>
      </c>
      <c r="B177">
        <v>2022</v>
      </c>
      <c r="C177" t="s">
        <v>7</v>
      </c>
      <c r="D177" s="35">
        <v>42180386.669999987</v>
      </c>
      <c r="E177" s="35">
        <v>16491</v>
      </c>
      <c r="F177" s="35">
        <v>42002842.200000003</v>
      </c>
    </row>
    <row r="178" spans="1:6" x14ac:dyDescent="0.3">
      <c r="A178" t="s">
        <v>32</v>
      </c>
      <c r="B178">
        <v>2022</v>
      </c>
      <c r="C178" t="s">
        <v>11</v>
      </c>
      <c r="D178" s="35">
        <v>45327738.95000001</v>
      </c>
      <c r="E178" s="35">
        <v>66433</v>
      </c>
      <c r="F178" s="35">
        <v>42695163.18</v>
      </c>
    </row>
    <row r="179" spans="1:6" x14ac:dyDescent="0.3">
      <c r="A179" t="s">
        <v>32</v>
      </c>
      <c r="B179">
        <v>2022</v>
      </c>
      <c r="C179" t="s">
        <v>3</v>
      </c>
      <c r="D179" s="35">
        <v>145350004.50999999</v>
      </c>
      <c r="E179" s="35">
        <v>466329</v>
      </c>
      <c r="F179" s="35">
        <v>138432020.13999999</v>
      </c>
    </row>
    <row r="180" spans="1:6" x14ac:dyDescent="0.3">
      <c r="A180" t="s">
        <v>32</v>
      </c>
      <c r="B180">
        <v>2022</v>
      </c>
      <c r="C180" t="s">
        <v>12</v>
      </c>
      <c r="D180" s="35">
        <v>48019266.000000007</v>
      </c>
      <c r="E180" s="35">
        <v>1195456</v>
      </c>
      <c r="F180" s="35">
        <v>27135418.030000001</v>
      </c>
    </row>
    <row r="181" spans="1:6" x14ac:dyDescent="0.3">
      <c r="A181" t="s">
        <v>32</v>
      </c>
      <c r="B181">
        <v>2022</v>
      </c>
      <c r="C181" t="s">
        <v>2</v>
      </c>
      <c r="D181" s="35">
        <v>288877156.62000012</v>
      </c>
      <c r="E181" s="35">
        <v>1817107</v>
      </c>
      <c r="F181" s="35">
        <v>251391113.16</v>
      </c>
    </row>
    <row r="182" spans="1:6" x14ac:dyDescent="0.3">
      <c r="A182" t="s">
        <v>32</v>
      </c>
      <c r="B182">
        <v>2022</v>
      </c>
      <c r="C182" t="s">
        <v>5</v>
      </c>
      <c r="D182" s="35">
        <v>51828800.450000003</v>
      </c>
      <c r="E182" s="35">
        <v>31019</v>
      </c>
      <c r="F182" s="35">
        <v>50410938.440000013</v>
      </c>
    </row>
    <row r="183" spans="1:6" x14ac:dyDescent="0.3">
      <c r="A183" t="s">
        <v>32</v>
      </c>
      <c r="B183">
        <v>2022</v>
      </c>
      <c r="C183" t="s">
        <v>17</v>
      </c>
      <c r="D183" s="35">
        <v>2186593.21</v>
      </c>
      <c r="E183" s="35">
        <v>106354</v>
      </c>
      <c r="F183" s="35">
        <v>438445.83</v>
      </c>
    </row>
    <row r="184" spans="1:6" x14ac:dyDescent="0.3">
      <c r="A184" t="s">
        <v>32</v>
      </c>
      <c r="B184">
        <v>2022</v>
      </c>
      <c r="C184" t="s">
        <v>9</v>
      </c>
      <c r="D184" s="35">
        <v>34432927.380000003</v>
      </c>
      <c r="E184" s="35">
        <v>619526</v>
      </c>
      <c r="F184" s="35">
        <v>25448444.75</v>
      </c>
    </row>
    <row r="185" spans="1:6" x14ac:dyDescent="0.3">
      <c r="A185" t="s">
        <v>32</v>
      </c>
      <c r="B185">
        <v>2022</v>
      </c>
      <c r="C185" t="s">
        <v>8</v>
      </c>
      <c r="D185" s="35">
        <v>61280703.119999997</v>
      </c>
      <c r="E185" s="35">
        <v>2930</v>
      </c>
      <c r="F185" s="35">
        <v>61280703.119999997</v>
      </c>
    </row>
    <row r="186" spans="1:6" x14ac:dyDescent="0.3">
      <c r="A186" t="s">
        <v>32</v>
      </c>
      <c r="B186">
        <v>2022</v>
      </c>
      <c r="C186" t="s">
        <v>6</v>
      </c>
      <c r="D186" s="35">
        <v>86659937.840000018</v>
      </c>
      <c r="E186" s="35">
        <v>1329676</v>
      </c>
      <c r="F186" s="35">
        <v>61120089.749999993</v>
      </c>
    </row>
    <row r="187" spans="1:6" x14ac:dyDescent="0.3">
      <c r="A187" t="s">
        <v>32</v>
      </c>
      <c r="B187">
        <v>2022</v>
      </c>
      <c r="C187" t="s">
        <v>15</v>
      </c>
      <c r="D187" s="35">
        <v>15079092.710000001</v>
      </c>
      <c r="E187" s="35">
        <v>266415</v>
      </c>
      <c r="F187" s="35">
        <v>8578861.2799999993</v>
      </c>
    </row>
    <row r="188" spans="1:6" x14ac:dyDescent="0.3">
      <c r="A188" t="s">
        <v>32</v>
      </c>
      <c r="B188">
        <v>2022</v>
      </c>
      <c r="C188" t="s">
        <v>18</v>
      </c>
      <c r="D188" s="35">
        <v>2278121.5</v>
      </c>
      <c r="E188" s="35">
        <v>37441</v>
      </c>
      <c r="F188" s="35">
        <v>1737687.76</v>
      </c>
    </row>
    <row r="189" spans="1:6" x14ac:dyDescent="0.3">
      <c r="A189" t="s">
        <v>32</v>
      </c>
      <c r="B189">
        <v>2023</v>
      </c>
      <c r="C189" t="s">
        <v>10</v>
      </c>
      <c r="D189" s="35">
        <v>38928952.989999987</v>
      </c>
      <c r="E189" s="35">
        <v>777108</v>
      </c>
      <c r="F189" s="35">
        <v>27934975.539999999</v>
      </c>
    </row>
    <row r="190" spans="1:6" x14ac:dyDescent="0.3">
      <c r="A190" t="s">
        <v>32</v>
      </c>
      <c r="B190">
        <v>2023</v>
      </c>
      <c r="C190" t="s">
        <v>4</v>
      </c>
      <c r="D190" s="35">
        <v>138057645.19</v>
      </c>
      <c r="E190" s="35">
        <v>280005</v>
      </c>
      <c r="F190" s="35">
        <v>136823964.84999999</v>
      </c>
    </row>
    <row r="191" spans="1:6" x14ac:dyDescent="0.3">
      <c r="A191" t="s">
        <v>32</v>
      </c>
      <c r="B191">
        <v>2023</v>
      </c>
      <c r="C191" t="s">
        <v>13</v>
      </c>
      <c r="D191" s="35">
        <v>37009510.609999999</v>
      </c>
      <c r="E191" s="35">
        <v>269688</v>
      </c>
      <c r="F191" s="35">
        <v>30812400.870000001</v>
      </c>
    </row>
    <row r="192" spans="1:6" x14ac:dyDescent="0.3">
      <c r="A192" t="s">
        <v>32</v>
      </c>
      <c r="B192">
        <v>2023</v>
      </c>
      <c r="C192" t="s">
        <v>16</v>
      </c>
      <c r="D192" s="35">
        <v>8404895.4000000004</v>
      </c>
      <c r="E192" s="35">
        <v>27346</v>
      </c>
      <c r="F192" s="35">
        <v>8121350.3499999996</v>
      </c>
    </row>
    <row r="193" spans="1:6" x14ac:dyDescent="0.3">
      <c r="A193" t="s">
        <v>32</v>
      </c>
      <c r="B193">
        <v>2023</v>
      </c>
      <c r="C193" t="s">
        <v>14</v>
      </c>
      <c r="D193" s="35">
        <v>30887824.729999989</v>
      </c>
      <c r="E193" s="35">
        <v>510067</v>
      </c>
      <c r="F193" s="35">
        <v>19631867.57</v>
      </c>
    </row>
    <row r="194" spans="1:6" x14ac:dyDescent="0.3">
      <c r="A194" t="s">
        <v>32</v>
      </c>
      <c r="B194">
        <v>2023</v>
      </c>
      <c r="C194" t="s">
        <v>7</v>
      </c>
      <c r="D194" s="35">
        <v>44941364.159999996</v>
      </c>
      <c r="E194" s="35">
        <v>16094</v>
      </c>
      <c r="F194" s="35">
        <v>44665811.829999998</v>
      </c>
    </row>
    <row r="195" spans="1:6" x14ac:dyDescent="0.3">
      <c r="A195" t="s">
        <v>32</v>
      </c>
      <c r="B195">
        <v>2023</v>
      </c>
      <c r="C195" t="s">
        <v>11</v>
      </c>
      <c r="D195" s="35">
        <v>42809709.820000008</v>
      </c>
      <c r="E195" s="35">
        <v>57550</v>
      </c>
      <c r="F195" s="35">
        <v>41248058.70000001</v>
      </c>
    </row>
    <row r="196" spans="1:6" x14ac:dyDescent="0.3">
      <c r="A196" t="s">
        <v>32</v>
      </c>
      <c r="B196">
        <v>2023</v>
      </c>
      <c r="C196" t="s">
        <v>3</v>
      </c>
      <c r="D196" s="35">
        <v>187781597.49000001</v>
      </c>
      <c r="E196" s="35">
        <v>495192</v>
      </c>
      <c r="F196" s="35">
        <v>180097567.09</v>
      </c>
    </row>
    <row r="197" spans="1:6" x14ac:dyDescent="0.3">
      <c r="A197" t="s">
        <v>32</v>
      </c>
      <c r="B197">
        <v>2023</v>
      </c>
      <c r="C197" t="s">
        <v>12</v>
      </c>
      <c r="D197" s="35">
        <v>47550860.159999996</v>
      </c>
      <c r="E197" s="35">
        <v>1276646</v>
      </c>
      <c r="F197" s="35">
        <v>25615740.640000001</v>
      </c>
    </row>
    <row r="198" spans="1:6" x14ac:dyDescent="0.3">
      <c r="A198" t="s">
        <v>32</v>
      </c>
      <c r="B198">
        <v>2023</v>
      </c>
      <c r="C198" t="s">
        <v>2</v>
      </c>
      <c r="D198" s="35">
        <v>283580172.85000002</v>
      </c>
      <c r="E198" s="35">
        <v>1881940</v>
      </c>
      <c r="F198" s="35">
        <v>238582013.38</v>
      </c>
    </row>
    <row r="199" spans="1:6" x14ac:dyDescent="0.3">
      <c r="A199" t="s">
        <v>32</v>
      </c>
      <c r="B199">
        <v>2023</v>
      </c>
      <c r="C199" t="s">
        <v>5</v>
      </c>
      <c r="D199" s="35">
        <v>56280167.979999997</v>
      </c>
      <c r="E199" s="35">
        <v>29567</v>
      </c>
      <c r="F199" s="35">
        <v>55086491.660000011</v>
      </c>
    </row>
    <row r="200" spans="1:6" x14ac:dyDescent="0.3">
      <c r="A200" t="s">
        <v>32</v>
      </c>
      <c r="B200">
        <v>2023</v>
      </c>
      <c r="C200" t="s">
        <v>17</v>
      </c>
      <c r="D200" s="35">
        <v>2324484.649999999</v>
      </c>
      <c r="E200" s="35">
        <v>108731</v>
      </c>
      <c r="F200" s="35">
        <v>495510.69</v>
      </c>
    </row>
    <row r="201" spans="1:6" x14ac:dyDescent="0.3">
      <c r="A201" t="s">
        <v>32</v>
      </c>
      <c r="B201">
        <v>2023</v>
      </c>
      <c r="C201" t="s">
        <v>9</v>
      </c>
      <c r="D201" s="35">
        <v>36529823.789999999</v>
      </c>
      <c r="E201" s="35">
        <v>618033</v>
      </c>
      <c r="F201" s="35">
        <v>26078613.90000001</v>
      </c>
    </row>
    <row r="202" spans="1:6" x14ac:dyDescent="0.3">
      <c r="A202" t="s">
        <v>32</v>
      </c>
      <c r="B202">
        <v>2023</v>
      </c>
      <c r="C202" t="s">
        <v>8</v>
      </c>
      <c r="D202" s="35">
        <v>73195191.290000007</v>
      </c>
      <c r="E202" s="35">
        <v>3312</v>
      </c>
      <c r="F202" s="35">
        <v>73113955.080000013</v>
      </c>
    </row>
    <row r="203" spans="1:6" x14ac:dyDescent="0.3">
      <c r="A203" t="s">
        <v>32</v>
      </c>
      <c r="B203">
        <v>2023</v>
      </c>
      <c r="C203" t="s">
        <v>6</v>
      </c>
      <c r="D203" s="35">
        <v>84754599.850000009</v>
      </c>
      <c r="E203" s="35">
        <v>1343668</v>
      </c>
      <c r="F203" s="35">
        <v>58419898.359999999</v>
      </c>
    </row>
    <row r="204" spans="1:6" x14ac:dyDescent="0.3">
      <c r="A204" t="s">
        <v>32</v>
      </c>
      <c r="B204">
        <v>2023</v>
      </c>
      <c r="C204" t="s">
        <v>15</v>
      </c>
      <c r="D204" s="35">
        <v>13259169.060000001</v>
      </c>
      <c r="E204" s="35">
        <v>232541</v>
      </c>
      <c r="F204" s="35">
        <v>7085573.04</v>
      </c>
    </row>
    <row r="205" spans="1:6" x14ac:dyDescent="0.3">
      <c r="A205" t="s">
        <v>32</v>
      </c>
      <c r="B205">
        <v>2023</v>
      </c>
      <c r="C205" t="s">
        <v>18</v>
      </c>
      <c r="D205" s="35">
        <v>2662153.64</v>
      </c>
      <c r="E205" s="35">
        <v>23054</v>
      </c>
      <c r="F205" s="35">
        <v>2135712.27</v>
      </c>
    </row>
    <row r="206" spans="1:6" x14ac:dyDescent="0.3">
      <c r="A206" t="s">
        <v>32</v>
      </c>
      <c r="B206">
        <v>2024</v>
      </c>
      <c r="C206" t="s">
        <v>10</v>
      </c>
      <c r="D206" s="35">
        <v>36981799.609999999</v>
      </c>
      <c r="E206" s="35">
        <v>691851</v>
      </c>
      <c r="F206" s="35">
        <v>27243188.879999999</v>
      </c>
    </row>
    <row r="207" spans="1:6" x14ac:dyDescent="0.3">
      <c r="A207" t="s">
        <v>32</v>
      </c>
      <c r="B207">
        <v>2024</v>
      </c>
      <c r="C207" t="s">
        <v>4</v>
      </c>
      <c r="D207" s="35">
        <v>113786792.23999999</v>
      </c>
      <c r="E207" s="35">
        <v>260468</v>
      </c>
      <c r="F207" s="35">
        <v>112810572.26000001</v>
      </c>
    </row>
    <row r="208" spans="1:6" x14ac:dyDescent="0.3">
      <c r="A208" t="s">
        <v>32</v>
      </c>
      <c r="B208">
        <v>2024</v>
      </c>
      <c r="C208" t="s">
        <v>13</v>
      </c>
      <c r="D208" s="35">
        <v>33534109.66</v>
      </c>
      <c r="E208" s="35">
        <v>230979</v>
      </c>
      <c r="F208" s="35">
        <v>28353086.109999999</v>
      </c>
    </row>
    <row r="209" spans="1:6" x14ac:dyDescent="0.3">
      <c r="A209" t="s">
        <v>32</v>
      </c>
      <c r="B209">
        <v>2024</v>
      </c>
      <c r="C209" t="s">
        <v>16</v>
      </c>
      <c r="D209" s="35">
        <v>5423872.5300000003</v>
      </c>
      <c r="E209" s="35">
        <v>20456</v>
      </c>
      <c r="F209" s="35">
        <v>5205622.2799999993</v>
      </c>
    </row>
    <row r="210" spans="1:6" x14ac:dyDescent="0.3">
      <c r="A210" t="s">
        <v>32</v>
      </c>
      <c r="B210">
        <v>2024</v>
      </c>
      <c r="C210" t="s">
        <v>14</v>
      </c>
      <c r="D210" s="35">
        <v>31245221.940000001</v>
      </c>
      <c r="E210" s="35">
        <v>451854</v>
      </c>
      <c r="F210" s="35">
        <v>21588649.170000002</v>
      </c>
    </row>
    <row r="211" spans="1:6" x14ac:dyDescent="0.3">
      <c r="A211" t="s">
        <v>32</v>
      </c>
      <c r="B211">
        <v>2024</v>
      </c>
      <c r="C211" t="s">
        <v>7</v>
      </c>
      <c r="D211" s="35">
        <v>40948168.769999988</v>
      </c>
      <c r="E211" s="35">
        <v>13666</v>
      </c>
      <c r="F211" s="35">
        <v>40819566.059999987</v>
      </c>
    </row>
    <row r="212" spans="1:6" x14ac:dyDescent="0.3">
      <c r="A212" t="s">
        <v>32</v>
      </c>
      <c r="B212">
        <v>2024</v>
      </c>
      <c r="C212" t="s">
        <v>11</v>
      </c>
      <c r="D212" s="35">
        <v>43668814.219999991</v>
      </c>
      <c r="E212" s="35">
        <v>69232</v>
      </c>
      <c r="F212" s="35">
        <v>42306425.020000003</v>
      </c>
    </row>
    <row r="213" spans="1:6" x14ac:dyDescent="0.3">
      <c r="A213" t="s">
        <v>32</v>
      </c>
      <c r="B213">
        <v>2024</v>
      </c>
      <c r="C213" t="s">
        <v>3</v>
      </c>
      <c r="D213" s="35">
        <v>191324052.72</v>
      </c>
      <c r="E213" s="35">
        <v>436951</v>
      </c>
      <c r="F213" s="35">
        <v>184528562.13</v>
      </c>
    </row>
    <row r="214" spans="1:6" x14ac:dyDescent="0.3">
      <c r="A214" t="s">
        <v>32</v>
      </c>
      <c r="B214">
        <v>2024</v>
      </c>
      <c r="C214" t="s">
        <v>12</v>
      </c>
      <c r="D214" s="35">
        <v>37725916.700000003</v>
      </c>
      <c r="E214" s="35">
        <v>1109527</v>
      </c>
      <c r="F214" s="35">
        <v>18992374.82</v>
      </c>
    </row>
    <row r="215" spans="1:6" x14ac:dyDescent="0.3">
      <c r="A215" t="s">
        <v>32</v>
      </c>
      <c r="B215">
        <v>2024</v>
      </c>
      <c r="C215" t="s">
        <v>2</v>
      </c>
      <c r="D215" s="35">
        <v>271708776.31</v>
      </c>
      <c r="E215" s="35">
        <v>1696604</v>
      </c>
      <c r="F215" s="35">
        <v>228825332.81999999</v>
      </c>
    </row>
    <row r="216" spans="1:6" x14ac:dyDescent="0.3">
      <c r="A216" t="s">
        <v>32</v>
      </c>
      <c r="B216">
        <v>2024</v>
      </c>
      <c r="C216" t="s">
        <v>5</v>
      </c>
      <c r="D216" s="35">
        <v>55420331.529999986</v>
      </c>
      <c r="E216" s="35">
        <v>25634</v>
      </c>
      <c r="F216" s="35">
        <v>54064281.990000002</v>
      </c>
    </row>
    <row r="217" spans="1:6" x14ac:dyDescent="0.3">
      <c r="A217" t="s">
        <v>32</v>
      </c>
      <c r="B217">
        <v>2024</v>
      </c>
      <c r="C217" t="s">
        <v>17</v>
      </c>
      <c r="D217" s="35">
        <v>2257690.38</v>
      </c>
      <c r="E217" s="35">
        <v>99296</v>
      </c>
      <c r="F217" s="35">
        <v>466226.75</v>
      </c>
    </row>
    <row r="218" spans="1:6" x14ac:dyDescent="0.3">
      <c r="A218" t="s">
        <v>32</v>
      </c>
      <c r="B218">
        <v>2024</v>
      </c>
      <c r="C218" t="s">
        <v>9</v>
      </c>
      <c r="D218" s="35">
        <v>31883308.539999999</v>
      </c>
      <c r="E218" s="35">
        <v>511561</v>
      </c>
      <c r="F218" s="35">
        <v>21865042.050000001</v>
      </c>
    </row>
    <row r="219" spans="1:6" x14ac:dyDescent="0.3">
      <c r="A219" t="s">
        <v>32</v>
      </c>
      <c r="B219">
        <v>2024</v>
      </c>
      <c r="C219" t="s">
        <v>8</v>
      </c>
      <c r="D219" s="35">
        <v>70328186</v>
      </c>
      <c r="E219" s="35">
        <v>2936</v>
      </c>
      <c r="F219" s="35">
        <v>70126493.079999998</v>
      </c>
    </row>
    <row r="220" spans="1:6" x14ac:dyDescent="0.3">
      <c r="A220" t="s">
        <v>32</v>
      </c>
      <c r="B220">
        <v>2024</v>
      </c>
      <c r="C220" t="s">
        <v>6</v>
      </c>
      <c r="D220" s="35">
        <v>75423541.060000017</v>
      </c>
      <c r="E220" s="35">
        <v>1183393</v>
      </c>
      <c r="F220" s="35">
        <v>48706090.770000003</v>
      </c>
    </row>
    <row r="221" spans="1:6" x14ac:dyDescent="0.3">
      <c r="A221" t="s">
        <v>32</v>
      </c>
      <c r="B221">
        <v>2024</v>
      </c>
      <c r="C221" t="s">
        <v>15</v>
      </c>
      <c r="D221" s="35">
        <v>11115723.369999999</v>
      </c>
      <c r="E221" s="35">
        <v>166435</v>
      </c>
      <c r="F221" s="35">
        <v>6743185.79</v>
      </c>
    </row>
    <row r="222" spans="1:6" x14ac:dyDescent="0.3">
      <c r="A222" t="s">
        <v>32</v>
      </c>
      <c r="B222">
        <v>2024</v>
      </c>
      <c r="C222" t="s">
        <v>18</v>
      </c>
      <c r="D222" s="35">
        <v>2291861.5899999989</v>
      </c>
      <c r="E222" s="35">
        <v>21866</v>
      </c>
      <c r="F222" s="35">
        <v>1634071.1</v>
      </c>
    </row>
    <row r="223" spans="1:6" x14ac:dyDescent="0.3">
      <c r="A223" t="s">
        <v>32</v>
      </c>
      <c r="B223">
        <v>2025</v>
      </c>
      <c r="C223" t="s">
        <v>10</v>
      </c>
      <c r="D223" s="35">
        <v>33496963.159999989</v>
      </c>
      <c r="E223" s="35">
        <v>632081</v>
      </c>
      <c r="F223" s="35">
        <v>24229627.110000011</v>
      </c>
    </row>
    <row r="224" spans="1:6" x14ac:dyDescent="0.3">
      <c r="A224" t="s">
        <v>32</v>
      </c>
      <c r="B224">
        <v>2025</v>
      </c>
      <c r="C224" t="s">
        <v>4</v>
      </c>
      <c r="D224" s="35">
        <v>112860189.78</v>
      </c>
      <c r="E224" s="35">
        <v>245123</v>
      </c>
      <c r="F224" s="35">
        <v>111861475.25</v>
      </c>
    </row>
    <row r="225" spans="1:6" x14ac:dyDescent="0.3">
      <c r="A225" t="s">
        <v>32</v>
      </c>
      <c r="B225">
        <v>2025</v>
      </c>
      <c r="C225" t="s">
        <v>13</v>
      </c>
      <c r="D225" s="35">
        <v>38046406.929999992</v>
      </c>
      <c r="E225" s="35">
        <v>209821</v>
      </c>
      <c r="F225" s="35">
        <v>33811668.540000007</v>
      </c>
    </row>
    <row r="226" spans="1:6" x14ac:dyDescent="0.3">
      <c r="A226" t="s">
        <v>32</v>
      </c>
      <c r="B226">
        <v>2025</v>
      </c>
      <c r="C226" t="s">
        <v>16</v>
      </c>
      <c r="D226" s="35">
        <v>5554479.7499999981</v>
      </c>
      <c r="E226" s="35">
        <v>18082</v>
      </c>
      <c r="F226" s="35">
        <v>5350297.54</v>
      </c>
    </row>
    <row r="227" spans="1:6" x14ac:dyDescent="0.3">
      <c r="A227" t="s">
        <v>32</v>
      </c>
      <c r="B227">
        <v>2025</v>
      </c>
      <c r="C227" t="s">
        <v>14</v>
      </c>
      <c r="D227" s="35">
        <v>28536033.760000009</v>
      </c>
      <c r="E227" s="35">
        <v>415788</v>
      </c>
      <c r="F227" s="35">
        <v>19878079.149999999</v>
      </c>
    </row>
    <row r="228" spans="1:6" x14ac:dyDescent="0.3">
      <c r="A228" t="s">
        <v>32</v>
      </c>
      <c r="B228">
        <v>2025</v>
      </c>
      <c r="C228" t="s">
        <v>7</v>
      </c>
      <c r="D228" s="35">
        <v>38343354.660000011</v>
      </c>
      <c r="E228" s="35">
        <v>11679</v>
      </c>
      <c r="F228" s="35">
        <v>38312489.220000014</v>
      </c>
    </row>
    <row r="229" spans="1:6" x14ac:dyDescent="0.3">
      <c r="A229" t="s">
        <v>32</v>
      </c>
      <c r="B229">
        <v>2025</v>
      </c>
      <c r="C229" t="s">
        <v>11</v>
      </c>
      <c r="D229" s="35">
        <v>43305827.290000007</v>
      </c>
      <c r="E229" s="35">
        <v>65802</v>
      </c>
      <c r="F229" s="35">
        <v>41012337.169999987</v>
      </c>
    </row>
    <row r="230" spans="1:6" x14ac:dyDescent="0.3">
      <c r="A230" t="s">
        <v>32</v>
      </c>
      <c r="B230">
        <v>2025</v>
      </c>
      <c r="C230" t="s">
        <v>3</v>
      </c>
      <c r="D230" s="35">
        <v>202427624.94999999</v>
      </c>
      <c r="E230" s="35">
        <v>411035</v>
      </c>
      <c r="F230" s="35">
        <v>196040131.84</v>
      </c>
    </row>
    <row r="231" spans="1:6" x14ac:dyDescent="0.3">
      <c r="A231" t="s">
        <v>32</v>
      </c>
      <c r="B231">
        <v>2025</v>
      </c>
      <c r="C231" t="s">
        <v>12</v>
      </c>
      <c r="D231" s="35">
        <v>30359874.399999999</v>
      </c>
      <c r="E231" s="35">
        <v>969692</v>
      </c>
      <c r="F231" s="35">
        <v>14269595.550000001</v>
      </c>
    </row>
    <row r="232" spans="1:6" x14ac:dyDescent="0.3">
      <c r="A232" t="s">
        <v>32</v>
      </c>
      <c r="B232">
        <v>2025</v>
      </c>
      <c r="C232" t="s">
        <v>2</v>
      </c>
      <c r="D232" s="35">
        <v>260138428.31999999</v>
      </c>
      <c r="E232" s="35">
        <v>1621930</v>
      </c>
      <c r="F232" s="35">
        <v>216657950.90000001</v>
      </c>
    </row>
    <row r="233" spans="1:6" x14ac:dyDescent="0.3">
      <c r="A233" t="s">
        <v>32</v>
      </c>
      <c r="B233">
        <v>2025</v>
      </c>
      <c r="C233" t="s">
        <v>5</v>
      </c>
      <c r="D233" s="35">
        <v>54407080.430000007</v>
      </c>
      <c r="E233" s="35">
        <v>23355</v>
      </c>
      <c r="F233" s="35">
        <v>53644795.390000008</v>
      </c>
    </row>
    <row r="234" spans="1:6" x14ac:dyDescent="0.3">
      <c r="A234" t="s">
        <v>32</v>
      </c>
      <c r="B234">
        <v>2025</v>
      </c>
      <c r="C234" t="s">
        <v>17</v>
      </c>
      <c r="D234" s="35">
        <v>2073898.05</v>
      </c>
      <c r="E234" s="35">
        <v>91756</v>
      </c>
      <c r="F234" s="35">
        <v>481988.99999999988</v>
      </c>
    </row>
    <row r="235" spans="1:6" x14ac:dyDescent="0.3">
      <c r="A235" t="s">
        <v>32</v>
      </c>
      <c r="B235">
        <v>2025</v>
      </c>
      <c r="C235" t="s">
        <v>9</v>
      </c>
      <c r="D235" s="35">
        <v>24659857.010000002</v>
      </c>
      <c r="E235" s="35">
        <v>453939</v>
      </c>
      <c r="F235" s="35">
        <v>13761482.689999999</v>
      </c>
    </row>
    <row r="236" spans="1:6" x14ac:dyDescent="0.3">
      <c r="A236" t="s">
        <v>32</v>
      </c>
      <c r="B236">
        <v>2025</v>
      </c>
      <c r="C236" t="s">
        <v>8</v>
      </c>
      <c r="D236" s="35">
        <v>78707126.710000023</v>
      </c>
      <c r="E236" s="35">
        <v>2933</v>
      </c>
      <c r="F236" s="35">
        <v>77286270.070000023</v>
      </c>
    </row>
    <row r="237" spans="1:6" x14ac:dyDescent="0.3">
      <c r="A237" t="s">
        <v>32</v>
      </c>
      <c r="B237">
        <v>2025</v>
      </c>
      <c r="C237" t="s">
        <v>6</v>
      </c>
      <c r="D237" s="35">
        <v>70832040.150000021</v>
      </c>
      <c r="E237" s="35">
        <v>1067854</v>
      </c>
      <c r="F237" s="35">
        <v>48949507.760000013</v>
      </c>
    </row>
    <row r="238" spans="1:6" x14ac:dyDescent="0.3">
      <c r="A238" t="s">
        <v>32</v>
      </c>
      <c r="B238">
        <v>2025</v>
      </c>
      <c r="C238" t="s">
        <v>15</v>
      </c>
      <c r="D238" s="35">
        <v>11710505.52</v>
      </c>
      <c r="E238" s="35">
        <v>130263</v>
      </c>
      <c r="F238" s="35">
        <v>6883870.8500000006</v>
      </c>
    </row>
    <row r="239" spans="1:6" x14ac:dyDescent="0.3">
      <c r="A239" t="s">
        <v>32</v>
      </c>
      <c r="B239">
        <v>2025</v>
      </c>
      <c r="C239" t="s">
        <v>18</v>
      </c>
      <c r="D239" s="35">
        <v>2502375.080000001</v>
      </c>
      <c r="E239" s="35">
        <v>20263</v>
      </c>
      <c r="F239" s="35">
        <v>1595443.79</v>
      </c>
    </row>
    <row r="240" spans="1:6" x14ac:dyDescent="0.3">
      <c r="A240" t="s">
        <v>33</v>
      </c>
      <c r="B240">
        <v>2019</v>
      </c>
      <c r="C240" t="s">
        <v>10</v>
      </c>
      <c r="D240" s="35">
        <v>15783798.67</v>
      </c>
      <c r="E240" s="35">
        <v>597293</v>
      </c>
      <c r="F240" s="35">
        <v>9262334.7999999989</v>
      </c>
    </row>
    <row r="241" spans="1:6" x14ac:dyDescent="0.3">
      <c r="A241" t="s">
        <v>33</v>
      </c>
      <c r="B241">
        <v>2019</v>
      </c>
      <c r="C241" t="s">
        <v>4</v>
      </c>
      <c r="D241" s="35">
        <v>37607470.409999989</v>
      </c>
      <c r="E241" s="35">
        <v>137648</v>
      </c>
      <c r="F241" s="35">
        <v>36996886.039999999</v>
      </c>
    </row>
    <row r="242" spans="1:6" x14ac:dyDescent="0.3">
      <c r="A242" t="s">
        <v>33</v>
      </c>
      <c r="B242">
        <v>2019</v>
      </c>
      <c r="C242" t="s">
        <v>13</v>
      </c>
      <c r="D242" s="35">
        <v>20783550.31000001</v>
      </c>
      <c r="E242" s="35">
        <v>205047</v>
      </c>
      <c r="F242" s="35">
        <v>16928377.640000001</v>
      </c>
    </row>
    <row r="243" spans="1:6" x14ac:dyDescent="0.3">
      <c r="A243" t="s">
        <v>33</v>
      </c>
      <c r="B243">
        <v>2019</v>
      </c>
      <c r="C243" t="s">
        <v>16</v>
      </c>
      <c r="D243" s="35">
        <v>1302747.6599999999</v>
      </c>
      <c r="E243" s="35">
        <v>8764</v>
      </c>
      <c r="F243" s="35">
        <v>1127533.48</v>
      </c>
    </row>
    <row r="244" spans="1:6" x14ac:dyDescent="0.3">
      <c r="A244" t="s">
        <v>33</v>
      </c>
      <c r="B244">
        <v>2019</v>
      </c>
      <c r="C244" t="s">
        <v>14</v>
      </c>
      <c r="D244" s="35">
        <v>8746111.9000000004</v>
      </c>
      <c r="E244" s="35">
        <v>261001</v>
      </c>
      <c r="F244" s="35">
        <v>4166682.6400000011</v>
      </c>
    </row>
    <row r="245" spans="1:6" x14ac:dyDescent="0.3">
      <c r="A245" t="s">
        <v>33</v>
      </c>
      <c r="B245">
        <v>2019</v>
      </c>
      <c r="C245" t="s">
        <v>7</v>
      </c>
      <c r="D245" s="35">
        <v>13398408.99</v>
      </c>
      <c r="E245" s="35">
        <v>5578</v>
      </c>
      <c r="F245" s="35">
        <v>13368925.060000001</v>
      </c>
    </row>
    <row r="246" spans="1:6" x14ac:dyDescent="0.3">
      <c r="A246" t="s">
        <v>33</v>
      </c>
      <c r="B246">
        <v>2019</v>
      </c>
      <c r="C246" t="s">
        <v>11</v>
      </c>
      <c r="D246" s="35">
        <v>7955388.7199999988</v>
      </c>
      <c r="E246" s="35">
        <v>31922</v>
      </c>
      <c r="F246" s="35">
        <v>7591604.9799999986</v>
      </c>
    </row>
    <row r="247" spans="1:6" x14ac:dyDescent="0.3">
      <c r="A247" t="s">
        <v>33</v>
      </c>
      <c r="B247">
        <v>2019</v>
      </c>
      <c r="C247" t="s">
        <v>3</v>
      </c>
      <c r="D247" s="35">
        <v>27877782.629999999</v>
      </c>
      <c r="E247" s="35">
        <v>205501</v>
      </c>
      <c r="F247" s="35">
        <v>24264762.09999999</v>
      </c>
    </row>
    <row r="248" spans="1:6" x14ac:dyDescent="0.3">
      <c r="A248" t="s">
        <v>33</v>
      </c>
      <c r="B248">
        <v>2019</v>
      </c>
      <c r="C248" t="s">
        <v>12</v>
      </c>
      <c r="D248" s="35">
        <v>30647017.039999999</v>
      </c>
      <c r="E248" s="35">
        <v>701287</v>
      </c>
      <c r="F248" s="35">
        <v>14615123.460000001</v>
      </c>
    </row>
    <row r="249" spans="1:6" x14ac:dyDescent="0.3">
      <c r="A249" t="s">
        <v>33</v>
      </c>
      <c r="B249">
        <v>2019</v>
      </c>
      <c r="C249" t="s">
        <v>2</v>
      </c>
      <c r="D249" s="35">
        <v>138496958.63999999</v>
      </c>
      <c r="E249" s="35">
        <v>1389787</v>
      </c>
      <c r="F249" s="35">
        <v>113589408.70999999</v>
      </c>
    </row>
    <row r="250" spans="1:6" x14ac:dyDescent="0.3">
      <c r="A250" t="s">
        <v>33</v>
      </c>
      <c r="B250">
        <v>2019</v>
      </c>
      <c r="C250" t="s">
        <v>5</v>
      </c>
      <c r="D250" s="35">
        <v>20665757.140000001</v>
      </c>
      <c r="E250" s="35">
        <v>14017</v>
      </c>
      <c r="F250" s="35">
        <v>18413357.030000001</v>
      </c>
    </row>
    <row r="251" spans="1:6" x14ac:dyDescent="0.3">
      <c r="A251" t="s">
        <v>33</v>
      </c>
      <c r="B251">
        <v>2019</v>
      </c>
      <c r="C251" t="s">
        <v>17</v>
      </c>
      <c r="D251" s="35">
        <v>959876.25</v>
      </c>
      <c r="E251" s="35">
        <v>51870</v>
      </c>
      <c r="F251" s="35">
        <v>116250.47</v>
      </c>
    </row>
    <row r="252" spans="1:6" x14ac:dyDescent="0.3">
      <c r="A252" t="s">
        <v>33</v>
      </c>
      <c r="B252">
        <v>2019</v>
      </c>
      <c r="C252" t="s">
        <v>9</v>
      </c>
      <c r="D252" s="35">
        <v>11487882.890000001</v>
      </c>
      <c r="E252" s="35">
        <v>418476</v>
      </c>
      <c r="F252" s="35">
        <v>5473012.3599999975</v>
      </c>
    </row>
    <row r="253" spans="1:6" x14ac:dyDescent="0.3">
      <c r="A253" t="s">
        <v>33</v>
      </c>
      <c r="B253">
        <v>2019</v>
      </c>
      <c r="C253" t="s">
        <v>8</v>
      </c>
      <c r="D253" s="35">
        <v>15377619.300000001</v>
      </c>
      <c r="E253" s="35">
        <v>1816</v>
      </c>
      <c r="F253" s="35">
        <v>15377619.300000001</v>
      </c>
    </row>
    <row r="254" spans="1:6" x14ac:dyDescent="0.3">
      <c r="A254" t="s">
        <v>33</v>
      </c>
      <c r="B254">
        <v>2019</v>
      </c>
      <c r="C254" t="s">
        <v>6</v>
      </c>
      <c r="D254" s="35">
        <v>49500750.020000003</v>
      </c>
      <c r="E254" s="35">
        <v>770983</v>
      </c>
      <c r="F254" s="35">
        <v>41838533.329999998</v>
      </c>
    </row>
    <row r="255" spans="1:6" x14ac:dyDescent="0.3">
      <c r="A255" t="s">
        <v>33</v>
      </c>
      <c r="B255">
        <v>2019</v>
      </c>
      <c r="C255" t="s">
        <v>15</v>
      </c>
      <c r="D255" s="35">
        <v>12901983.77</v>
      </c>
      <c r="E255" s="35">
        <v>294320</v>
      </c>
      <c r="F255" s="35">
        <v>7783097.4900000002</v>
      </c>
    </row>
    <row r="256" spans="1:6" x14ac:dyDescent="0.3">
      <c r="A256" t="s">
        <v>33</v>
      </c>
      <c r="B256">
        <v>2019</v>
      </c>
      <c r="C256" t="s">
        <v>18</v>
      </c>
      <c r="D256" s="35">
        <v>1607805.27</v>
      </c>
      <c r="E256" s="35">
        <v>27629</v>
      </c>
      <c r="F256" s="35">
        <v>811475.17999999993</v>
      </c>
    </row>
    <row r="257" spans="1:6" x14ac:dyDescent="0.3">
      <c r="A257" t="s">
        <v>33</v>
      </c>
      <c r="B257">
        <v>2020</v>
      </c>
      <c r="C257" t="s">
        <v>10</v>
      </c>
      <c r="D257" s="35">
        <v>19565823.010000002</v>
      </c>
      <c r="E257" s="35">
        <v>632516</v>
      </c>
      <c r="F257" s="35">
        <v>12631441.34</v>
      </c>
    </row>
    <row r="258" spans="1:6" x14ac:dyDescent="0.3">
      <c r="A258" t="s">
        <v>33</v>
      </c>
      <c r="B258">
        <v>2020</v>
      </c>
      <c r="C258" t="s">
        <v>4</v>
      </c>
      <c r="D258" s="35">
        <v>41357506.149999999</v>
      </c>
      <c r="E258" s="35">
        <v>142863</v>
      </c>
      <c r="F258" s="35">
        <v>40756448.680000007</v>
      </c>
    </row>
    <row r="259" spans="1:6" x14ac:dyDescent="0.3">
      <c r="A259" t="s">
        <v>33</v>
      </c>
      <c r="B259">
        <v>2020</v>
      </c>
      <c r="C259" t="s">
        <v>13</v>
      </c>
      <c r="D259" s="35">
        <v>20543990.34</v>
      </c>
      <c r="E259" s="35">
        <v>212283</v>
      </c>
      <c r="F259" s="35">
        <v>16284951.15</v>
      </c>
    </row>
    <row r="260" spans="1:6" x14ac:dyDescent="0.3">
      <c r="A260" t="s">
        <v>33</v>
      </c>
      <c r="B260">
        <v>2020</v>
      </c>
      <c r="C260" t="s">
        <v>16</v>
      </c>
      <c r="D260" s="35">
        <v>1631167.47</v>
      </c>
      <c r="E260" s="35">
        <v>9333</v>
      </c>
      <c r="F260" s="35">
        <v>1451184.44</v>
      </c>
    </row>
    <row r="261" spans="1:6" x14ac:dyDescent="0.3">
      <c r="A261" t="s">
        <v>33</v>
      </c>
      <c r="B261">
        <v>2020</v>
      </c>
      <c r="C261" t="s">
        <v>14</v>
      </c>
      <c r="D261" s="35">
        <v>9713790.0099999979</v>
      </c>
      <c r="E261" s="35">
        <v>262224</v>
      </c>
      <c r="F261" s="35">
        <v>4229101.38</v>
      </c>
    </row>
    <row r="262" spans="1:6" x14ac:dyDescent="0.3">
      <c r="A262" t="s">
        <v>33</v>
      </c>
      <c r="B262">
        <v>2020</v>
      </c>
      <c r="C262" t="s">
        <v>7</v>
      </c>
      <c r="D262" s="35">
        <v>14809493.460000001</v>
      </c>
      <c r="E262" s="35">
        <v>5441</v>
      </c>
      <c r="F262" s="35">
        <v>14805353.99</v>
      </c>
    </row>
    <row r="263" spans="1:6" x14ac:dyDescent="0.3">
      <c r="A263" t="s">
        <v>33</v>
      </c>
      <c r="B263">
        <v>2020</v>
      </c>
      <c r="C263" t="s">
        <v>11</v>
      </c>
      <c r="D263" s="35">
        <v>8665889.8000000007</v>
      </c>
      <c r="E263" s="35">
        <v>32831</v>
      </c>
      <c r="F263" s="35">
        <v>8274969.0799999982</v>
      </c>
    </row>
    <row r="264" spans="1:6" x14ac:dyDescent="0.3">
      <c r="A264" t="s">
        <v>33</v>
      </c>
      <c r="B264">
        <v>2020</v>
      </c>
      <c r="C264" t="s">
        <v>3</v>
      </c>
      <c r="D264" s="35">
        <v>28486535.699999999</v>
      </c>
      <c r="E264" s="35">
        <v>167899</v>
      </c>
      <c r="F264" s="35">
        <v>25313091.23</v>
      </c>
    </row>
    <row r="265" spans="1:6" x14ac:dyDescent="0.3">
      <c r="A265" t="s">
        <v>33</v>
      </c>
      <c r="B265">
        <v>2020</v>
      </c>
      <c r="C265" t="s">
        <v>12</v>
      </c>
      <c r="D265" s="35">
        <v>24470757.420000002</v>
      </c>
      <c r="E265" s="35">
        <v>544153</v>
      </c>
      <c r="F265" s="35">
        <v>11932863.9</v>
      </c>
    </row>
    <row r="266" spans="1:6" x14ac:dyDescent="0.3">
      <c r="A266" t="s">
        <v>33</v>
      </c>
      <c r="B266">
        <v>2020</v>
      </c>
      <c r="C266" t="s">
        <v>2</v>
      </c>
      <c r="D266" s="35">
        <v>129547558.72</v>
      </c>
      <c r="E266" s="35">
        <v>1390454</v>
      </c>
      <c r="F266" s="35">
        <v>104302272.41</v>
      </c>
    </row>
    <row r="267" spans="1:6" x14ac:dyDescent="0.3">
      <c r="A267" t="s">
        <v>33</v>
      </c>
      <c r="B267">
        <v>2020</v>
      </c>
      <c r="C267" t="s">
        <v>5</v>
      </c>
      <c r="D267" s="35">
        <v>25493369.329999998</v>
      </c>
      <c r="E267" s="35">
        <v>15216</v>
      </c>
      <c r="F267" s="35">
        <v>23239760.16</v>
      </c>
    </row>
    <row r="268" spans="1:6" x14ac:dyDescent="0.3">
      <c r="A268" t="s">
        <v>33</v>
      </c>
      <c r="B268">
        <v>2020</v>
      </c>
      <c r="C268" t="s">
        <v>17</v>
      </c>
      <c r="D268" s="35">
        <v>1020845.5</v>
      </c>
      <c r="E268" s="35">
        <v>53154</v>
      </c>
      <c r="F268" s="35">
        <v>145221.34</v>
      </c>
    </row>
    <row r="269" spans="1:6" x14ac:dyDescent="0.3">
      <c r="A269" t="s">
        <v>33</v>
      </c>
      <c r="B269">
        <v>2020</v>
      </c>
      <c r="C269" t="s">
        <v>9</v>
      </c>
      <c r="D269" s="35">
        <v>12520443.550000001</v>
      </c>
      <c r="E269" s="35">
        <v>382475</v>
      </c>
      <c r="F269" s="35">
        <v>7093870.959999999</v>
      </c>
    </row>
    <row r="270" spans="1:6" x14ac:dyDescent="0.3">
      <c r="A270" t="s">
        <v>33</v>
      </c>
      <c r="B270">
        <v>2020</v>
      </c>
      <c r="C270" t="s">
        <v>8</v>
      </c>
      <c r="D270" s="35">
        <v>18400446.649999991</v>
      </c>
      <c r="E270" s="35">
        <v>1919</v>
      </c>
      <c r="F270" s="35">
        <v>18400446.649999991</v>
      </c>
    </row>
    <row r="271" spans="1:6" x14ac:dyDescent="0.3">
      <c r="A271" t="s">
        <v>33</v>
      </c>
      <c r="B271">
        <v>2020</v>
      </c>
      <c r="C271" t="s">
        <v>6</v>
      </c>
      <c r="D271" s="35">
        <v>46967867.93</v>
      </c>
      <c r="E271" s="35">
        <v>713869</v>
      </c>
      <c r="F271" s="35">
        <v>38612926</v>
      </c>
    </row>
    <row r="272" spans="1:6" x14ac:dyDescent="0.3">
      <c r="A272" t="s">
        <v>33</v>
      </c>
      <c r="B272">
        <v>2020</v>
      </c>
      <c r="C272" t="s">
        <v>15</v>
      </c>
      <c r="D272" s="35">
        <v>8686729.0999999978</v>
      </c>
      <c r="E272" s="35">
        <v>208795</v>
      </c>
      <c r="F272" s="35">
        <v>4465114.4000000004</v>
      </c>
    </row>
    <row r="273" spans="1:6" x14ac:dyDescent="0.3">
      <c r="A273" t="s">
        <v>33</v>
      </c>
      <c r="B273">
        <v>2020</v>
      </c>
      <c r="C273" t="s">
        <v>18</v>
      </c>
      <c r="D273" s="35">
        <v>1120714.05</v>
      </c>
      <c r="E273" s="35">
        <v>31537</v>
      </c>
      <c r="F273" s="35">
        <v>684832.53000000014</v>
      </c>
    </row>
    <row r="274" spans="1:6" x14ac:dyDescent="0.3">
      <c r="A274" t="s">
        <v>33</v>
      </c>
      <c r="B274">
        <v>2021</v>
      </c>
      <c r="C274" t="s">
        <v>10</v>
      </c>
      <c r="D274" s="35">
        <v>23757164.82</v>
      </c>
      <c r="E274" s="35">
        <v>657411</v>
      </c>
      <c r="F274" s="35">
        <v>16816552.27</v>
      </c>
    </row>
    <row r="275" spans="1:6" x14ac:dyDescent="0.3">
      <c r="A275" t="s">
        <v>33</v>
      </c>
      <c r="B275">
        <v>2021</v>
      </c>
      <c r="C275" t="s">
        <v>4</v>
      </c>
      <c r="D275" s="35">
        <v>44281699.889999993</v>
      </c>
      <c r="E275" s="35">
        <v>145477</v>
      </c>
      <c r="F275" s="35">
        <v>43442859.979999997</v>
      </c>
    </row>
    <row r="276" spans="1:6" x14ac:dyDescent="0.3">
      <c r="A276" t="s">
        <v>33</v>
      </c>
      <c r="B276">
        <v>2021</v>
      </c>
      <c r="C276" t="s">
        <v>13</v>
      </c>
      <c r="D276" s="35">
        <v>20645267.059999999</v>
      </c>
      <c r="E276" s="35">
        <v>219773</v>
      </c>
      <c r="F276" s="35">
        <v>16315503.91</v>
      </c>
    </row>
    <row r="277" spans="1:6" x14ac:dyDescent="0.3">
      <c r="A277" t="s">
        <v>33</v>
      </c>
      <c r="B277">
        <v>2021</v>
      </c>
      <c r="C277" t="s">
        <v>16</v>
      </c>
      <c r="D277" s="35">
        <v>1632779.98</v>
      </c>
      <c r="E277" s="35">
        <v>9672</v>
      </c>
      <c r="F277" s="35">
        <v>1463802.12</v>
      </c>
    </row>
    <row r="278" spans="1:6" x14ac:dyDescent="0.3">
      <c r="A278" t="s">
        <v>33</v>
      </c>
      <c r="B278">
        <v>2021</v>
      </c>
      <c r="C278" t="s">
        <v>14</v>
      </c>
      <c r="D278" s="35">
        <v>9865145.1199999992</v>
      </c>
      <c r="E278" s="35">
        <v>281147</v>
      </c>
      <c r="F278" s="35">
        <v>4225089.2799999993</v>
      </c>
    </row>
    <row r="279" spans="1:6" x14ac:dyDescent="0.3">
      <c r="A279" t="s">
        <v>33</v>
      </c>
      <c r="B279">
        <v>2021</v>
      </c>
      <c r="C279" t="s">
        <v>7</v>
      </c>
      <c r="D279" s="35">
        <v>14978958.6</v>
      </c>
      <c r="E279" s="35">
        <v>5271</v>
      </c>
      <c r="F279" s="35">
        <v>14975309.859999999</v>
      </c>
    </row>
    <row r="280" spans="1:6" x14ac:dyDescent="0.3">
      <c r="A280" t="s">
        <v>33</v>
      </c>
      <c r="B280">
        <v>2021</v>
      </c>
      <c r="C280" t="s">
        <v>11</v>
      </c>
      <c r="D280" s="35">
        <v>10860816.23</v>
      </c>
      <c r="E280" s="35">
        <v>25298</v>
      </c>
      <c r="F280" s="35">
        <v>10490565.26</v>
      </c>
    </row>
    <row r="281" spans="1:6" x14ac:dyDescent="0.3">
      <c r="A281" t="s">
        <v>33</v>
      </c>
      <c r="B281">
        <v>2021</v>
      </c>
      <c r="C281" t="s">
        <v>3</v>
      </c>
      <c r="D281" s="35">
        <v>36226219.910000011</v>
      </c>
      <c r="E281" s="35">
        <v>193632</v>
      </c>
      <c r="F281" s="35">
        <v>32914668.870000001</v>
      </c>
    </row>
    <row r="282" spans="1:6" x14ac:dyDescent="0.3">
      <c r="A282" t="s">
        <v>33</v>
      </c>
      <c r="B282">
        <v>2021</v>
      </c>
      <c r="C282" t="s">
        <v>12</v>
      </c>
      <c r="D282" s="35">
        <v>22082222.250000011</v>
      </c>
      <c r="E282" s="35">
        <v>543720</v>
      </c>
      <c r="F282" s="35">
        <v>12037766.779999999</v>
      </c>
    </row>
    <row r="283" spans="1:6" x14ac:dyDescent="0.3">
      <c r="A283" t="s">
        <v>33</v>
      </c>
      <c r="B283">
        <v>2021</v>
      </c>
      <c r="C283" t="s">
        <v>2</v>
      </c>
      <c r="D283" s="35">
        <v>133936067.61</v>
      </c>
      <c r="E283" s="35">
        <v>1355468</v>
      </c>
      <c r="F283" s="35">
        <v>111688316.78</v>
      </c>
    </row>
    <row r="284" spans="1:6" x14ac:dyDescent="0.3">
      <c r="A284" t="s">
        <v>33</v>
      </c>
      <c r="B284">
        <v>2021</v>
      </c>
      <c r="C284" t="s">
        <v>5</v>
      </c>
      <c r="D284" s="35">
        <v>20375674.030000001</v>
      </c>
      <c r="E284" s="35">
        <v>12501</v>
      </c>
      <c r="F284" s="35">
        <v>18231104.989999998</v>
      </c>
    </row>
    <row r="285" spans="1:6" x14ac:dyDescent="0.3">
      <c r="A285" t="s">
        <v>33</v>
      </c>
      <c r="B285">
        <v>2021</v>
      </c>
      <c r="C285" t="s">
        <v>17</v>
      </c>
      <c r="D285" s="35">
        <v>874395.09000000008</v>
      </c>
      <c r="E285" s="35">
        <v>47489</v>
      </c>
      <c r="F285" s="35">
        <v>99820.69</v>
      </c>
    </row>
    <row r="286" spans="1:6" x14ac:dyDescent="0.3">
      <c r="A286" t="s">
        <v>33</v>
      </c>
      <c r="B286">
        <v>2021</v>
      </c>
      <c r="C286" t="s">
        <v>9</v>
      </c>
      <c r="D286" s="35">
        <v>12308995.25</v>
      </c>
      <c r="E286" s="35">
        <v>355464</v>
      </c>
      <c r="F286" s="35">
        <v>7355603.8700000001</v>
      </c>
    </row>
    <row r="287" spans="1:6" x14ac:dyDescent="0.3">
      <c r="A287" t="s">
        <v>33</v>
      </c>
      <c r="B287">
        <v>2021</v>
      </c>
      <c r="C287" t="s">
        <v>8</v>
      </c>
      <c r="D287" s="35">
        <v>20028869.940000001</v>
      </c>
      <c r="E287" s="35">
        <v>1677</v>
      </c>
      <c r="F287" s="35">
        <v>19758385.940000001</v>
      </c>
    </row>
    <row r="288" spans="1:6" x14ac:dyDescent="0.3">
      <c r="A288" t="s">
        <v>33</v>
      </c>
      <c r="B288">
        <v>2021</v>
      </c>
      <c r="C288" t="s">
        <v>6</v>
      </c>
      <c r="D288" s="35">
        <v>49194869.860000007</v>
      </c>
      <c r="E288" s="35">
        <v>758586</v>
      </c>
      <c r="F288" s="35">
        <v>40312801.210000008</v>
      </c>
    </row>
    <row r="289" spans="1:6" x14ac:dyDescent="0.3">
      <c r="A289" t="s">
        <v>33</v>
      </c>
      <c r="B289">
        <v>2021</v>
      </c>
      <c r="C289" t="s">
        <v>15</v>
      </c>
      <c r="D289" s="35">
        <v>7207867.4800000004</v>
      </c>
      <c r="E289" s="35">
        <v>183861</v>
      </c>
      <c r="F289" s="35">
        <v>3753691.03</v>
      </c>
    </row>
    <row r="290" spans="1:6" x14ac:dyDescent="0.3">
      <c r="A290" t="s">
        <v>33</v>
      </c>
      <c r="B290">
        <v>2021</v>
      </c>
      <c r="C290" t="s">
        <v>18</v>
      </c>
      <c r="D290" s="35">
        <v>723308.3</v>
      </c>
      <c r="E290" s="35">
        <v>25288</v>
      </c>
      <c r="F290" s="35">
        <v>489997.57</v>
      </c>
    </row>
    <row r="291" spans="1:6" x14ac:dyDescent="0.3">
      <c r="A291" t="s">
        <v>33</v>
      </c>
      <c r="B291">
        <v>2022</v>
      </c>
      <c r="C291" t="s">
        <v>10</v>
      </c>
      <c r="D291" s="35">
        <v>30855366.489999998</v>
      </c>
      <c r="E291" s="35">
        <v>895786</v>
      </c>
      <c r="F291" s="35">
        <v>21136072.43</v>
      </c>
    </row>
    <row r="292" spans="1:6" x14ac:dyDescent="0.3">
      <c r="A292" t="s">
        <v>33</v>
      </c>
      <c r="B292">
        <v>2022</v>
      </c>
      <c r="C292" t="s">
        <v>4</v>
      </c>
      <c r="D292" s="35">
        <v>54268200.849999979</v>
      </c>
      <c r="E292" s="35">
        <v>191238</v>
      </c>
      <c r="F292" s="35">
        <v>52995614.079999991</v>
      </c>
    </row>
    <row r="293" spans="1:6" x14ac:dyDescent="0.3">
      <c r="A293" t="s">
        <v>33</v>
      </c>
      <c r="B293">
        <v>2022</v>
      </c>
      <c r="C293" t="s">
        <v>13</v>
      </c>
      <c r="D293" s="35">
        <v>21452377.669999991</v>
      </c>
      <c r="E293" s="35">
        <v>255144</v>
      </c>
      <c r="F293" s="35">
        <v>16952820.359999999</v>
      </c>
    </row>
    <row r="294" spans="1:6" x14ac:dyDescent="0.3">
      <c r="A294" t="s">
        <v>33</v>
      </c>
      <c r="B294">
        <v>2022</v>
      </c>
      <c r="C294" t="s">
        <v>16</v>
      </c>
      <c r="D294" s="35">
        <v>2181080.6400000011</v>
      </c>
      <c r="E294" s="35">
        <v>11620</v>
      </c>
      <c r="F294" s="35">
        <v>1996737.51</v>
      </c>
    </row>
    <row r="295" spans="1:6" x14ac:dyDescent="0.3">
      <c r="A295" t="s">
        <v>33</v>
      </c>
      <c r="B295">
        <v>2022</v>
      </c>
      <c r="C295" t="s">
        <v>14</v>
      </c>
      <c r="D295" s="35">
        <v>11004844.210000001</v>
      </c>
      <c r="E295" s="35">
        <v>348825</v>
      </c>
      <c r="F295" s="35">
        <v>4774356.87</v>
      </c>
    </row>
    <row r="296" spans="1:6" x14ac:dyDescent="0.3">
      <c r="A296" t="s">
        <v>33</v>
      </c>
      <c r="B296">
        <v>2022</v>
      </c>
      <c r="C296" t="s">
        <v>7</v>
      </c>
      <c r="D296" s="35">
        <v>16220280.380000001</v>
      </c>
      <c r="E296" s="35">
        <v>5336</v>
      </c>
      <c r="F296" s="35">
        <v>16217396.560000001</v>
      </c>
    </row>
    <row r="297" spans="1:6" x14ac:dyDescent="0.3">
      <c r="A297" t="s">
        <v>33</v>
      </c>
      <c r="B297">
        <v>2022</v>
      </c>
      <c r="C297" t="s">
        <v>11</v>
      </c>
      <c r="D297" s="35">
        <v>18471450.870000001</v>
      </c>
      <c r="E297" s="35">
        <v>33838</v>
      </c>
      <c r="F297" s="35">
        <v>18104675.920000002</v>
      </c>
    </row>
    <row r="298" spans="1:6" x14ac:dyDescent="0.3">
      <c r="A298" t="s">
        <v>33</v>
      </c>
      <c r="B298">
        <v>2022</v>
      </c>
      <c r="C298" t="s">
        <v>3</v>
      </c>
      <c r="D298" s="35">
        <v>47825870.640000008</v>
      </c>
      <c r="E298" s="35">
        <v>231015</v>
      </c>
      <c r="F298" s="35">
        <v>43960913.719999999</v>
      </c>
    </row>
    <row r="299" spans="1:6" x14ac:dyDescent="0.3">
      <c r="A299" t="s">
        <v>33</v>
      </c>
      <c r="B299">
        <v>2022</v>
      </c>
      <c r="C299" t="s">
        <v>12</v>
      </c>
      <c r="D299" s="35">
        <v>25398484.399999991</v>
      </c>
      <c r="E299" s="35">
        <v>701477</v>
      </c>
      <c r="F299" s="35">
        <v>12096841.059999989</v>
      </c>
    </row>
    <row r="300" spans="1:6" x14ac:dyDescent="0.3">
      <c r="A300" t="s">
        <v>33</v>
      </c>
      <c r="B300">
        <v>2022</v>
      </c>
      <c r="C300" t="s">
        <v>2</v>
      </c>
      <c r="D300" s="35">
        <v>158826878.38</v>
      </c>
      <c r="E300" s="35">
        <v>1505159</v>
      </c>
      <c r="F300" s="35">
        <v>137745932.62</v>
      </c>
    </row>
    <row r="301" spans="1:6" x14ac:dyDescent="0.3">
      <c r="A301" t="s">
        <v>33</v>
      </c>
      <c r="B301">
        <v>2022</v>
      </c>
      <c r="C301" t="s">
        <v>5</v>
      </c>
      <c r="D301" s="35">
        <v>27952056.899999999</v>
      </c>
      <c r="E301" s="35">
        <v>14332</v>
      </c>
      <c r="F301" s="35">
        <v>25406611.27</v>
      </c>
    </row>
    <row r="302" spans="1:6" x14ac:dyDescent="0.3">
      <c r="A302" t="s">
        <v>33</v>
      </c>
      <c r="B302">
        <v>2022</v>
      </c>
      <c r="C302" t="s">
        <v>17</v>
      </c>
      <c r="D302" s="35">
        <v>1024782.64</v>
      </c>
      <c r="E302" s="35">
        <v>58492</v>
      </c>
      <c r="F302" s="35">
        <v>162350.60999999999</v>
      </c>
    </row>
    <row r="303" spans="1:6" x14ac:dyDescent="0.3">
      <c r="A303" t="s">
        <v>33</v>
      </c>
      <c r="B303">
        <v>2022</v>
      </c>
      <c r="C303" t="s">
        <v>9</v>
      </c>
      <c r="D303" s="35">
        <v>15017236.859999999</v>
      </c>
      <c r="E303" s="35">
        <v>425566</v>
      </c>
      <c r="F303" s="35">
        <v>8267763.9000000004</v>
      </c>
    </row>
    <row r="304" spans="1:6" x14ac:dyDescent="0.3">
      <c r="A304" t="s">
        <v>33</v>
      </c>
      <c r="B304">
        <v>2022</v>
      </c>
      <c r="C304" t="s">
        <v>8</v>
      </c>
      <c r="D304" s="35">
        <v>23256005.149999999</v>
      </c>
      <c r="E304" s="35">
        <v>1694</v>
      </c>
      <c r="F304" s="35">
        <v>22969507.649999999</v>
      </c>
    </row>
    <row r="305" spans="1:6" x14ac:dyDescent="0.3">
      <c r="A305" t="s">
        <v>33</v>
      </c>
      <c r="B305">
        <v>2022</v>
      </c>
      <c r="C305" t="s">
        <v>6</v>
      </c>
      <c r="D305" s="35">
        <v>58637798.500000007</v>
      </c>
      <c r="E305" s="35">
        <v>851604</v>
      </c>
      <c r="F305" s="35">
        <v>48934921.049999997</v>
      </c>
    </row>
    <row r="306" spans="1:6" x14ac:dyDescent="0.3">
      <c r="A306" t="s">
        <v>33</v>
      </c>
      <c r="B306">
        <v>2022</v>
      </c>
      <c r="C306" t="s">
        <v>15</v>
      </c>
      <c r="D306" s="35">
        <v>7281575.3599999994</v>
      </c>
      <c r="E306" s="35">
        <v>202272</v>
      </c>
      <c r="F306" s="35">
        <v>3868801.3400000008</v>
      </c>
    </row>
    <row r="307" spans="1:6" x14ac:dyDescent="0.3">
      <c r="A307" t="s">
        <v>33</v>
      </c>
      <c r="B307">
        <v>2022</v>
      </c>
      <c r="C307" t="s">
        <v>18</v>
      </c>
      <c r="D307" s="35">
        <v>912019.21999999986</v>
      </c>
      <c r="E307" s="35">
        <v>29352</v>
      </c>
      <c r="F307" s="35">
        <v>636184.52</v>
      </c>
    </row>
    <row r="308" spans="1:6" x14ac:dyDescent="0.3">
      <c r="A308" t="s">
        <v>33</v>
      </c>
      <c r="B308">
        <v>2023</v>
      </c>
      <c r="C308" t="s">
        <v>10</v>
      </c>
      <c r="D308" s="35">
        <v>33646436.840000004</v>
      </c>
      <c r="E308" s="35">
        <v>931908</v>
      </c>
      <c r="F308" s="35">
        <v>23489689.129999999</v>
      </c>
    </row>
    <row r="309" spans="1:6" x14ac:dyDescent="0.3">
      <c r="A309" t="s">
        <v>33</v>
      </c>
      <c r="B309">
        <v>2023</v>
      </c>
      <c r="C309" t="s">
        <v>4</v>
      </c>
      <c r="D309" s="35">
        <v>64832913.210000001</v>
      </c>
      <c r="E309" s="35">
        <v>213482</v>
      </c>
      <c r="F309" s="35">
        <v>63639460.659999989</v>
      </c>
    </row>
    <row r="310" spans="1:6" x14ac:dyDescent="0.3">
      <c r="A310" t="s">
        <v>33</v>
      </c>
      <c r="B310">
        <v>2023</v>
      </c>
      <c r="C310" t="s">
        <v>13</v>
      </c>
      <c r="D310" s="35">
        <v>19776386.809999991</v>
      </c>
      <c r="E310" s="35">
        <v>262515</v>
      </c>
      <c r="F310" s="35">
        <v>15448398.85</v>
      </c>
    </row>
    <row r="311" spans="1:6" x14ac:dyDescent="0.3">
      <c r="A311" t="s">
        <v>33</v>
      </c>
      <c r="B311">
        <v>2023</v>
      </c>
      <c r="C311" t="s">
        <v>16</v>
      </c>
      <c r="D311" s="35">
        <v>2421646.1800000002</v>
      </c>
      <c r="E311" s="35">
        <v>12189</v>
      </c>
      <c r="F311" s="35">
        <v>2271342.52</v>
      </c>
    </row>
    <row r="312" spans="1:6" x14ac:dyDescent="0.3">
      <c r="A312" t="s">
        <v>33</v>
      </c>
      <c r="B312">
        <v>2023</v>
      </c>
      <c r="C312" t="s">
        <v>14</v>
      </c>
      <c r="D312" s="35">
        <v>11339820.279999999</v>
      </c>
      <c r="E312" s="35">
        <v>342820</v>
      </c>
      <c r="F312" s="35">
        <v>5180379.540000001</v>
      </c>
    </row>
    <row r="313" spans="1:6" x14ac:dyDescent="0.3">
      <c r="A313" t="s">
        <v>33</v>
      </c>
      <c r="B313">
        <v>2023</v>
      </c>
      <c r="C313" t="s">
        <v>7</v>
      </c>
      <c r="D313" s="35">
        <v>18023577.859999999</v>
      </c>
      <c r="E313" s="35">
        <v>5606</v>
      </c>
      <c r="F313" s="35">
        <v>18018550.960000001</v>
      </c>
    </row>
    <row r="314" spans="1:6" x14ac:dyDescent="0.3">
      <c r="A314" t="s">
        <v>33</v>
      </c>
      <c r="B314">
        <v>2023</v>
      </c>
      <c r="C314" t="s">
        <v>11</v>
      </c>
      <c r="D314" s="35">
        <v>19984915.280000001</v>
      </c>
      <c r="E314" s="35">
        <v>25473</v>
      </c>
      <c r="F314" s="35">
        <v>19345618.82</v>
      </c>
    </row>
    <row r="315" spans="1:6" x14ac:dyDescent="0.3">
      <c r="A315" t="s">
        <v>33</v>
      </c>
      <c r="B315">
        <v>2023</v>
      </c>
      <c r="C315" t="s">
        <v>3</v>
      </c>
      <c r="D315" s="35">
        <v>62606522.869999997</v>
      </c>
      <c r="E315" s="35">
        <v>227365</v>
      </c>
      <c r="F315" s="35">
        <v>58758801.209999993</v>
      </c>
    </row>
    <row r="316" spans="1:6" x14ac:dyDescent="0.3">
      <c r="A316" t="s">
        <v>33</v>
      </c>
      <c r="B316">
        <v>2023</v>
      </c>
      <c r="C316" t="s">
        <v>12</v>
      </c>
      <c r="D316" s="35">
        <v>18581569.54000001</v>
      </c>
      <c r="E316" s="35">
        <v>661834</v>
      </c>
      <c r="F316" s="35">
        <v>6525619.4300000016</v>
      </c>
    </row>
    <row r="317" spans="1:6" x14ac:dyDescent="0.3">
      <c r="A317" t="s">
        <v>33</v>
      </c>
      <c r="B317">
        <v>2023</v>
      </c>
      <c r="C317" t="s">
        <v>2</v>
      </c>
      <c r="D317" s="35">
        <v>149497302.56</v>
      </c>
      <c r="E317" s="35">
        <v>1551720</v>
      </c>
      <c r="F317" s="35">
        <v>127675312.01000001</v>
      </c>
    </row>
    <row r="318" spans="1:6" x14ac:dyDescent="0.3">
      <c r="A318" t="s">
        <v>33</v>
      </c>
      <c r="B318">
        <v>2023</v>
      </c>
      <c r="C318" t="s">
        <v>5</v>
      </c>
      <c r="D318" s="35">
        <v>31020896.460000001</v>
      </c>
      <c r="E318" s="35">
        <v>15401</v>
      </c>
      <c r="F318" s="35">
        <v>28010975.02</v>
      </c>
    </row>
    <row r="319" spans="1:6" x14ac:dyDescent="0.3">
      <c r="A319" t="s">
        <v>33</v>
      </c>
      <c r="B319">
        <v>2023</v>
      </c>
      <c r="C319" t="s">
        <v>17</v>
      </c>
      <c r="D319" s="35">
        <v>973801.82999999984</v>
      </c>
      <c r="E319" s="35">
        <v>62400</v>
      </c>
      <c r="F319" s="35">
        <v>104803.61</v>
      </c>
    </row>
    <row r="320" spans="1:6" x14ac:dyDescent="0.3">
      <c r="A320" t="s">
        <v>33</v>
      </c>
      <c r="B320">
        <v>2023</v>
      </c>
      <c r="C320" t="s">
        <v>9</v>
      </c>
      <c r="D320" s="35">
        <v>16980711.850000001</v>
      </c>
      <c r="E320" s="35">
        <v>432828</v>
      </c>
      <c r="F320" s="35">
        <v>9421649.790000001</v>
      </c>
    </row>
    <row r="321" spans="1:6" x14ac:dyDescent="0.3">
      <c r="A321" t="s">
        <v>33</v>
      </c>
      <c r="B321">
        <v>2023</v>
      </c>
      <c r="C321" t="s">
        <v>8</v>
      </c>
      <c r="D321" s="35">
        <v>30046035.829999998</v>
      </c>
      <c r="E321" s="35">
        <v>1894</v>
      </c>
      <c r="F321" s="35">
        <v>29962597.829999998</v>
      </c>
    </row>
    <row r="322" spans="1:6" x14ac:dyDescent="0.3">
      <c r="A322" t="s">
        <v>33</v>
      </c>
      <c r="B322">
        <v>2023</v>
      </c>
      <c r="C322" t="s">
        <v>6</v>
      </c>
      <c r="D322" s="35">
        <v>57069336.699999988</v>
      </c>
      <c r="E322" s="35">
        <v>861696</v>
      </c>
      <c r="F322" s="35">
        <v>44294088.510000013</v>
      </c>
    </row>
    <row r="323" spans="1:6" x14ac:dyDescent="0.3">
      <c r="A323" t="s">
        <v>33</v>
      </c>
      <c r="B323">
        <v>2023</v>
      </c>
      <c r="C323" t="s">
        <v>15</v>
      </c>
      <c r="D323" s="35">
        <v>5976762.8200000012</v>
      </c>
      <c r="E323" s="35">
        <v>158260</v>
      </c>
      <c r="F323" s="35">
        <v>3538923.3899999992</v>
      </c>
    </row>
    <row r="324" spans="1:6" x14ac:dyDescent="0.3">
      <c r="A324" t="s">
        <v>33</v>
      </c>
      <c r="B324">
        <v>2023</v>
      </c>
      <c r="C324" t="s">
        <v>18</v>
      </c>
      <c r="D324" s="35">
        <v>775274.9800000001</v>
      </c>
      <c r="E324" s="35">
        <v>17367</v>
      </c>
      <c r="F324" s="35">
        <v>544347.85000000009</v>
      </c>
    </row>
    <row r="325" spans="1:6" x14ac:dyDescent="0.3">
      <c r="A325" t="s">
        <v>33</v>
      </c>
      <c r="B325">
        <v>2024</v>
      </c>
      <c r="C325" t="s">
        <v>10</v>
      </c>
      <c r="D325" s="35">
        <v>32352988.699999999</v>
      </c>
      <c r="E325" s="35">
        <v>883052</v>
      </c>
      <c r="F325" s="35">
        <v>22854137.489999998</v>
      </c>
    </row>
    <row r="326" spans="1:6" x14ac:dyDescent="0.3">
      <c r="A326" t="s">
        <v>33</v>
      </c>
      <c r="B326">
        <v>2024</v>
      </c>
      <c r="C326" t="s">
        <v>4</v>
      </c>
      <c r="D326" s="35">
        <v>43882184.959999993</v>
      </c>
      <c r="E326" s="35">
        <v>208649</v>
      </c>
      <c r="F326" s="35">
        <v>42964727.369999997</v>
      </c>
    </row>
    <row r="327" spans="1:6" x14ac:dyDescent="0.3">
      <c r="A327" t="s">
        <v>33</v>
      </c>
      <c r="B327">
        <v>2024</v>
      </c>
      <c r="C327" t="s">
        <v>13</v>
      </c>
      <c r="D327" s="35">
        <v>17022618.199999999</v>
      </c>
      <c r="E327" s="35">
        <v>229539</v>
      </c>
      <c r="F327" s="35">
        <v>13620478.27</v>
      </c>
    </row>
    <row r="328" spans="1:6" x14ac:dyDescent="0.3">
      <c r="A328" t="s">
        <v>33</v>
      </c>
      <c r="B328">
        <v>2024</v>
      </c>
      <c r="C328" t="s">
        <v>16</v>
      </c>
      <c r="D328" s="35">
        <v>2333321.2999999998</v>
      </c>
      <c r="E328" s="35">
        <v>11556</v>
      </c>
      <c r="F328" s="35">
        <v>2198211.17</v>
      </c>
    </row>
    <row r="329" spans="1:6" x14ac:dyDescent="0.3">
      <c r="A329" t="s">
        <v>33</v>
      </c>
      <c r="B329">
        <v>2024</v>
      </c>
      <c r="C329" t="s">
        <v>14</v>
      </c>
      <c r="D329" s="35">
        <v>10424227.140000001</v>
      </c>
      <c r="E329" s="35">
        <v>332028</v>
      </c>
      <c r="F329" s="35">
        <v>4853124.3800000008</v>
      </c>
    </row>
    <row r="330" spans="1:6" x14ac:dyDescent="0.3">
      <c r="A330" t="s">
        <v>33</v>
      </c>
      <c r="B330">
        <v>2024</v>
      </c>
      <c r="C330" t="s">
        <v>7</v>
      </c>
      <c r="D330" s="35">
        <v>16070649.52</v>
      </c>
      <c r="E330" s="35">
        <v>4794</v>
      </c>
      <c r="F330" s="35">
        <v>16065455.4</v>
      </c>
    </row>
    <row r="331" spans="1:6" x14ac:dyDescent="0.3">
      <c r="A331" t="s">
        <v>33</v>
      </c>
      <c r="B331">
        <v>2024</v>
      </c>
      <c r="C331" t="s">
        <v>11</v>
      </c>
      <c r="D331" s="35">
        <v>25182310.22000001</v>
      </c>
      <c r="E331" s="35">
        <v>23466</v>
      </c>
      <c r="F331" s="35">
        <v>24596019.75</v>
      </c>
    </row>
    <row r="332" spans="1:6" x14ac:dyDescent="0.3">
      <c r="A332" t="s">
        <v>33</v>
      </c>
      <c r="B332">
        <v>2024</v>
      </c>
      <c r="C332" t="s">
        <v>3</v>
      </c>
      <c r="D332" s="35">
        <v>69222658.530000001</v>
      </c>
      <c r="E332" s="35">
        <v>217327</v>
      </c>
      <c r="F332" s="35">
        <v>65690779.119999997</v>
      </c>
    </row>
    <row r="333" spans="1:6" x14ac:dyDescent="0.3">
      <c r="A333" t="s">
        <v>33</v>
      </c>
      <c r="B333">
        <v>2024</v>
      </c>
      <c r="C333" t="s">
        <v>12</v>
      </c>
      <c r="D333" s="35">
        <v>21083920.309999999</v>
      </c>
      <c r="E333" s="35">
        <v>605533</v>
      </c>
      <c r="F333" s="35">
        <v>9991258.9299999978</v>
      </c>
    </row>
    <row r="334" spans="1:6" x14ac:dyDescent="0.3">
      <c r="A334" t="s">
        <v>33</v>
      </c>
      <c r="B334">
        <v>2024</v>
      </c>
      <c r="C334" t="s">
        <v>2</v>
      </c>
      <c r="D334" s="35">
        <v>121963072.06</v>
      </c>
      <c r="E334" s="35">
        <v>1465587</v>
      </c>
      <c r="F334" s="35">
        <v>100841659.53</v>
      </c>
    </row>
    <row r="335" spans="1:6" x14ac:dyDescent="0.3">
      <c r="A335" t="s">
        <v>33</v>
      </c>
      <c r="B335">
        <v>2024</v>
      </c>
      <c r="C335" t="s">
        <v>5</v>
      </c>
      <c r="D335" s="35">
        <v>25575492.920000002</v>
      </c>
      <c r="E335" s="35">
        <v>14016</v>
      </c>
      <c r="F335" s="35">
        <v>22846937.239999998</v>
      </c>
    </row>
    <row r="336" spans="1:6" x14ac:dyDescent="0.3">
      <c r="A336" t="s">
        <v>33</v>
      </c>
      <c r="B336">
        <v>2024</v>
      </c>
      <c r="C336" t="s">
        <v>17</v>
      </c>
      <c r="D336" s="35">
        <v>948166.76</v>
      </c>
      <c r="E336" s="35">
        <v>60351</v>
      </c>
      <c r="F336" s="35">
        <v>171461.34</v>
      </c>
    </row>
    <row r="337" spans="1:6" x14ac:dyDescent="0.3">
      <c r="A337" t="s">
        <v>33</v>
      </c>
      <c r="B337">
        <v>2024</v>
      </c>
      <c r="C337" t="s">
        <v>9</v>
      </c>
      <c r="D337" s="35">
        <v>15821108.33</v>
      </c>
      <c r="E337" s="35">
        <v>393451</v>
      </c>
      <c r="F337" s="35">
        <v>9378470.6599999983</v>
      </c>
    </row>
    <row r="338" spans="1:6" x14ac:dyDescent="0.3">
      <c r="A338" t="s">
        <v>33</v>
      </c>
      <c r="B338">
        <v>2024</v>
      </c>
      <c r="C338" t="s">
        <v>8</v>
      </c>
      <c r="D338" s="35">
        <v>22861038.109999999</v>
      </c>
      <c r="E338" s="35">
        <v>1403</v>
      </c>
      <c r="F338" s="35">
        <v>22772785.109999999</v>
      </c>
    </row>
    <row r="339" spans="1:6" x14ac:dyDescent="0.3">
      <c r="A339" t="s">
        <v>33</v>
      </c>
      <c r="B339">
        <v>2024</v>
      </c>
      <c r="C339" t="s">
        <v>6</v>
      </c>
      <c r="D339" s="35">
        <v>47749354.530000001</v>
      </c>
      <c r="E339" s="35">
        <v>817291</v>
      </c>
      <c r="F339" s="35">
        <v>37629484.479999997</v>
      </c>
    </row>
    <row r="340" spans="1:6" x14ac:dyDescent="0.3">
      <c r="A340" t="s">
        <v>33</v>
      </c>
      <c r="B340">
        <v>2024</v>
      </c>
      <c r="C340" t="s">
        <v>15</v>
      </c>
      <c r="D340" s="35">
        <v>3243359.7</v>
      </c>
      <c r="E340" s="35">
        <v>96890</v>
      </c>
      <c r="F340" s="35">
        <v>1504246.98</v>
      </c>
    </row>
    <row r="341" spans="1:6" x14ac:dyDescent="0.3">
      <c r="A341" t="s">
        <v>33</v>
      </c>
      <c r="B341">
        <v>2024</v>
      </c>
      <c r="C341" t="s">
        <v>18</v>
      </c>
      <c r="D341" s="35">
        <v>779974.89999999991</v>
      </c>
      <c r="E341" s="35">
        <v>16481</v>
      </c>
      <c r="F341" s="35">
        <v>541943.3600000001</v>
      </c>
    </row>
    <row r="342" spans="1:6" x14ac:dyDescent="0.3">
      <c r="A342" t="s">
        <v>33</v>
      </c>
      <c r="B342">
        <v>2025</v>
      </c>
      <c r="C342" t="s">
        <v>10</v>
      </c>
      <c r="D342" s="35">
        <v>31271556.18</v>
      </c>
      <c r="E342" s="35">
        <v>903754</v>
      </c>
      <c r="F342" s="35">
        <v>21262053.800000001</v>
      </c>
    </row>
    <row r="343" spans="1:6" x14ac:dyDescent="0.3">
      <c r="A343" t="s">
        <v>33</v>
      </c>
      <c r="B343">
        <v>2025</v>
      </c>
      <c r="C343" t="s">
        <v>4</v>
      </c>
      <c r="D343" s="35">
        <v>50804118.29999999</v>
      </c>
      <c r="E343" s="35">
        <v>219516</v>
      </c>
      <c r="F343" s="35">
        <v>47344142.260000013</v>
      </c>
    </row>
    <row r="344" spans="1:6" x14ac:dyDescent="0.3">
      <c r="A344" t="s">
        <v>33</v>
      </c>
      <c r="B344">
        <v>2025</v>
      </c>
      <c r="C344" t="s">
        <v>13</v>
      </c>
      <c r="D344" s="35">
        <v>16363238.75</v>
      </c>
      <c r="E344" s="35">
        <v>234653</v>
      </c>
      <c r="F344" s="35">
        <v>12955152.609999999</v>
      </c>
    </row>
    <row r="345" spans="1:6" x14ac:dyDescent="0.3">
      <c r="A345" t="s">
        <v>33</v>
      </c>
      <c r="B345">
        <v>2025</v>
      </c>
      <c r="C345" t="s">
        <v>16</v>
      </c>
      <c r="D345" s="35">
        <v>3327291.91</v>
      </c>
      <c r="E345" s="35">
        <v>11930</v>
      </c>
      <c r="F345" s="35">
        <v>3167971.2999999989</v>
      </c>
    </row>
    <row r="346" spans="1:6" x14ac:dyDescent="0.3">
      <c r="A346" t="s">
        <v>33</v>
      </c>
      <c r="B346">
        <v>2025</v>
      </c>
      <c r="C346" t="s">
        <v>14</v>
      </c>
      <c r="D346" s="35">
        <v>10880418.5</v>
      </c>
      <c r="E346" s="35">
        <v>337181</v>
      </c>
      <c r="F346" s="35">
        <v>5807602.8900000006</v>
      </c>
    </row>
    <row r="347" spans="1:6" x14ac:dyDescent="0.3">
      <c r="A347" t="s">
        <v>33</v>
      </c>
      <c r="B347">
        <v>2025</v>
      </c>
      <c r="C347" t="s">
        <v>7</v>
      </c>
      <c r="D347" s="35">
        <v>15278398.460000001</v>
      </c>
      <c r="E347" s="35">
        <v>4437</v>
      </c>
      <c r="F347" s="35">
        <v>15270274.689999999</v>
      </c>
    </row>
    <row r="348" spans="1:6" x14ac:dyDescent="0.3">
      <c r="A348" t="s">
        <v>33</v>
      </c>
      <c r="B348">
        <v>2025</v>
      </c>
      <c r="C348" t="s">
        <v>11</v>
      </c>
      <c r="D348" s="35">
        <v>27834083.710000001</v>
      </c>
      <c r="E348" s="35">
        <v>25346</v>
      </c>
      <c r="F348" s="35">
        <v>27255857.09</v>
      </c>
    </row>
    <row r="349" spans="1:6" x14ac:dyDescent="0.3">
      <c r="A349" t="s">
        <v>33</v>
      </c>
      <c r="B349">
        <v>2025</v>
      </c>
      <c r="C349" t="s">
        <v>3</v>
      </c>
      <c r="D349" s="35">
        <v>81479235.170000002</v>
      </c>
      <c r="E349" s="35">
        <v>229396</v>
      </c>
      <c r="F349" s="35">
        <v>78082818.820000008</v>
      </c>
    </row>
    <row r="350" spans="1:6" x14ac:dyDescent="0.3">
      <c r="A350" t="s">
        <v>33</v>
      </c>
      <c r="B350">
        <v>2025</v>
      </c>
      <c r="C350" t="s">
        <v>12</v>
      </c>
      <c r="D350" s="35">
        <v>17761256.77</v>
      </c>
      <c r="E350" s="35">
        <v>573361</v>
      </c>
      <c r="F350" s="35">
        <v>8049996.5699999994</v>
      </c>
    </row>
    <row r="351" spans="1:6" x14ac:dyDescent="0.3">
      <c r="A351" t="s">
        <v>33</v>
      </c>
      <c r="B351">
        <v>2025</v>
      </c>
      <c r="C351" t="s">
        <v>2</v>
      </c>
      <c r="D351" s="35">
        <v>125190180.93000001</v>
      </c>
      <c r="E351" s="35">
        <v>1494613</v>
      </c>
      <c r="F351" s="35">
        <v>101874389.90000001</v>
      </c>
    </row>
    <row r="352" spans="1:6" x14ac:dyDescent="0.3">
      <c r="A352" t="s">
        <v>33</v>
      </c>
      <c r="B352">
        <v>2025</v>
      </c>
      <c r="C352" t="s">
        <v>5</v>
      </c>
      <c r="D352" s="35">
        <v>29811350.690000001</v>
      </c>
      <c r="E352" s="35">
        <v>19362</v>
      </c>
      <c r="F352" s="35">
        <v>27395718.47000001</v>
      </c>
    </row>
    <row r="353" spans="1:6" x14ac:dyDescent="0.3">
      <c r="A353" t="s">
        <v>33</v>
      </c>
      <c r="B353">
        <v>2025</v>
      </c>
      <c r="C353" t="s">
        <v>17</v>
      </c>
      <c r="D353" s="35">
        <v>854434.38</v>
      </c>
      <c r="E353" s="35">
        <v>64594</v>
      </c>
      <c r="F353" s="35">
        <v>117976.63</v>
      </c>
    </row>
    <row r="354" spans="1:6" x14ac:dyDescent="0.3">
      <c r="A354" t="s">
        <v>33</v>
      </c>
      <c r="B354">
        <v>2025</v>
      </c>
      <c r="C354" t="s">
        <v>9</v>
      </c>
      <c r="D354" s="35">
        <v>16113168.98</v>
      </c>
      <c r="E354" s="35">
        <v>387457</v>
      </c>
      <c r="F354" s="35">
        <v>10118270.93</v>
      </c>
    </row>
    <row r="355" spans="1:6" x14ac:dyDescent="0.3">
      <c r="A355" t="s">
        <v>33</v>
      </c>
      <c r="B355">
        <v>2025</v>
      </c>
      <c r="C355" t="s">
        <v>8</v>
      </c>
      <c r="D355" s="35">
        <v>20000205.710000001</v>
      </c>
      <c r="E355" s="35">
        <v>1223</v>
      </c>
      <c r="F355" s="35">
        <v>19738475.210000001</v>
      </c>
    </row>
    <row r="356" spans="1:6" x14ac:dyDescent="0.3">
      <c r="A356" t="s">
        <v>33</v>
      </c>
      <c r="B356">
        <v>2025</v>
      </c>
      <c r="C356" t="s">
        <v>6</v>
      </c>
      <c r="D356" s="35">
        <v>47364597.020000003</v>
      </c>
      <c r="E356" s="35">
        <v>812247</v>
      </c>
      <c r="F356" s="35">
        <v>38016694.619999997</v>
      </c>
    </row>
    <row r="357" spans="1:6" x14ac:dyDescent="0.3">
      <c r="A357" t="s">
        <v>33</v>
      </c>
      <c r="B357">
        <v>2025</v>
      </c>
      <c r="C357" t="s">
        <v>15</v>
      </c>
      <c r="D357" s="35">
        <v>3840481.19</v>
      </c>
      <c r="E357" s="35">
        <v>73162</v>
      </c>
      <c r="F357" s="35">
        <v>2565644.620000001</v>
      </c>
    </row>
    <row r="358" spans="1:6" x14ac:dyDescent="0.3">
      <c r="A358" t="s">
        <v>33</v>
      </c>
      <c r="B358">
        <v>2025</v>
      </c>
      <c r="C358" t="s">
        <v>18</v>
      </c>
      <c r="D358" s="35">
        <v>955531.44000000006</v>
      </c>
      <c r="E358" s="35">
        <v>17872</v>
      </c>
      <c r="F358" s="35">
        <v>694984.78</v>
      </c>
    </row>
    <row r="359" spans="1:6" x14ac:dyDescent="0.3">
      <c r="A359" t="s">
        <v>34</v>
      </c>
      <c r="B359">
        <v>2019</v>
      </c>
      <c r="C359" t="s">
        <v>10</v>
      </c>
      <c r="D359" s="35">
        <v>72112228.750000015</v>
      </c>
      <c r="E359" s="35">
        <v>2366678</v>
      </c>
      <c r="F359" s="35">
        <v>50892213.490000002</v>
      </c>
    </row>
    <row r="360" spans="1:6" x14ac:dyDescent="0.3">
      <c r="A360" t="s">
        <v>34</v>
      </c>
      <c r="B360">
        <v>2019</v>
      </c>
      <c r="C360" t="s">
        <v>4</v>
      </c>
      <c r="D360" s="35">
        <v>156148409.56</v>
      </c>
      <c r="E360" s="35">
        <v>727752</v>
      </c>
      <c r="F360" s="35">
        <v>153364835.44</v>
      </c>
    </row>
    <row r="361" spans="1:6" x14ac:dyDescent="0.3">
      <c r="A361" t="s">
        <v>34</v>
      </c>
      <c r="B361">
        <v>2019</v>
      </c>
      <c r="C361" t="s">
        <v>13</v>
      </c>
      <c r="D361" s="35">
        <v>55150939.99000001</v>
      </c>
      <c r="E361" s="35">
        <v>837957</v>
      </c>
      <c r="F361" s="35">
        <v>42694466.960000001</v>
      </c>
    </row>
    <row r="362" spans="1:6" x14ac:dyDescent="0.3">
      <c r="A362" t="s">
        <v>34</v>
      </c>
      <c r="B362">
        <v>2019</v>
      </c>
      <c r="C362" t="s">
        <v>16</v>
      </c>
      <c r="D362" s="35">
        <v>8319061.4699999988</v>
      </c>
      <c r="E362" s="35">
        <v>63179</v>
      </c>
      <c r="F362" s="35">
        <v>5390142.7000000002</v>
      </c>
    </row>
    <row r="363" spans="1:6" x14ac:dyDescent="0.3">
      <c r="A363" t="s">
        <v>34</v>
      </c>
      <c r="B363">
        <v>2019</v>
      </c>
      <c r="C363" t="s">
        <v>14</v>
      </c>
      <c r="D363" s="35">
        <v>32208147.02</v>
      </c>
      <c r="E363" s="35">
        <v>932036</v>
      </c>
      <c r="F363" s="35">
        <v>19588450.600000001</v>
      </c>
    </row>
    <row r="364" spans="1:6" x14ac:dyDescent="0.3">
      <c r="A364" t="s">
        <v>34</v>
      </c>
      <c r="B364">
        <v>2019</v>
      </c>
      <c r="C364" t="s">
        <v>7</v>
      </c>
      <c r="D364" s="35">
        <v>88050314.170000017</v>
      </c>
      <c r="E364" s="35">
        <v>38380</v>
      </c>
      <c r="F364" s="35">
        <v>87330669.830000013</v>
      </c>
    </row>
    <row r="365" spans="1:6" x14ac:dyDescent="0.3">
      <c r="A365" t="s">
        <v>34</v>
      </c>
      <c r="B365">
        <v>2019</v>
      </c>
      <c r="C365" t="s">
        <v>11</v>
      </c>
      <c r="D365" s="35">
        <v>58886611.880000003</v>
      </c>
      <c r="E365" s="35">
        <v>48793</v>
      </c>
      <c r="F365" s="35">
        <v>57604703.809999987</v>
      </c>
    </row>
    <row r="366" spans="1:6" x14ac:dyDescent="0.3">
      <c r="A366" t="s">
        <v>34</v>
      </c>
      <c r="B366">
        <v>2019</v>
      </c>
      <c r="C366" t="s">
        <v>3</v>
      </c>
      <c r="D366" s="35">
        <v>128555053.16</v>
      </c>
      <c r="E366" s="35">
        <v>640304</v>
      </c>
      <c r="F366" s="35">
        <v>120030476.04000001</v>
      </c>
    </row>
    <row r="367" spans="1:6" x14ac:dyDescent="0.3">
      <c r="A367" t="s">
        <v>34</v>
      </c>
      <c r="B367">
        <v>2019</v>
      </c>
      <c r="C367" t="s">
        <v>12</v>
      </c>
      <c r="D367" s="35">
        <v>94161036.499999985</v>
      </c>
      <c r="E367" s="35">
        <v>1528545</v>
      </c>
      <c r="F367" s="35">
        <v>60381969.619999997</v>
      </c>
    </row>
    <row r="368" spans="1:6" x14ac:dyDescent="0.3">
      <c r="A368" t="s">
        <v>34</v>
      </c>
      <c r="B368">
        <v>2019</v>
      </c>
      <c r="C368" t="s">
        <v>2</v>
      </c>
      <c r="D368" s="35">
        <v>338660078.13999999</v>
      </c>
      <c r="E368" s="35">
        <v>3564170</v>
      </c>
      <c r="F368" s="35">
        <v>260779958.71000001</v>
      </c>
    </row>
    <row r="369" spans="1:6" x14ac:dyDescent="0.3">
      <c r="A369" t="s">
        <v>34</v>
      </c>
      <c r="B369">
        <v>2019</v>
      </c>
      <c r="C369" t="s">
        <v>5</v>
      </c>
      <c r="D369" s="35">
        <v>94313909.560000002</v>
      </c>
      <c r="E369" s="35">
        <v>73022</v>
      </c>
      <c r="F369" s="35">
        <v>87508926.660000011</v>
      </c>
    </row>
    <row r="370" spans="1:6" x14ac:dyDescent="0.3">
      <c r="A370" t="s">
        <v>34</v>
      </c>
      <c r="B370">
        <v>2019</v>
      </c>
      <c r="C370" t="s">
        <v>17</v>
      </c>
      <c r="D370" s="35">
        <v>2804577.63</v>
      </c>
      <c r="E370" s="35">
        <v>188224</v>
      </c>
      <c r="F370" s="35">
        <v>1184126.81</v>
      </c>
    </row>
    <row r="371" spans="1:6" x14ac:dyDescent="0.3">
      <c r="A371" t="s">
        <v>34</v>
      </c>
      <c r="B371">
        <v>2019</v>
      </c>
      <c r="C371" t="s">
        <v>9</v>
      </c>
      <c r="D371" s="35">
        <v>62850579.829999991</v>
      </c>
      <c r="E371" s="35">
        <v>1776495</v>
      </c>
      <c r="F371" s="35">
        <v>40925145.069999993</v>
      </c>
    </row>
    <row r="372" spans="1:6" x14ac:dyDescent="0.3">
      <c r="A372" t="s">
        <v>34</v>
      </c>
      <c r="B372">
        <v>2019</v>
      </c>
      <c r="C372" t="s">
        <v>8</v>
      </c>
      <c r="D372" s="35">
        <v>50715360.68</v>
      </c>
      <c r="E372" s="35">
        <v>4148</v>
      </c>
      <c r="F372" s="35">
        <v>50591456.25</v>
      </c>
    </row>
    <row r="373" spans="1:6" x14ac:dyDescent="0.3">
      <c r="A373" t="s">
        <v>34</v>
      </c>
      <c r="B373">
        <v>2019</v>
      </c>
      <c r="C373" t="s">
        <v>6</v>
      </c>
      <c r="D373" s="35">
        <v>124254714.48999999</v>
      </c>
      <c r="E373" s="35">
        <v>1977751</v>
      </c>
      <c r="F373" s="35">
        <v>105634613.97</v>
      </c>
    </row>
    <row r="374" spans="1:6" x14ac:dyDescent="0.3">
      <c r="A374" t="s">
        <v>34</v>
      </c>
      <c r="B374">
        <v>2019</v>
      </c>
      <c r="C374" t="s">
        <v>15</v>
      </c>
      <c r="D374" s="35">
        <v>37860167.359999999</v>
      </c>
      <c r="E374" s="35">
        <v>1036794</v>
      </c>
      <c r="F374" s="35">
        <v>18124368.260000002</v>
      </c>
    </row>
    <row r="375" spans="1:6" x14ac:dyDescent="0.3">
      <c r="A375" t="s">
        <v>34</v>
      </c>
      <c r="B375">
        <v>2019</v>
      </c>
      <c r="C375" t="s">
        <v>18</v>
      </c>
      <c r="D375" s="35">
        <v>11038500.74</v>
      </c>
      <c r="E375" s="35">
        <v>60232</v>
      </c>
      <c r="F375" s="35">
        <v>5565099.0600000015</v>
      </c>
    </row>
    <row r="376" spans="1:6" x14ac:dyDescent="0.3">
      <c r="A376" t="s">
        <v>34</v>
      </c>
      <c r="B376">
        <v>2020</v>
      </c>
      <c r="C376" t="s">
        <v>10</v>
      </c>
      <c r="D376" s="35">
        <v>87856886.140000015</v>
      </c>
      <c r="E376" s="35">
        <v>2239524</v>
      </c>
      <c r="F376" s="35">
        <v>64060996.300000012</v>
      </c>
    </row>
    <row r="377" spans="1:6" x14ac:dyDescent="0.3">
      <c r="A377" t="s">
        <v>34</v>
      </c>
      <c r="B377">
        <v>2020</v>
      </c>
      <c r="C377" t="s">
        <v>4</v>
      </c>
      <c r="D377" s="35">
        <v>183185874.12000009</v>
      </c>
      <c r="E377" s="35">
        <v>705341</v>
      </c>
      <c r="F377" s="35">
        <v>180339482.27000001</v>
      </c>
    </row>
    <row r="378" spans="1:6" x14ac:dyDescent="0.3">
      <c r="A378" t="s">
        <v>34</v>
      </c>
      <c r="B378">
        <v>2020</v>
      </c>
      <c r="C378" t="s">
        <v>13</v>
      </c>
      <c r="D378" s="35">
        <v>56458330.460000008</v>
      </c>
      <c r="E378" s="35">
        <v>775994</v>
      </c>
      <c r="F378" s="35">
        <v>43018745.580000013</v>
      </c>
    </row>
    <row r="379" spans="1:6" x14ac:dyDescent="0.3">
      <c r="A379" t="s">
        <v>34</v>
      </c>
      <c r="B379">
        <v>2020</v>
      </c>
      <c r="C379" t="s">
        <v>16</v>
      </c>
      <c r="D379" s="35">
        <v>9487563.6999999993</v>
      </c>
      <c r="E379" s="35">
        <v>62959</v>
      </c>
      <c r="F379" s="35">
        <v>6025109.9699999997</v>
      </c>
    </row>
    <row r="380" spans="1:6" x14ac:dyDescent="0.3">
      <c r="A380" t="s">
        <v>34</v>
      </c>
      <c r="B380">
        <v>2020</v>
      </c>
      <c r="C380" t="s">
        <v>14</v>
      </c>
      <c r="D380" s="35">
        <v>36573620.690000013</v>
      </c>
      <c r="E380" s="35">
        <v>921993</v>
      </c>
      <c r="F380" s="35">
        <v>22719640.780000001</v>
      </c>
    </row>
    <row r="381" spans="1:6" x14ac:dyDescent="0.3">
      <c r="A381" t="s">
        <v>34</v>
      </c>
      <c r="B381">
        <v>2020</v>
      </c>
      <c r="C381" t="s">
        <v>7</v>
      </c>
      <c r="D381" s="35">
        <v>102654398.89</v>
      </c>
      <c r="E381" s="35">
        <v>40558</v>
      </c>
      <c r="F381" s="35">
        <v>101819979.78</v>
      </c>
    </row>
    <row r="382" spans="1:6" x14ac:dyDescent="0.3">
      <c r="A382" t="s">
        <v>34</v>
      </c>
      <c r="B382">
        <v>2020</v>
      </c>
      <c r="C382" t="s">
        <v>11</v>
      </c>
      <c r="D382" s="35">
        <v>61057378.88000001</v>
      </c>
      <c r="E382" s="35">
        <v>54707</v>
      </c>
      <c r="F382" s="35">
        <v>58706023.929999992</v>
      </c>
    </row>
    <row r="383" spans="1:6" x14ac:dyDescent="0.3">
      <c r="A383" t="s">
        <v>34</v>
      </c>
      <c r="B383">
        <v>2020</v>
      </c>
      <c r="C383" t="s">
        <v>3</v>
      </c>
      <c r="D383" s="35">
        <v>155674708.71000001</v>
      </c>
      <c r="E383" s="35">
        <v>574912</v>
      </c>
      <c r="F383" s="35">
        <v>146815460.47999999</v>
      </c>
    </row>
    <row r="384" spans="1:6" x14ac:dyDescent="0.3">
      <c r="A384" t="s">
        <v>34</v>
      </c>
      <c r="B384">
        <v>2020</v>
      </c>
      <c r="C384" t="s">
        <v>12</v>
      </c>
      <c r="D384" s="35">
        <v>81148565.900000006</v>
      </c>
      <c r="E384" s="35">
        <v>1327205</v>
      </c>
      <c r="F384" s="35">
        <v>49642708.82</v>
      </c>
    </row>
    <row r="385" spans="1:6" x14ac:dyDescent="0.3">
      <c r="A385" t="s">
        <v>34</v>
      </c>
      <c r="B385">
        <v>2020</v>
      </c>
      <c r="C385" t="s">
        <v>2</v>
      </c>
      <c r="D385" s="35">
        <v>366657963.89999998</v>
      </c>
      <c r="E385" s="35">
        <v>3692097</v>
      </c>
      <c r="F385" s="35">
        <v>297959722.36000001</v>
      </c>
    </row>
    <row r="386" spans="1:6" x14ac:dyDescent="0.3">
      <c r="A386" t="s">
        <v>34</v>
      </c>
      <c r="B386">
        <v>2020</v>
      </c>
      <c r="C386" t="s">
        <v>5</v>
      </c>
      <c r="D386" s="35">
        <v>115337214.26000001</v>
      </c>
      <c r="E386" s="35">
        <v>77832</v>
      </c>
      <c r="F386" s="35">
        <v>108248743.29000001</v>
      </c>
    </row>
    <row r="387" spans="1:6" x14ac:dyDescent="0.3">
      <c r="A387" t="s">
        <v>34</v>
      </c>
      <c r="B387">
        <v>2020</v>
      </c>
      <c r="C387" t="s">
        <v>17</v>
      </c>
      <c r="D387" s="35">
        <v>2970476.33</v>
      </c>
      <c r="E387" s="35">
        <v>180998</v>
      </c>
      <c r="F387" s="35">
        <v>1306842.55</v>
      </c>
    </row>
    <row r="388" spans="1:6" x14ac:dyDescent="0.3">
      <c r="A388" t="s">
        <v>34</v>
      </c>
      <c r="B388">
        <v>2020</v>
      </c>
      <c r="C388" t="s">
        <v>9</v>
      </c>
      <c r="D388" s="35">
        <v>68995950.829999998</v>
      </c>
      <c r="E388" s="35">
        <v>1652101</v>
      </c>
      <c r="F388" s="35">
        <v>47977675.550000019</v>
      </c>
    </row>
    <row r="389" spans="1:6" x14ac:dyDescent="0.3">
      <c r="A389" t="s">
        <v>34</v>
      </c>
      <c r="B389">
        <v>2020</v>
      </c>
      <c r="C389" t="s">
        <v>8</v>
      </c>
      <c r="D389" s="35">
        <v>69504328.579999998</v>
      </c>
      <c r="E389" s="35">
        <v>5333</v>
      </c>
      <c r="F389" s="35">
        <v>68516843.430000007</v>
      </c>
    </row>
    <row r="390" spans="1:6" x14ac:dyDescent="0.3">
      <c r="A390" t="s">
        <v>34</v>
      </c>
      <c r="B390">
        <v>2020</v>
      </c>
      <c r="C390" t="s">
        <v>6</v>
      </c>
      <c r="D390" s="35">
        <v>141512332.27000001</v>
      </c>
      <c r="E390" s="35">
        <v>2063342</v>
      </c>
      <c r="F390" s="35">
        <v>115558984.16</v>
      </c>
    </row>
    <row r="391" spans="1:6" x14ac:dyDescent="0.3">
      <c r="A391" t="s">
        <v>34</v>
      </c>
      <c r="B391">
        <v>2020</v>
      </c>
      <c r="C391" t="s">
        <v>15</v>
      </c>
      <c r="D391" s="35">
        <v>31756086.710000001</v>
      </c>
      <c r="E391" s="35">
        <v>818358</v>
      </c>
      <c r="F391" s="35">
        <v>12377884.02</v>
      </c>
    </row>
    <row r="392" spans="1:6" x14ac:dyDescent="0.3">
      <c r="A392" t="s">
        <v>34</v>
      </c>
      <c r="B392">
        <v>2020</v>
      </c>
      <c r="C392" t="s">
        <v>18</v>
      </c>
      <c r="D392" s="35">
        <v>11450292.23</v>
      </c>
      <c r="E392" s="35">
        <v>58513</v>
      </c>
      <c r="F392" s="35">
        <v>7318525.9200000009</v>
      </c>
    </row>
    <row r="393" spans="1:6" x14ac:dyDescent="0.3">
      <c r="A393" t="s">
        <v>34</v>
      </c>
      <c r="B393">
        <v>2021</v>
      </c>
      <c r="C393" t="s">
        <v>10</v>
      </c>
      <c r="D393" s="35">
        <v>98331115.689999998</v>
      </c>
      <c r="E393" s="35">
        <v>2154670</v>
      </c>
      <c r="F393" s="35">
        <v>72910917.350000009</v>
      </c>
    </row>
    <row r="394" spans="1:6" x14ac:dyDescent="0.3">
      <c r="A394" t="s">
        <v>34</v>
      </c>
      <c r="B394">
        <v>2021</v>
      </c>
      <c r="C394" t="s">
        <v>4</v>
      </c>
      <c r="D394" s="35">
        <v>195036215.5699999</v>
      </c>
      <c r="E394" s="35">
        <v>686025</v>
      </c>
      <c r="F394" s="35">
        <v>191458205.26000011</v>
      </c>
    </row>
    <row r="395" spans="1:6" x14ac:dyDescent="0.3">
      <c r="A395" t="s">
        <v>34</v>
      </c>
      <c r="B395">
        <v>2021</v>
      </c>
      <c r="C395" t="s">
        <v>13</v>
      </c>
      <c r="D395" s="35">
        <v>58531242.840000004</v>
      </c>
      <c r="E395" s="35">
        <v>734944</v>
      </c>
      <c r="F395" s="35">
        <v>44781346.07</v>
      </c>
    </row>
    <row r="396" spans="1:6" x14ac:dyDescent="0.3">
      <c r="A396" t="s">
        <v>34</v>
      </c>
      <c r="B396">
        <v>2021</v>
      </c>
      <c r="C396" t="s">
        <v>16</v>
      </c>
      <c r="D396" s="35">
        <v>11368311.529999999</v>
      </c>
      <c r="E396" s="35">
        <v>61360</v>
      </c>
      <c r="F396" s="35">
        <v>8830718.8899999969</v>
      </c>
    </row>
    <row r="397" spans="1:6" x14ac:dyDescent="0.3">
      <c r="A397" t="s">
        <v>34</v>
      </c>
      <c r="B397">
        <v>2021</v>
      </c>
      <c r="C397" t="s">
        <v>14</v>
      </c>
      <c r="D397" s="35">
        <v>40195432.880000003</v>
      </c>
      <c r="E397" s="35">
        <v>957614</v>
      </c>
      <c r="F397" s="35">
        <v>26565689.640000001</v>
      </c>
    </row>
    <row r="398" spans="1:6" x14ac:dyDescent="0.3">
      <c r="A398" t="s">
        <v>34</v>
      </c>
      <c r="B398">
        <v>2021</v>
      </c>
      <c r="C398" t="s">
        <v>7</v>
      </c>
      <c r="D398" s="35">
        <v>116040845.38</v>
      </c>
      <c r="E398" s="35">
        <v>44106</v>
      </c>
      <c r="F398" s="35">
        <v>115315687.45999999</v>
      </c>
    </row>
    <row r="399" spans="1:6" x14ac:dyDescent="0.3">
      <c r="A399" t="s">
        <v>34</v>
      </c>
      <c r="B399">
        <v>2021</v>
      </c>
      <c r="C399" t="s">
        <v>11</v>
      </c>
      <c r="D399" s="35">
        <v>60928439.389999993</v>
      </c>
      <c r="E399" s="35">
        <v>56674</v>
      </c>
      <c r="F399" s="35">
        <v>58316731.119999997</v>
      </c>
    </row>
    <row r="400" spans="1:6" x14ac:dyDescent="0.3">
      <c r="A400" t="s">
        <v>34</v>
      </c>
      <c r="B400">
        <v>2021</v>
      </c>
      <c r="C400" t="s">
        <v>3</v>
      </c>
      <c r="D400" s="35">
        <v>196239350.5</v>
      </c>
      <c r="E400" s="35">
        <v>623628</v>
      </c>
      <c r="F400" s="35">
        <v>185834662.26999989</v>
      </c>
    </row>
    <row r="401" spans="1:6" x14ac:dyDescent="0.3">
      <c r="A401" t="s">
        <v>34</v>
      </c>
      <c r="B401">
        <v>2021</v>
      </c>
      <c r="C401" t="s">
        <v>12</v>
      </c>
      <c r="D401" s="35">
        <v>76582410.030000001</v>
      </c>
      <c r="E401" s="35">
        <v>1369804</v>
      </c>
      <c r="F401" s="35">
        <v>46013303.450000003</v>
      </c>
    </row>
    <row r="402" spans="1:6" x14ac:dyDescent="0.3">
      <c r="A402" t="s">
        <v>34</v>
      </c>
      <c r="B402">
        <v>2021</v>
      </c>
      <c r="C402" t="s">
        <v>2</v>
      </c>
      <c r="D402" s="35">
        <v>397748011.83999997</v>
      </c>
      <c r="E402" s="35">
        <v>3795544</v>
      </c>
      <c r="F402" s="35">
        <v>325760339.35000008</v>
      </c>
    </row>
    <row r="403" spans="1:6" x14ac:dyDescent="0.3">
      <c r="A403" t="s">
        <v>34</v>
      </c>
      <c r="B403">
        <v>2021</v>
      </c>
      <c r="C403" t="s">
        <v>5</v>
      </c>
      <c r="D403" s="35">
        <v>126786871.48999999</v>
      </c>
      <c r="E403" s="35">
        <v>76279</v>
      </c>
      <c r="F403" s="35">
        <v>118793155.48</v>
      </c>
    </row>
    <row r="404" spans="1:6" x14ac:dyDescent="0.3">
      <c r="A404" t="s">
        <v>34</v>
      </c>
      <c r="B404">
        <v>2021</v>
      </c>
      <c r="C404" t="s">
        <v>17</v>
      </c>
      <c r="D404" s="35">
        <v>3102188.9700000011</v>
      </c>
      <c r="E404" s="35">
        <v>172031</v>
      </c>
      <c r="F404" s="35">
        <v>1356343.159999999</v>
      </c>
    </row>
    <row r="405" spans="1:6" x14ac:dyDescent="0.3">
      <c r="A405" t="s">
        <v>34</v>
      </c>
      <c r="B405">
        <v>2021</v>
      </c>
      <c r="C405" t="s">
        <v>9</v>
      </c>
      <c r="D405" s="35">
        <v>69454706.770000011</v>
      </c>
      <c r="E405" s="35">
        <v>1671739</v>
      </c>
      <c r="F405" s="35">
        <v>46988307.990000002</v>
      </c>
    </row>
    <row r="406" spans="1:6" x14ac:dyDescent="0.3">
      <c r="A406" t="s">
        <v>34</v>
      </c>
      <c r="B406">
        <v>2021</v>
      </c>
      <c r="C406" t="s">
        <v>8</v>
      </c>
      <c r="D406" s="35">
        <v>83489533.359999999</v>
      </c>
      <c r="E406" s="35">
        <v>5422</v>
      </c>
      <c r="F406" s="35">
        <v>83121033.790000007</v>
      </c>
    </row>
    <row r="407" spans="1:6" x14ac:dyDescent="0.3">
      <c r="A407" t="s">
        <v>34</v>
      </c>
      <c r="B407">
        <v>2021</v>
      </c>
      <c r="C407" t="s">
        <v>6</v>
      </c>
      <c r="D407" s="35">
        <v>144247358.09</v>
      </c>
      <c r="E407" s="35">
        <v>1972772</v>
      </c>
      <c r="F407" s="35">
        <v>118361097.83</v>
      </c>
    </row>
    <row r="408" spans="1:6" x14ac:dyDescent="0.3">
      <c r="A408" t="s">
        <v>34</v>
      </c>
      <c r="B408">
        <v>2021</v>
      </c>
      <c r="C408" t="s">
        <v>15</v>
      </c>
      <c r="D408" s="35">
        <v>28395294.620000008</v>
      </c>
      <c r="E408" s="35">
        <v>678087</v>
      </c>
      <c r="F408" s="35">
        <v>11477870.779999999</v>
      </c>
    </row>
    <row r="409" spans="1:6" x14ac:dyDescent="0.3">
      <c r="A409" t="s">
        <v>34</v>
      </c>
      <c r="B409">
        <v>2021</v>
      </c>
      <c r="C409" t="s">
        <v>18</v>
      </c>
      <c r="D409" s="35">
        <v>10811335.5</v>
      </c>
      <c r="E409" s="35">
        <v>52135</v>
      </c>
      <c r="F409" s="35">
        <v>7517926.6900000013</v>
      </c>
    </row>
    <row r="410" spans="1:6" x14ac:dyDescent="0.3">
      <c r="A410" t="s">
        <v>34</v>
      </c>
      <c r="B410">
        <v>2022</v>
      </c>
      <c r="C410" t="s">
        <v>10</v>
      </c>
      <c r="D410" s="35">
        <v>124040194.20999999</v>
      </c>
      <c r="E410" s="35">
        <v>2321277</v>
      </c>
      <c r="F410" s="35">
        <v>86576184.37999998</v>
      </c>
    </row>
    <row r="411" spans="1:6" x14ac:dyDescent="0.3">
      <c r="A411" t="s">
        <v>34</v>
      </c>
      <c r="B411">
        <v>2022</v>
      </c>
      <c r="C411" t="s">
        <v>4</v>
      </c>
      <c r="D411" s="35">
        <v>211989671.09</v>
      </c>
      <c r="E411" s="35">
        <v>738448</v>
      </c>
      <c r="F411" s="35">
        <v>207418014.75999999</v>
      </c>
    </row>
    <row r="412" spans="1:6" x14ac:dyDescent="0.3">
      <c r="A412" t="s">
        <v>34</v>
      </c>
      <c r="B412">
        <v>2022</v>
      </c>
      <c r="C412" t="s">
        <v>13</v>
      </c>
      <c r="D412" s="35">
        <v>64088314.240000017</v>
      </c>
      <c r="E412" s="35">
        <v>751731</v>
      </c>
      <c r="F412" s="35">
        <v>48364957.090000004</v>
      </c>
    </row>
    <row r="413" spans="1:6" x14ac:dyDescent="0.3">
      <c r="A413" t="s">
        <v>34</v>
      </c>
      <c r="B413">
        <v>2022</v>
      </c>
      <c r="C413" t="s">
        <v>16</v>
      </c>
      <c r="D413" s="35">
        <v>14253476.449999999</v>
      </c>
      <c r="E413" s="35">
        <v>67337</v>
      </c>
      <c r="F413" s="35">
        <v>11344693.810000001</v>
      </c>
    </row>
    <row r="414" spans="1:6" x14ac:dyDescent="0.3">
      <c r="A414" t="s">
        <v>34</v>
      </c>
      <c r="B414">
        <v>2022</v>
      </c>
      <c r="C414" t="s">
        <v>14</v>
      </c>
      <c r="D414" s="35">
        <v>48677050.489999987</v>
      </c>
      <c r="E414" s="35">
        <v>1043376</v>
      </c>
      <c r="F414" s="35">
        <v>32048503.710000001</v>
      </c>
    </row>
    <row r="415" spans="1:6" x14ac:dyDescent="0.3">
      <c r="A415" t="s">
        <v>34</v>
      </c>
      <c r="B415">
        <v>2022</v>
      </c>
      <c r="C415" t="s">
        <v>7</v>
      </c>
      <c r="D415" s="35">
        <v>141347454.78999999</v>
      </c>
      <c r="E415" s="35">
        <v>50914</v>
      </c>
      <c r="F415" s="35">
        <v>140128492.78</v>
      </c>
    </row>
    <row r="416" spans="1:6" x14ac:dyDescent="0.3">
      <c r="A416" t="s">
        <v>34</v>
      </c>
      <c r="B416">
        <v>2022</v>
      </c>
      <c r="C416" t="s">
        <v>11</v>
      </c>
      <c r="D416" s="35">
        <v>67403247.639999986</v>
      </c>
      <c r="E416" s="35">
        <v>56303</v>
      </c>
      <c r="F416" s="35">
        <v>63773965.159999996</v>
      </c>
    </row>
    <row r="417" spans="1:6" x14ac:dyDescent="0.3">
      <c r="A417" t="s">
        <v>34</v>
      </c>
      <c r="B417">
        <v>2022</v>
      </c>
      <c r="C417" t="s">
        <v>3</v>
      </c>
      <c r="D417" s="35">
        <v>251550395.46000001</v>
      </c>
      <c r="E417" s="35">
        <v>702799</v>
      </c>
      <c r="F417" s="35">
        <v>239113729.16</v>
      </c>
    </row>
    <row r="418" spans="1:6" x14ac:dyDescent="0.3">
      <c r="A418" t="s">
        <v>34</v>
      </c>
      <c r="B418">
        <v>2022</v>
      </c>
      <c r="C418" t="s">
        <v>12</v>
      </c>
      <c r="D418" s="35">
        <v>94036398.340000018</v>
      </c>
      <c r="E418" s="35">
        <v>1612136</v>
      </c>
      <c r="F418" s="35">
        <v>55600771.190000013</v>
      </c>
    </row>
    <row r="419" spans="1:6" x14ac:dyDescent="0.3">
      <c r="A419" t="s">
        <v>34</v>
      </c>
      <c r="B419">
        <v>2022</v>
      </c>
      <c r="C419" t="s">
        <v>2</v>
      </c>
      <c r="D419" s="35">
        <v>458821837.62999988</v>
      </c>
      <c r="E419" s="35">
        <v>4009029</v>
      </c>
      <c r="F419" s="35">
        <v>369490585.92999989</v>
      </c>
    </row>
    <row r="420" spans="1:6" x14ac:dyDescent="0.3">
      <c r="A420" t="s">
        <v>34</v>
      </c>
      <c r="B420">
        <v>2022</v>
      </c>
      <c r="C420" t="s">
        <v>5</v>
      </c>
      <c r="D420" s="35">
        <v>130588968.04000001</v>
      </c>
      <c r="E420" s="35">
        <v>79980</v>
      </c>
      <c r="F420" s="35">
        <v>120236488.28</v>
      </c>
    </row>
    <row r="421" spans="1:6" x14ac:dyDescent="0.3">
      <c r="A421" t="s">
        <v>34</v>
      </c>
      <c r="B421">
        <v>2022</v>
      </c>
      <c r="C421" t="s">
        <v>17</v>
      </c>
      <c r="D421" s="35">
        <v>4396103.3199999994</v>
      </c>
      <c r="E421" s="35">
        <v>182761</v>
      </c>
      <c r="F421" s="35">
        <v>1450249.84</v>
      </c>
    </row>
    <row r="422" spans="1:6" x14ac:dyDescent="0.3">
      <c r="A422" t="s">
        <v>34</v>
      </c>
      <c r="B422">
        <v>2022</v>
      </c>
      <c r="C422" t="s">
        <v>9</v>
      </c>
      <c r="D422" s="35">
        <v>78737552.810000002</v>
      </c>
      <c r="E422" s="35">
        <v>1784907</v>
      </c>
      <c r="F422" s="35">
        <v>52040013.600000009</v>
      </c>
    </row>
    <row r="423" spans="1:6" x14ac:dyDescent="0.3">
      <c r="A423" t="s">
        <v>34</v>
      </c>
      <c r="B423">
        <v>2022</v>
      </c>
      <c r="C423" t="s">
        <v>8</v>
      </c>
      <c r="D423" s="35">
        <v>97877249.760000005</v>
      </c>
      <c r="E423" s="35">
        <v>5670</v>
      </c>
      <c r="F423" s="35">
        <v>97877249.760000005</v>
      </c>
    </row>
    <row r="424" spans="1:6" x14ac:dyDescent="0.3">
      <c r="A424" t="s">
        <v>34</v>
      </c>
      <c r="B424">
        <v>2022</v>
      </c>
      <c r="C424" t="s">
        <v>6</v>
      </c>
      <c r="D424" s="35">
        <v>152588198.24000001</v>
      </c>
      <c r="E424" s="35">
        <v>2195776</v>
      </c>
      <c r="F424" s="35">
        <v>125124855.42</v>
      </c>
    </row>
    <row r="425" spans="1:6" x14ac:dyDescent="0.3">
      <c r="A425" t="s">
        <v>34</v>
      </c>
      <c r="B425">
        <v>2022</v>
      </c>
      <c r="C425" t="s">
        <v>15</v>
      </c>
      <c r="D425" s="35">
        <v>26713130.15000001</v>
      </c>
      <c r="E425" s="35">
        <v>589375</v>
      </c>
      <c r="F425" s="35">
        <v>11086266.82</v>
      </c>
    </row>
    <row r="426" spans="1:6" x14ac:dyDescent="0.3">
      <c r="A426" t="s">
        <v>34</v>
      </c>
      <c r="B426">
        <v>2022</v>
      </c>
      <c r="C426" t="s">
        <v>18</v>
      </c>
      <c r="D426" s="35">
        <v>12233114.17</v>
      </c>
      <c r="E426" s="35">
        <v>55219</v>
      </c>
      <c r="F426" s="35">
        <v>7800635.54</v>
      </c>
    </row>
    <row r="427" spans="1:6" x14ac:dyDescent="0.3">
      <c r="A427" t="s">
        <v>34</v>
      </c>
      <c r="B427">
        <v>2023</v>
      </c>
      <c r="C427" t="s">
        <v>10</v>
      </c>
      <c r="D427" s="35">
        <v>119534450.11</v>
      </c>
      <c r="E427" s="35">
        <v>2249578</v>
      </c>
      <c r="F427" s="35">
        <v>94425495.509999976</v>
      </c>
    </row>
    <row r="428" spans="1:6" x14ac:dyDescent="0.3">
      <c r="A428" t="s">
        <v>34</v>
      </c>
      <c r="B428">
        <v>2023</v>
      </c>
      <c r="C428" t="s">
        <v>4</v>
      </c>
      <c r="D428" s="35">
        <v>228249127.24000001</v>
      </c>
      <c r="E428" s="35">
        <v>704717</v>
      </c>
      <c r="F428" s="35">
        <v>225244973.58000001</v>
      </c>
    </row>
    <row r="429" spans="1:6" x14ac:dyDescent="0.3">
      <c r="A429" t="s">
        <v>34</v>
      </c>
      <c r="B429">
        <v>2023</v>
      </c>
      <c r="C429" t="s">
        <v>13</v>
      </c>
      <c r="D429" s="35">
        <v>55603474.920000002</v>
      </c>
      <c r="E429" s="35">
        <v>749464</v>
      </c>
      <c r="F429" s="35">
        <v>42825288.109999999</v>
      </c>
    </row>
    <row r="430" spans="1:6" x14ac:dyDescent="0.3">
      <c r="A430" t="s">
        <v>34</v>
      </c>
      <c r="B430">
        <v>2023</v>
      </c>
      <c r="C430" t="s">
        <v>16</v>
      </c>
      <c r="D430" s="35">
        <v>13128069.15</v>
      </c>
      <c r="E430" s="35">
        <v>67516</v>
      </c>
      <c r="F430" s="35">
        <v>11764137.949999999</v>
      </c>
    </row>
    <row r="431" spans="1:6" x14ac:dyDescent="0.3">
      <c r="A431" t="s">
        <v>34</v>
      </c>
      <c r="B431">
        <v>2023</v>
      </c>
      <c r="C431" t="s">
        <v>14</v>
      </c>
      <c r="D431" s="35">
        <v>45004022.579999998</v>
      </c>
      <c r="E431" s="35">
        <v>1028730</v>
      </c>
      <c r="F431" s="35">
        <v>33328169.829999998</v>
      </c>
    </row>
    <row r="432" spans="1:6" x14ac:dyDescent="0.3">
      <c r="A432" t="s">
        <v>34</v>
      </c>
      <c r="B432">
        <v>2023</v>
      </c>
      <c r="C432" t="s">
        <v>7</v>
      </c>
      <c r="D432" s="35">
        <v>126015491.56999999</v>
      </c>
      <c r="E432" s="35">
        <v>42689</v>
      </c>
      <c r="F432" s="35">
        <v>125127800.2</v>
      </c>
    </row>
    <row r="433" spans="1:6" x14ac:dyDescent="0.3">
      <c r="A433" t="s">
        <v>34</v>
      </c>
      <c r="B433">
        <v>2023</v>
      </c>
      <c r="C433" t="s">
        <v>11</v>
      </c>
      <c r="D433" s="35">
        <v>70698971.449999988</v>
      </c>
      <c r="E433" s="35">
        <v>57603</v>
      </c>
      <c r="F433" s="35">
        <v>68374810.37000002</v>
      </c>
    </row>
    <row r="434" spans="1:6" x14ac:dyDescent="0.3">
      <c r="A434" t="s">
        <v>34</v>
      </c>
      <c r="B434">
        <v>2023</v>
      </c>
      <c r="C434" t="s">
        <v>3</v>
      </c>
      <c r="D434" s="35">
        <v>303587585.97000003</v>
      </c>
      <c r="E434" s="35">
        <v>684615</v>
      </c>
      <c r="F434" s="35">
        <v>292867095.17000002</v>
      </c>
    </row>
    <row r="435" spans="1:6" x14ac:dyDescent="0.3">
      <c r="A435" t="s">
        <v>34</v>
      </c>
      <c r="B435">
        <v>2023</v>
      </c>
      <c r="C435" t="s">
        <v>12</v>
      </c>
      <c r="D435" s="35">
        <v>87794950.789999992</v>
      </c>
      <c r="E435" s="35">
        <v>1500878</v>
      </c>
      <c r="F435" s="35">
        <v>58789216.989999987</v>
      </c>
    </row>
    <row r="436" spans="1:6" x14ac:dyDescent="0.3">
      <c r="A436" t="s">
        <v>34</v>
      </c>
      <c r="B436">
        <v>2023</v>
      </c>
      <c r="C436" t="s">
        <v>2</v>
      </c>
      <c r="D436" s="35">
        <v>431815005.00999999</v>
      </c>
      <c r="E436" s="35">
        <v>3906832</v>
      </c>
      <c r="F436" s="35">
        <v>365311235.95999998</v>
      </c>
    </row>
    <row r="437" spans="1:6" x14ac:dyDescent="0.3">
      <c r="A437" t="s">
        <v>34</v>
      </c>
      <c r="B437">
        <v>2023</v>
      </c>
      <c r="C437" t="s">
        <v>5</v>
      </c>
      <c r="D437" s="35">
        <v>142508178.46000001</v>
      </c>
      <c r="E437" s="35">
        <v>85854</v>
      </c>
      <c r="F437" s="35">
        <v>133016381.53</v>
      </c>
    </row>
    <row r="438" spans="1:6" x14ac:dyDescent="0.3">
      <c r="A438" t="s">
        <v>34</v>
      </c>
      <c r="B438">
        <v>2023</v>
      </c>
      <c r="C438" t="s">
        <v>17</v>
      </c>
      <c r="D438" s="35">
        <v>3897317.56</v>
      </c>
      <c r="E438" s="35">
        <v>191825</v>
      </c>
      <c r="F438" s="35">
        <v>1712477.58</v>
      </c>
    </row>
    <row r="439" spans="1:6" x14ac:dyDescent="0.3">
      <c r="A439" t="s">
        <v>34</v>
      </c>
      <c r="B439">
        <v>2023</v>
      </c>
      <c r="C439" t="s">
        <v>9</v>
      </c>
      <c r="D439" s="35">
        <v>82431986.159999982</v>
      </c>
      <c r="E439" s="35">
        <v>1675936</v>
      </c>
      <c r="F439" s="35">
        <v>60916423.400000013</v>
      </c>
    </row>
    <row r="440" spans="1:6" x14ac:dyDescent="0.3">
      <c r="A440" t="s">
        <v>34</v>
      </c>
      <c r="B440">
        <v>2023</v>
      </c>
      <c r="C440" t="s">
        <v>8</v>
      </c>
      <c r="D440" s="35">
        <v>112383107.04000001</v>
      </c>
      <c r="E440" s="35">
        <v>6064</v>
      </c>
      <c r="F440" s="35">
        <v>112383107.04000001</v>
      </c>
    </row>
    <row r="441" spans="1:6" x14ac:dyDescent="0.3">
      <c r="A441" t="s">
        <v>34</v>
      </c>
      <c r="B441">
        <v>2023</v>
      </c>
      <c r="C441" t="s">
        <v>6</v>
      </c>
      <c r="D441" s="35">
        <v>132589931.31</v>
      </c>
      <c r="E441" s="35">
        <v>2074208</v>
      </c>
      <c r="F441" s="35">
        <v>107883287.97</v>
      </c>
    </row>
    <row r="442" spans="1:6" x14ac:dyDescent="0.3">
      <c r="A442" t="s">
        <v>34</v>
      </c>
      <c r="B442">
        <v>2023</v>
      </c>
      <c r="C442" t="s">
        <v>15</v>
      </c>
      <c r="D442" s="35">
        <v>21734303.120000001</v>
      </c>
      <c r="E442" s="35">
        <v>487667</v>
      </c>
      <c r="F442" s="35">
        <v>10631358.640000001</v>
      </c>
    </row>
    <row r="443" spans="1:6" x14ac:dyDescent="0.3">
      <c r="A443" t="s">
        <v>34</v>
      </c>
      <c r="B443">
        <v>2023</v>
      </c>
      <c r="C443" t="s">
        <v>18</v>
      </c>
      <c r="D443" s="35">
        <v>13323760.41</v>
      </c>
      <c r="E443" s="35">
        <v>54605</v>
      </c>
      <c r="F443" s="35">
        <v>8974184.9099999983</v>
      </c>
    </row>
    <row r="444" spans="1:6" x14ac:dyDescent="0.3">
      <c r="A444" t="s">
        <v>34</v>
      </c>
      <c r="B444">
        <v>2024</v>
      </c>
      <c r="C444" t="s">
        <v>10</v>
      </c>
      <c r="D444" s="35">
        <v>124520872.09</v>
      </c>
      <c r="E444" s="35">
        <v>2137339</v>
      </c>
      <c r="F444" s="35">
        <v>100129504.88</v>
      </c>
    </row>
    <row r="445" spans="1:6" x14ac:dyDescent="0.3">
      <c r="A445" t="s">
        <v>34</v>
      </c>
      <c r="B445">
        <v>2024</v>
      </c>
      <c r="C445" t="s">
        <v>4</v>
      </c>
      <c r="D445" s="35">
        <v>198588442.34</v>
      </c>
      <c r="E445" s="35">
        <v>697432</v>
      </c>
      <c r="F445" s="35">
        <v>195689593.55000001</v>
      </c>
    </row>
    <row r="446" spans="1:6" x14ac:dyDescent="0.3">
      <c r="A446" t="s">
        <v>34</v>
      </c>
      <c r="B446">
        <v>2024</v>
      </c>
      <c r="C446" t="s">
        <v>13</v>
      </c>
      <c r="D446" s="35">
        <v>63255879.520000018</v>
      </c>
      <c r="E446" s="35">
        <v>690264</v>
      </c>
      <c r="F446" s="35">
        <v>53250085.659999996</v>
      </c>
    </row>
    <row r="447" spans="1:6" x14ac:dyDescent="0.3">
      <c r="A447" t="s">
        <v>34</v>
      </c>
      <c r="B447">
        <v>2024</v>
      </c>
      <c r="C447" t="s">
        <v>16</v>
      </c>
      <c r="D447" s="35">
        <v>13958260.060000001</v>
      </c>
      <c r="E447" s="35">
        <v>64938</v>
      </c>
      <c r="F447" s="35">
        <v>12949771.109999999</v>
      </c>
    </row>
    <row r="448" spans="1:6" x14ac:dyDescent="0.3">
      <c r="A448" t="s">
        <v>34</v>
      </c>
      <c r="B448">
        <v>2024</v>
      </c>
      <c r="C448" t="s">
        <v>14</v>
      </c>
      <c r="D448" s="35">
        <v>42374984.399999999</v>
      </c>
      <c r="E448" s="35">
        <v>1017654</v>
      </c>
      <c r="F448" s="35">
        <v>31747721.07</v>
      </c>
    </row>
    <row r="449" spans="1:6" x14ac:dyDescent="0.3">
      <c r="A449" t="s">
        <v>34</v>
      </c>
      <c r="B449">
        <v>2024</v>
      </c>
      <c r="C449" t="s">
        <v>7</v>
      </c>
      <c r="D449" s="35">
        <v>142712370.78</v>
      </c>
      <c r="E449" s="35">
        <v>44712</v>
      </c>
      <c r="F449" s="35">
        <v>141042677.44999999</v>
      </c>
    </row>
    <row r="450" spans="1:6" x14ac:dyDescent="0.3">
      <c r="A450" t="s">
        <v>34</v>
      </c>
      <c r="B450">
        <v>2024</v>
      </c>
      <c r="C450" t="s">
        <v>11</v>
      </c>
      <c r="D450" s="35">
        <v>72277408.189999998</v>
      </c>
      <c r="E450" s="35">
        <v>58188</v>
      </c>
      <c r="F450" s="35">
        <v>70191005.310000002</v>
      </c>
    </row>
    <row r="451" spans="1:6" x14ac:dyDescent="0.3">
      <c r="A451" t="s">
        <v>34</v>
      </c>
      <c r="B451">
        <v>2024</v>
      </c>
      <c r="C451" t="s">
        <v>3</v>
      </c>
      <c r="D451" s="35">
        <v>311431081.86000007</v>
      </c>
      <c r="E451" s="35">
        <v>656285</v>
      </c>
      <c r="F451" s="35">
        <v>302065375.81</v>
      </c>
    </row>
    <row r="452" spans="1:6" x14ac:dyDescent="0.3">
      <c r="A452" t="s">
        <v>34</v>
      </c>
      <c r="B452">
        <v>2024</v>
      </c>
      <c r="C452" t="s">
        <v>12</v>
      </c>
      <c r="D452" s="35">
        <v>98310380.310000017</v>
      </c>
      <c r="E452" s="35">
        <v>1495599</v>
      </c>
      <c r="F452" s="35">
        <v>74588831.359999985</v>
      </c>
    </row>
    <row r="453" spans="1:6" x14ac:dyDescent="0.3">
      <c r="A453" t="s">
        <v>34</v>
      </c>
      <c r="B453">
        <v>2024</v>
      </c>
      <c r="C453" t="s">
        <v>2</v>
      </c>
      <c r="D453" s="35">
        <v>466696215.67999989</v>
      </c>
      <c r="E453" s="35">
        <v>3880597</v>
      </c>
      <c r="F453" s="35">
        <v>405750983.68000001</v>
      </c>
    </row>
    <row r="454" spans="1:6" x14ac:dyDescent="0.3">
      <c r="A454" t="s">
        <v>34</v>
      </c>
      <c r="B454">
        <v>2024</v>
      </c>
      <c r="C454" t="s">
        <v>5</v>
      </c>
      <c r="D454" s="35">
        <v>145397561.66000009</v>
      </c>
      <c r="E454" s="35">
        <v>77952</v>
      </c>
      <c r="F454" s="35">
        <v>135769214.5</v>
      </c>
    </row>
    <row r="455" spans="1:6" x14ac:dyDescent="0.3">
      <c r="A455" t="s">
        <v>34</v>
      </c>
      <c r="B455">
        <v>2024</v>
      </c>
      <c r="C455" t="s">
        <v>17</v>
      </c>
      <c r="D455" s="35">
        <v>3630214.1700000009</v>
      </c>
      <c r="E455" s="35">
        <v>171586</v>
      </c>
      <c r="F455" s="35">
        <v>1559040.88</v>
      </c>
    </row>
    <row r="456" spans="1:6" x14ac:dyDescent="0.3">
      <c r="A456" t="s">
        <v>34</v>
      </c>
      <c r="B456">
        <v>2024</v>
      </c>
      <c r="C456" t="s">
        <v>9</v>
      </c>
      <c r="D456" s="35">
        <v>83949771.900000006</v>
      </c>
      <c r="E456" s="35">
        <v>1749019</v>
      </c>
      <c r="F456" s="35">
        <v>62200415.99000001</v>
      </c>
    </row>
    <row r="457" spans="1:6" x14ac:dyDescent="0.3">
      <c r="A457" t="s">
        <v>34</v>
      </c>
      <c r="B457">
        <v>2024</v>
      </c>
      <c r="C457" t="s">
        <v>8</v>
      </c>
      <c r="D457" s="35">
        <v>139772260.77000001</v>
      </c>
      <c r="E457" s="35">
        <v>6404</v>
      </c>
      <c r="F457" s="35">
        <v>139305312.81</v>
      </c>
    </row>
    <row r="458" spans="1:6" x14ac:dyDescent="0.3">
      <c r="A458" t="s">
        <v>34</v>
      </c>
      <c r="B458">
        <v>2024</v>
      </c>
      <c r="C458" t="s">
        <v>6</v>
      </c>
      <c r="D458" s="35">
        <v>116322148.75</v>
      </c>
      <c r="E458" s="35">
        <v>2026953</v>
      </c>
      <c r="F458" s="35">
        <v>93350204.840000004</v>
      </c>
    </row>
    <row r="459" spans="1:6" x14ac:dyDescent="0.3">
      <c r="A459" t="s">
        <v>34</v>
      </c>
      <c r="B459">
        <v>2024</v>
      </c>
      <c r="C459" t="s">
        <v>15</v>
      </c>
      <c r="D459" s="35">
        <v>17637626.129999999</v>
      </c>
      <c r="E459" s="35">
        <v>397318</v>
      </c>
      <c r="F459" s="35">
        <v>10509404.17</v>
      </c>
    </row>
    <row r="460" spans="1:6" x14ac:dyDescent="0.3">
      <c r="A460" t="s">
        <v>34</v>
      </c>
      <c r="B460">
        <v>2024</v>
      </c>
      <c r="C460" t="s">
        <v>18</v>
      </c>
      <c r="D460" s="35">
        <v>14114402.279999999</v>
      </c>
      <c r="E460" s="35">
        <v>51813</v>
      </c>
      <c r="F460" s="35">
        <v>10279389.52</v>
      </c>
    </row>
    <row r="461" spans="1:6" x14ac:dyDescent="0.3">
      <c r="A461" t="s">
        <v>34</v>
      </c>
      <c r="B461">
        <v>2025</v>
      </c>
      <c r="C461" t="s">
        <v>10</v>
      </c>
      <c r="D461" s="35">
        <v>130976231.2</v>
      </c>
      <c r="E461" s="35">
        <v>1969328</v>
      </c>
      <c r="F461" s="35">
        <v>106929448.05</v>
      </c>
    </row>
    <row r="462" spans="1:6" x14ac:dyDescent="0.3">
      <c r="A462" t="s">
        <v>34</v>
      </c>
      <c r="B462">
        <v>2025</v>
      </c>
      <c r="C462" t="s">
        <v>4</v>
      </c>
      <c r="D462" s="35">
        <v>199120714.03</v>
      </c>
      <c r="E462" s="35">
        <v>637985</v>
      </c>
      <c r="F462" s="35">
        <v>195249869.69999999</v>
      </c>
    </row>
    <row r="463" spans="1:6" x14ac:dyDescent="0.3">
      <c r="A463" t="s">
        <v>34</v>
      </c>
      <c r="B463">
        <v>2025</v>
      </c>
      <c r="C463" t="s">
        <v>13</v>
      </c>
      <c r="D463" s="35">
        <v>69354589.270000011</v>
      </c>
      <c r="E463" s="35">
        <v>614979</v>
      </c>
      <c r="F463" s="35">
        <v>59782026.280000001</v>
      </c>
    </row>
    <row r="464" spans="1:6" x14ac:dyDescent="0.3">
      <c r="A464" t="s">
        <v>34</v>
      </c>
      <c r="B464">
        <v>2025</v>
      </c>
      <c r="C464" t="s">
        <v>16</v>
      </c>
      <c r="D464" s="35">
        <v>16271652.789999999</v>
      </c>
      <c r="E464" s="35">
        <v>63069</v>
      </c>
      <c r="F464" s="35">
        <v>14832888.91</v>
      </c>
    </row>
    <row r="465" spans="1:6" x14ac:dyDescent="0.3">
      <c r="A465" t="s">
        <v>34</v>
      </c>
      <c r="B465">
        <v>2025</v>
      </c>
      <c r="C465" t="s">
        <v>14</v>
      </c>
      <c r="D465" s="35">
        <v>40823885.299999997</v>
      </c>
      <c r="E465" s="35">
        <v>948809</v>
      </c>
      <c r="F465" s="35">
        <v>30203175.52</v>
      </c>
    </row>
    <row r="466" spans="1:6" x14ac:dyDescent="0.3">
      <c r="A466" t="s">
        <v>34</v>
      </c>
      <c r="B466">
        <v>2025</v>
      </c>
      <c r="C466" t="s">
        <v>7</v>
      </c>
      <c r="D466" s="35">
        <v>134631423.22999999</v>
      </c>
      <c r="E466" s="35">
        <v>38792</v>
      </c>
      <c r="F466" s="35">
        <v>132781179.53</v>
      </c>
    </row>
    <row r="467" spans="1:6" x14ac:dyDescent="0.3">
      <c r="A467" t="s">
        <v>34</v>
      </c>
      <c r="B467">
        <v>2025</v>
      </c>
      <c r="C467" t="s">
        <v>11</v>
      </c>
      <c r="D467" s="35">
        <v>77218045.730000004</v>
      </c>
      <c r="E467" s="35">
        <v>53812</v>
      </c>
      <c r="F467" s="35">
        <v>74822319.030000016</v>
      </c>
    </row>
    <row r="468" spans="1:6" x14ac:dyDescent="0.3">
      <c r="A468" t="s">
        <v>34</v>
      </c>
      <c r="B468">
        <v>2025</v>
      </c>
      <c r="C468" t="s">
        <v>3</v>
      </c>
      <c r="D468" s="35">
        <v>276416567.61000007</v>
      </c>
      <c r="E468" s="35">
        <v>598289</v>
      </c>
      <c r="F468" s="35">
        <v>269698596.79000002</v>
      </c>
    </row>
    <row r="469" spans="1:6" x14ac:dyDescent="0.3">
      <c r="A469" t="s">
        <v>34</v>
      </c>
      <c r="B469">
        <v>2025</v>
      </c>
      <c r="C469" t="s">
        <v>12</v>
      </c>
      <c r="D469" s="35">
        <v>90858213.059999987</v>
      </c>
      <c r="E469" s="35">
        <v>1347330</v>
      </c>
      <c r="F469" s="35">
        <v>68050933.860000014</v>
      </c>
    </row>
    <row r="470" spans="1:6" x14ac:dyDescent="0.3">
      <c r="A470" t="s">
        <v>34</v>
      </c>
      <c r="B470">
        <v>2025</v>
      </c>
      <c r="C470" t="s">
        <v>2</v>
      </c>
      <c r="D470" s="35">
        <v>478499990.11999989</v>
      </c>
      <c r="E470" s="35">
        <v>3695286</v>
      </c>
      <c r="F470" s="35">
        <v>418546258</v>
      </c>
    </row>
    <row r="471" spans="1:6" x14ac:dyDescent="0.3">
      <c r="A471" t="s">
        <v>34</v>
      </c>
      <c r="B471">
        <v>2025</v>
      </c>
      <c r="C471" t="s">
        <v>5</v>
      </c>
      <c r="D471" s="35">
        <v>157479871.72</v>
      </c>
      <c r="E471" s="35">
        <v>73156</v>
      </c>
      <c r="F471" s="35">
        <v>144828018.08000001</v>
      </c>
    </row>
    <row r="472" spans="1:6" x14ac:dyDescent="0.3">
      <c r="A472" t="s">
        <v>34</v>
      </c>
      <c r="B472">
        <v>2025</v>
      </c>
      <c r="C472" t="s">
        <v>17</v>
      </c>
      <c r="D472" s="35">
        <v>2904641.12</v>
      </c>
      <c r="E472" s="35">
        <v>149084</v>
      </c>
      <c r="F472" s="35">
        <v>1392018.27</v>
      </c>
    </row>
    <row r="473" spans="1:6" x14ac:dyDescent="0.3">
      <c r="A473" t="s">
        <v>34</v>
      </c>
      <c r="B473">
        <v>2025</v>
      </c>
      <c r="C473" t="s">
        <v>9</v>
      </c>
      <c r="D473" s="35">
        <v>90221677.289999992</v>
      </c>
      <c r="E473" s="35">
        <v>1752513</v>
      </c>
      <c r="F473" s="35">
        <v>61296452.149999991</v>
      </c>
    </row>
    <row r="474" spans="1:6" x14ac:dyDescent="0.3">
      <c r="A474" t="s">
        <v>34</v>
      </c>
      <c r="B474">
        <v>2025</v>
      </c>
      <c r="C474" t="s">
        <v>8</v>
      </c>
      <c r="D474" s="35">
        <v>147028753.69</v>
      </c>
      <c r="E474" s="35">
        <v>6286</v>
      </c>
      <c r="F474" s="35">
        <v>145328458.31999999</v>
      </c>
    </row>
    <row r="475" spans="1:6" x14ac:dyDescent="0.3">
      <c r="A475" t="s">
        <v>34</v>
      </c>
      <c r="B475">
        <v>2025</v>
      </c>
      <c r="C475" t="s">
        <v>6</v>
      </c>
      <c r="D475" s="35">
        <v>112068574.48</v>
      </c>
      <c r="E475" s="35">
        <v>1844404</v>
      </c>
      <c r="F475" s="35">
        <v>87823878.109999999</v>
      </c>
    </row>
    <row r="476" spans="1:6" x14ac:dyDescent="0.3">
      <c r="A476" t="s">
        <v>34</v>
      </c>
      <c r="B476">
        <v>2025</v>
      </c>
      <c r="C476" t="s">
        <v>15</v>
      </c>
      <c r="D476" s="35">
        <v>20431903.359999999</v>
      </c>
      <c r="E476" s="35">
        <v>329974</v>
      </c>
      <c r="F476" s="35">
        <v>13222292.699999999</v>
      </c>
    </row>
    <row r="477" spans="1:6" x14ac:dyDescent="0.3">
      <c r="A477" t="s">
        <v>34</v>
      </c>
      <c r="B477">
        <v>2025</v>
      </c>
      <c r="C477" t="s">
        <v>18</v>
      </c>
      <c r="D477" s="35">
        <v>12978296.720000001</v>
      </c>
      <c r="E477" s="35">
        <v>51170</v>
      </c>
      <c r="F477" s="35">
        <v>8313564.75</v>
      </c>
    </row>
    <row r="478" spans="1:6" x14ac:dyDescent="0.3">
      <c r="A478" t="s">
        <v>35</v>
      </c>
      <c r="B478">
        <v>2019</v>
      </c>
      <c r="C478" t="s">
        <v>10</v>
      </c>
      <c r="D478" s="35">
        <v>434046185.52000022</v>
      </c>
      <c r="E478" s="35">
        <v>16593983</v>
      </c>
      <c r="F478" s="35">
        <v>291209596.73000002</v>
      </c>
    </row>
    <row r="479" spans="1:6" x14ac:dyDescent="0.3">
      <c r="A479" t="s">
        <v>35</v>
      </c>
      <c r="B479">
        <v>2019</v>
      </c>
      <c r="C479" t="s">
        <v>4</v>
      </c>
      <c r="D479" s="35">
        <v>1016348728.03</v>
      </c>
      <c r="E479" s="35">
        <v>5525495</v>
      </c>
      <c r="F479" s="35">
        <v>988252328.0799998</v>
      </c>
    </row>
    <row r="480" spans="1:6" x14ac:dyDescent="0.3">
      <c r="A480" t="s">
        <v>35</v>
      </c>
      <c r="B480">
        <v>2019</v>
      </c>
      <c r="C480" t="s">
        <v>13</v>
      </c>
      <c r="D480" s="35">
        <v>313599823.99000001</v>
      </c>
      <c r="E480" s="35">
        <v>4362769</v>
      </c>
      <c r="F480" s="35">
        <v>223074138.78999999</v>
      </c>
    </row>
    <row r="481" spans="1:6" x14ac:dyDescent="0.3">
      <c r="A481" t="s">
        <v>35</v>
      </c>
      <c r="B481">
        <v>2019</v>
      </c>
      <c r="C481" t="s">
        <v>16</v>
      </c>
      <c r="D481" s="35">
        <v>93806878.079999998</v>
      </c>
      <c r="E481" s="35">
        <v>631532</v>
      </c>
      <c r="F481" s="35">
        <v>72479885.609999985</v>
      </c>
    </row>
    <row r="482" spans="1:6" x14ac:dyDescent="0.3">
      <c r="A482" t="s">
        <v>35</v>
      </c>
      <c r="B482">
        <v>2019</v>
      </c>
      <c r="C482" t="s">
        <v>14</v>
      </c>
      <c r="D482" s="35">
        <v>183276319.37</v>
      </c>
      <c r="E482" s="35">
        <v>6270940</v>
      </c>
      <c r="F482" s="35">
        <v>98754010.950000003</v>
      </c>
    </row>
    <row r="483" spans="1:6" x14ac:dyDescent="0.3">
      <c r="A483" t="s">
        <v>35</v>
      </c>
      <c r="B483">
        <v>2019</v>
      </c>
      <c r="C483" t="s">
        <v>7</v>
      </c>
      <c r="D483" s="35">
        <v>746616689.36000025</v>
      </c>
      <c r="E483" s="35">
        <v>322262</v>
      </c>
      <c r="F483" s="35">
        <v>745534422.63000011</v>
      </c>
    </row>
    <row r="484" spans="1:6" x14ac:dyDescent="0.3">
      <c r="A484" t="s">
        <v>35</v>
      </c>
      <c r="B484">
        <v>2019</v>
      </c>
      <c r="C484" t="s">
        <v>11</v>
      </c>
      <c r="D484" s="35">
        <v>636493662.53999984</v>
      </c>
      <c r="E484" s="35">
        <v>1649412</v>
      </c>
      <c r="F484" s="35">
        <v>618373237.56999993</v>
      </c>
    </row>
    <row r="485" spans="1:6" x14ac:dyDescent="0.3">
      <c r="A485" t="s">
        <v>35</v>
      </c>
      <c r="B485">
        <v>2019</v>
      </c>
      <c r="C485" t="s">
        <v>3</v>
      </c>
      <c r="D485" s="35">
        <v>670495812.3299998</v>
      </c>
      <c r="E485" s="35">
        <v>3600162</v>
      </c>
      <c r="F485" s="35">
        <v>602600956.40999997</v>
      </c>
    </row>
    <row r="486" spans="1:6" x14ac:dyDescent="0.3">
      <c r="A486" t="s">
        <v>35</v>
      </c>
      <c r="B486">
        <v>2019</v>
      </c>
      <c r="C486" t="s">
        <v>12</v>
      </c>
      <c r="D486" s="35">
        <v>479681463.20000011</v>
      </c>
      <c r="E486" s="35">
        <v>9313284</v>
      </c>
      <c r="F486" s="35">
        <v>292595905.23000002</v>
      </c>
    </row>
    <row r="487" spans="1:6" x14ac:dyDescent="0.3">
      <c r="A487" t="s">
        <v>35</v>
      </c>
      <c r="B487">
        <v>2019</v>
      </c>
      <c r="C487" t="s">
        <v>2</v>
      </c>
      <c r="D487" s="35">
        <v>1502211794.3900001</v>
      </c>
      <c r="E487" s="35">
        <v>15343317</v>
      </c>
      <c r="F487" s="35">
        <v>1218532732.7</v>
      </c>
    </row>
    <row r="488" spans="1:6" x14ac:dyDescent="0.3">
      <c r="A488" t="s">
        <v>35</v>
      </c>
      <c r="B488">
        <v>2019</v>
      </c>
      <c r="C488" t="s">
        <v>5</v>
      </c>
      <c r="D488" s="35">
        <v>674536685.87</v>
      </c>
      <c r="E488" s="35">
        <v>415272</v>
      </c>
      <c r="F488" s="35">
        <v>629618961.83000004</v>
      </c>
    </row>
    <row r="489" spans="1:6" x14ac:dyDescent="0.3">
      <c r="A489" t="s">
        <v>35</v>
      </c>
      <c r="B489">
        <v>2019</v>
      </c>
      <c r="C489" t="s">
        <v>17</v>
      </c>
      <c r="D489" s="35">
        <v>76246450.069999978</v>
      </c>
      <c r="E489" s="35">
        <v>1911634</v>
      </c>
      <c r="F489" s="35">
        <v>5720238.3399999999</v>
      </c>
    </row>
    <row r="490" spans="1:6" x14ac:dyDescent="0.3">
      <c r="A490" t="s">
        <v>35</v>
      </c>
      <c r="B490">
        <v>2019</v>
      </c>
      <c r="C490" t="s">
        <v>9</v>
      </c>
      <c r="D490" s="35">
        <v>266027794.55000001</v>
      </c>
      <c r="E490" s="35">
        <v>10948208</v>
      </c>
      <c r="F490" s="35">
        <v>137553679.91999999</v>
      </c>
    </row>
    <row r="491" spans="1:6" x14ac:dyDescent="0.3">
      <c r="A491" t="s">
        <v>35</v>
      </c>
      <c r="B491">
        <v>2019</v>
      </c>
      <c r="C491" t="s">
        <v>8</v>
      </c>
      <c r="D491" s="35">
        <v>302516660.62</v>
      </c>
      <c r="E491" s="35">
        <v>28653</v>
      </c>
      <c r="F491" s="35">
        <v>302407731.56999999</v>
      </c>
    </row>
    <row r="492" spans="1:6" x14ac:dyDescent="0.3">
      <c r="A492" t="s">
        <v>35</v>
      </c>
      <c r="B492">
        <v>2019</v>
      </c>
      <c r="C492" t="s">
        <v>6</v>
      </c>
      <c r="D492" s="35">
        <v>643062161.10000002</v>
      </c>
      <c r="E492" s="35">
        <v>11198915</v>
      </c>
      <c r="F492" s="35">
        <v>522945039.76999998</v>
      </c>
    </row>
    <row r="493" spans="1:6" x14ac:dyDescent="0.3">
      <c r="A493" t="s">
        <v>35</v>
      </c>
      <c r="B493">
        <v>2019</v>
      </c>
      <c r="C493" t="s">
        <v>15</v>
      </c>
      <c r="D493" s="35">
        <v>306591085.63999999</v>
      </c>
      <c r="E493" s="35">
        <v>6703781</v>
      </c>
      <c r="F493" s="35">
        <v>178887410.9000001</v>
      </c>
    </row>
    <row r="494" spans="1:6" x14ac:dyDescent="0.3">
      <c r="A494" t="s">
        <v>35</v>
      </c>
      <c r="B494">
        <v>2019</v>
      </c>
      <c r="C494" t="s">
        <v>18</v>
      </c>
      <c r="D494" s="35">
        <v>162283959.11000001</v>
      </c>
      <c r="E494" s="35">
        <v>1242491</v>
      </c>
      <c r="F494" s="35">
        <v>117142075.05</v>
      </c>
    </row>
    <row r="495" spans="1:6" x14ac:dyDescent="0.3">
      <c r="A495" t="s">
        <v>35</v>
      </c>
      <c r="B495">
        <v>2020</v>
      </c>
      <c r="C495" t="s">
        <v>10</v>
      </c>
      <c r="D495" s="35">
        <v>465084669.56999987</v>
      </c>
      <c r="E495" s="35">
        <v>16204262</v>
      </c>
      <c r="F495" s="35">
        <v>320236826.63999999</v>
      </c>
    </row>
    <row r="496" spans="1:6" x14ac:dyDescent="0.3">
      <c r="A496" t="s">
        <v>35</v>
      </c>
      <c r="B496">
        <v>2020</v>
      </c>
      <c r="C496" t="s">
        <v>4</v>
      </c>
      <c r="D496" s="35">
        <v>1075204864.99</v>
      </c>
      <c r="E496" s="35">
        <v>5522641</v>
      </c>
      <c r="F496" s="35">
        <v>1052932517.53</v>
      </c>
    </row>
    <row r="497" spans="1:6" x14ac:dyDescent="0.3">
      <c r="A497" t="s">
        <v>35</v>
      </c>
      <c r="B497">
        <v>2020</v>
      </c>
      <c r="C497" t="s">
        <v>13</v>
      </c>
      <c r="D497" s="35">
        <v>305316017.75000012</v>
      </c>
      <c r="E497" s="35">
        <v>4295973</v>
      </c>
      <c r="F497" s="35">
        <v>215874415.41</v>
      </c>
    </row>
    <row r="498" spans="1:6" x14ac:dyDescent="0.3">
      <c r="A498" t="s">
        <v>35</v>
      </c>
      <c r="B498">
        <v>2020</v>
      </c>
      <c r="C498" t="s">
        <v>16</v>
      </c>
      <c r="D498" s="35">
        <v>108318989.54000001</v>
      </c>
      <c r="E498" s="35">
        <v>658153</v>
      </c>
      <c r="F498" s="35">
        <v>86658535.969999984</v>
      </c>
    </row>
    <row r="499" spans="1:6" x14ac:dyDescent="0.3">
      <c r="A499" t="s">
        <v>35</v>
      </c>
      <c r="B499">
        <v>2020</v>
      </c>
      <c r="C499" t="s">
        <v>14</v>
      </c>
      <c r="D499" s="35">
        <v>198066253.62</v>
      </c>
      <c r="E499" s="35">
        <v>5926990</v>
      </c>
      <c r="F499" s="35">
        <v>104415702.75</v>
      </c>
    </row>
    <row r="500" spans="1:6" x14ac:dyDescent="0.3">
      <c r="A500" t="s">
        <v>35</v>
      </c>
      <c r="B500">
        <v>2020</v>
      </c>
      <c r="C500" t="s">
        <v>7</v>
      </c>
      <c r="D500" s="35">
        <v>773804825.6099999</v>
      </c>
      <c r="E500" s="35">
        <v>295038</v>
      </c>
      <c r="F500" s="35">
        <v>771862618.16999996</v>
      </c>
    </row>
    <row r="501" spans="1:6" x14ac:dyDescent="0.3">
      <c r="A501" t="s">
        <v>35</v>
      </c>
      <c r="B501">
        <v>2020</v>
      </c>
      <c r="C501" t="s">
        <v>11</v>
      </c>
      <c r="D501" s="35">
        <v>673198294.83000016</v>
      </c>
      <c r="E501" s="35">
        <v>1815972</v>
      </c>
      <c r="F501" s="35">
        <v>639719246.10000014</v>
      </c>
    </row>
    <row r="502" spans="1:6" x14ac:dyDescent="0.3">
      <c r="A502" t="s">
        <v>35</v>
      </c>
      <c r="B502">
        <v>2020</v>
      </c>
      <c r="C502" t="s">
        <v>3</v>
      </c>
      <c r="D502" s="35">
        <v>825859931.02999997</v>
      </c>
      <c r="E502" s="35">
        <v>3226055</v>
      </c>
      <c r="F502" s="35">
        <v>754042044.37000012</v>
      </c>
    </row>
    <row r="503" spans="1:6" x14ac:dyDescent="0.3">
      <c r="A503" t="s">
        <v>35</v>
      </c>
      <c r="B503">
        <v>2020</v>
      </c>
      <c r="C503" t="s">
        <v>12</v>
      </c>
      <c r="D503" s="35">
        <v>376903272.99000001</v>
      </c>
      <c r="E503" s="35">
        <v>7810731</v>
      </c>
      <c r="F503" s="35">
        <v>217454181.53999999</v>
      </c>
    </row>
    <row r="504" spans="1:6" x14ac:dyDescent="0.3">
      <c r="A504" t="s">
        <v>35</v>
      </c>
      <c r="B504">
        <v>2020</v>
      </c>
      <c r="C504" t="s">
        <v>2</v>
      </c>
      <c r="D504" s="35">
        <v>1355955096.9400001</v>
      </c>
      <c r="E504" s="35">
        <v>15423453</v>
      </c>
      <c r="F504" s="35">
        <v>1083431301.5699999</v>
      </c>
    </row>
    <row r="505" spans="1:6" x14ac:dyDescent="0.3">
      <c r="A505" t="s">
        <v>35</v>
      </c>
      <c r="B505">
        <v>2020</v>
      </c>
      <c r="C505" t="s">
        <v>5</v>
      </c>
      <c r="D505" s="35">
        <v>780434372.67000008</v>
      </c>
      <c r="E505" s="35">
        <v>435566</v>
      </c>
      <c r="F505" s="35">
        <v>735584631.38999999</v>
      </c>
    </row>
    <row r="506" spans="1:6" x14ac:dyDescent="0.3">
      <c r="A506" t="s">
        <v>35</v>
      </c>
      <c r="B506">
        <v>2020</v>
      </c>
      <c r="C506" t="s">
        <v>17</v>
      </c>
      <c r="D506" s="35">
        <v>90673428.920000002</v>
      </c>
      <c r="E506" s="35">
        <v>1864828</v>
      </c>
      <c r="F506" s="35">
        <v>7988410.3300000001</v>
      </c>
    </row>
    <row r="507" spans="1:6" x14ac:dyDescent="0.3">
      <c r="A507" t="s">
        <v>35</v>
      </c>
      <c r="B507">
        <v>2020</v>
      </c>
      <c r="C507" t="s">
        <v>9</v>
      </c>
      <c r="D507" s="35">
        <v>278657592.26999998</v>
      </c>
      <c r="E507" s="35">
        <v>9739372</v>
      </c>
      <c r="F507" s="35">
        <v>159989740.72999999</v>
      </c>
    </row>
    <row r="508" spans="1:6" x14ac:dyDescent="0.3">
      <c r="A508" t="s">
        <v>35</v>
      </c>
      <c r="B508">
        <v>2020</v>
      </c>
      <c r="C508" t="s">
        <v>8</v>
      </c>
      <c r="D508" s="35">
        <v>357250823.35000002</v>
      </c>
      <c r="E508" s="35">
        <v>30909</v>
      </c>
      <c r="F508" s="35">
        <v>357213057.99999988</v>
      </c>
    </row>
    <row r="509" spans="1:6" x14ac:dyDescent="0.3">
      <c r="A509" t="s">
        <v>35</v>
      </c>
      <c r="B509">
        <v>2020</v>
      </c>
      <c r="C509" t="s">
        <v>6</v>
      </c>
      <c r="D509" s="35">
        <v>621340207.78999996</v>
      </c>
      <c r="E509" s="35">
        <v>10862257</v>
      </c>
      <c r="F509" s="35">
        <v>493573693.56999987</v>
      </c>
    </row>
    <row r="510" spans="1:6" x14ac:dyDescent="0.3">
      <c r="A510" t="s">
        <v>35</v>
      </c>
      <c r="B510">
        <v>2020</v>
      </c>
      <c r="C510" t="s">
        <v>15</v>
      </c>
      <c r="D510" s="35">
        <v>240568488.97</v>
      </c>
      <c r="E510" s="35">
        <v>5218346</v>
      </c>
      <c r="F510" s="35">
        <v>131334470.59</v>
      </c>
    </row>
    <row r="511" spans="1:6" x14ac:dyDescent="0.3">
      <c r="A511" t="s">
        <v>35</v>
      </c>
      <c r="B511">
        <v>2020</v>
      </c>
      <c r="C511" t="s">
        <v>18</v>
      </c>
      <c r="D511" s="35">
        <v>182555764.27000001</v>
      </c>
      <c r="E511" s="35">
        <v>1309182</v>
      </c>
      <c r="F511" s="35">
        <v>136669114.68000001</v>
      </c>
    </row>
    <row r="512" spans="1:6" x14ac:dyDescent="0.3">
      <c r="A512" t="s">
        <v>35</v>
      </c>
      <c r="B512">
        <v>2021</v>
      </c>
      <c r="C512" t="s">
        <v>10</v>
      </c>
      <c r="D512" s="35">
        <v>513834161.60000008</v>
      </c>
      <c r="E512" s="35">
        <v>16413711</v>
      </c>
      <c r="F512" s="35">
        <v>365574139.52999997</v>
      </c>
    </row>
    <row r="513" spans="1:6" x14ac:dyDescent="0.3">
      <c r="A513" t="s">
        <v>35</v>
      </c>
      <c r="B513">
        <v>2021</v>
      </c>
      <c r="C513" t="s">
        <v>4</v>
      </c>
      <c r="D513" s="35">
        <v>1234362383.5</v>
      </c>
      <c r="E513" s="35">
        <v>5738415</v>
      </c>
      <c r="F513" s="35">
        <v>1209058885.29</v>
      </c>
    </row>
    <row r="514" spans="1:6" x14ac:dyDescent="0.3">
      <c r="A514" t="s">
        <v>35</v>
      </c>
      <c r="B514">
        <v>2021</v>
      </c>
      <c r="C514" t="s">
        <v>13</v>
      </c>
      <c r="D514" s="35">
        <v>310828399.23000002</v>
      </c>
      <c r="E514" s="35">
        <v>4487525</v>
      </c>
      <c r="F514" s="35">
        <v>214986828.19999999</v>
      </c>
    </row>
    <row r="515" spans="1:6" x14ac:dyDescent="0.3">
      <c r="A515" t="s">
        <v>35</v>
      </c>
      <c r="B515">
        <v>2021</v>
      </c>
      <c r="C515" t="s">
        <v>16</v>
      </c>
      <c r="D515" s="35">
        <v>133711660.14</v>
      </c>
      <c r="E515" s="35">
        <v>739385</v>
      </c>
      <c r="F515" s="35">
        <v>109377031.17</v>
      </c>
    </row>
    <row r="516" spans="1:6" x14ac:dyDescent="0.3">
      <c r="A516" t="s">
        <v>35</v>
      </c>
      <c r="B516">
        <v>2021</v>
      </c>
      <c r="C516" t="s">
        <v>14</v>
      </c>
      <c r="D516" s="35">
        <v>222136557.63999999</v>
      </c>
      <c r="E516" s="35">
        <v>6088807</v>
      </c>
      <c r="F516" s="35">
        <v>114095314.38</v>
      </c>
    </row>
    <row r="517" spans="1:6" x14ac:dyDescent="0.3">
      <c r="A517" t="s">
        <v>35</v>
      </c>
      <c r="B517">
        <v>2021</v>
      </c>
      <c r="C517" t="s">
        <v>7</v>
      </c>
      <c r="D517" s="35">
        <v>852885407.7700001</v>
      </c>
      <c r="E517" s="35">
        <v>298533</v>
      </c>
      <c r="F517" s="35">
        <v>848151701.76999998</v>
      </c>
    </row>
    <row r="518" spans="1:6" x14ac:dyDescent="0.3">
      <c r="A518" t="s">
        <v>35</v>
      </c>
      <c r="B518">
        <v>2021</v>
      </c>
      <c r="C518" t="s">
        <v>11</v>
      </c>
      <c r="D518" s="35">
        <v>741038980.15999997</v>
      </c>
      <c r="E518" s="35">
        <v>2004361</v>
      </c>
      <c r="F518" s="35">
        <v>699536546.2700001</v>
      </c>
    </row>
    <row r="519" spans="1:6" x14ac:dyDescent="0.3">
      <c r="A519" t="s">
        <v>35</v>
      </c>
      <c r="B519">
        <v>2021</v>
      </c>
      <c r="C519" t="s">
        <v>3</v>
      </c>
      <c r="D519" s="35">
        <v>1028298149.87</v>
      </c>
      <c r="E519" s="35">
        <v>3338896</v>
      </c>
      <c r="F519" s="35">
        <v>953696892.96999979</v>
      </c>
    </row>
    <row r="520" spans="1:6" x14ac:dyDescent="0.3">
      <c r="A520" t="s">
        <v>35</v>
      </c>
      <c r="B520">
        <v>2021</v>
      </c>
      <c r="C520" t="s">
        <v>12</v>
      </c>
      <c r="D520" s="35">
        <v>336972139.22000003</v>
      </c>
      <c r="E520" s="35">
        <v>7670427</v>
      </c>
      <c r="F520" s="35">
        <v>190034716.66000009</v>
      </c>
    </row>
    <row r="521" spans="1:6" x14ac:dyDescent="0.3">
      <c r="A521" t="s">
        <v>35</v>
      </c>
      <c r="B521">
        <v>2021</v>
      </c>
      <c r="C521" t="s">
        <v>2</v>
      </c>
      <c r="D521" s="35">
        <v>1437465831.5899999</v>
      </c>
      <c r="E521" s="35">
        <v>15757746</v>
      </c>
      <c r="F521" s="35">
        <v>1144779292.3</v>
      </c>
    </row>
    <row r="522" spans="1:6" x14ac:dyDescent="0.3">
      <c r="A522" t="s">
        <v>35</v>
      </c>
      <c r="B522">
        <v>2021</v>
      </c>
      <c r="C522" t="s">
        <v>5</v>
      </c>
      <c r="D522" s="35">
        <v>851033502.86000001</v>
      </c>
      <c r="E522" s="35">
        <v>454083</v>
      </c>
      <c r="F522" s="35">
        <v>802118776.20000017</v>
      </c>
    </row>
    <row r="523" spans="1:6" x14ac:dyDescent="0.3">
      <c r="A523" t="s">
        <v>35</v>
      </c>
      <c r="B523">
        <v>2021</v>
      </c>
      <c r="C523" t="s">
        <v>17</v>
      </c>
      <c r="D523" s="35">
        <v>124168235.09999999</v>
      </c>
      <c r="E523" s="35">
        <v>1952121</v>
      </c>
      <c r="F523" s="35">
        <v>14513557.01</v>
      </c>
    </row>
    <row r="524" spans="1:6" x14ac:dyDescent="0.3">
      <c r="A524" t="s">
        <v>35</v>
      </c>
      <c r="B524">
        <v>2021</v>
      </c>
      <c r="C524" t="s">
        <v>9</v>
      </c>
      <c r="D524" s="35">
        <v>311417500.04000002</v>
      </c>
      <c r="E524" s="35">
        <v>9940783</v>
      </c>
      <c r="F524" s="35">
        <v>176433357.44999999</v>
      </c>
    </row>
    <row r="525" spans="1:6" x14ac:dyDescent="0.3">
      <c r="A525" t="s">
        <v>35</v>
      </c>
      <c r="B525">
        <v>2021</v>
      </c>
      <c r="C525" t="s">
        <v>8</v>
      </c>
      <c r="D525" s="35">
        <v>422006750.39999998</v>
      </c>
      <c r="E525" s="35">
        <v>25299</v>
      </c>
      <c r="F525" s="35">
        <v>420717343.08999997</v>
      </c>
    </row>
    <row r="526" spans="1:6" x14ac:dyDescent="0.3">
      <c r="A526" t="s">
        <v>35</v>
      </c>
      <c r="B526">
        <v>2021</v>
      </c>
      <c r="C526" t="s">
        <v>6</v>
      </c>
      <c r="D526" s="35">
        <v>613152254.07000005</v>
      </c>
      <c r="E526" s="35">
        <v>10359477</v>
      </c>
      <c r="F526" s="35">
        <v>463954389.8299998</v>
      </c>
    </row>
    <row r="527" spans="1:6" x14ac:dyDescent="0.3">
      <c r="A527" t="s">
        <v>35</v>
      </c>
      <c r="B527">
        <v>2021</v>
      </c>
      <c r="C527" t="s">
        <v>15</v>
      </c>
      <c r="D527" s="35">
        <v>222720873.49000001</v>
      </c>
      <c r="E527" s="35">
        <v>4813502</v>
      </c>
      <c r="F527" s="35">
        <v>111816030.31</v>
      </c>
    </row>
    <row r="528" spans="1:6" x14ac:dyDescent="0.3">
      <c r="A528" t="s">
        <v>35</v>
      </c>
      <c r="B528">
        <v>2021</v>
      </c>
      <c r="C528" t="s">
        <v>18</v>
      </c>
      <c r="D528" s="35">
        <v>175988560.75999999</v>
      </c>
      <c r="E528" s="35">
        <v>1203083</v>
      </c>
      <c r="F528" s="35">
        <v>135852999.34999999</v>
      </c>
    </row>
    <row r="529" spans="1:6" x14ac:dyDescent="0.3">
      <c r="A529" t="s">
        <v>35</v>
      </c>
      <c r="B529">
        <v>2022</v>
      </c>
      <c r="C529" t="s">
        <v>10</v>
      </c>
      <c r="D529" s="35">
        <v>657198726.1099999</v>
      </c>
      <c r="E529" s="35">
        <v>13218170</v>
      </c>
      <c r="F529" s="35">
        <v>441069635.31</v>
      </c>
    </row>
    <row r="530" spans="1:6" x14ac:dyDescent="0.3">
      <c r="A530" t="s">
        <v>35</v>
      </c>
      <c r="B530">
        <v>2022</v>
      </c>
      <c r="C530" t="s">
        <v>4</v>
      </c>
      <c r="D530" s="35">
        <v>1761429801.45</v>
      </c>
      <c r="E530" s="35">
        <v>5106935</v>
      </c>
      <c r="F530" s="35">
        <v>1718393420.6800001</v>
      </c>
    </row>
    <row r="531" spans="1:6" x14ac:dyDescent="0.3">
      <c r="A531" t="s">
        <v>35</v>
      </c>
      <c r="B531">
        <v>2022</v>
      </c>
      <c r="C531" t="s">
        <v>13</v>
      </c>
      <c r="D531" s="35">
        <v>359496162.70999998</v>
      </c>
      <c r="E531" s="35">
        <v>3849784</v>
      </c>
      <c r="F531" s="35">
        <v>259428969.16</v>
      </c>
    </row>
    <row r="532" spans="1:6" x14ac:dyDescent="0.3">
      <c r="A532" t="s">
        <v>35</v>
      </c>
      <c r="B532">
        <v>2022</v>
      </c>
      <c r="C532" t="s">
        <v>16</v>
      </c>
      <c r="D532" s="35">
        <v>165146373.41999999</v>
      </c>
      <c r="E532" s="35">
        <v>681684</v>
      </c>
      <c r="F532" s="35">
        <v>136729537.58000001</v>
      </c>
    </row>
    <row r="533" spans="1:6" x14ac:dyDescent="0.3">
      <c r="A533" t="s">
        <v>35</v>
      </c>
      <c r="B533">
        <v>2022</v>
      </c>
      <c r="C533" t="s">
        <v>14</v>
      </c>
      <c r="D533" s="35">
        <v>378680444.36000001</v>
      </c>
      <c r="E533" s="35">
        <v>5860802</v>
      </c>
      <c r="F533" s="35">
        <v>167191350.44999999</v>
      </c>
    </row>
    <row r="534" spans="1:6" x14ac:dyDescent="0.3">
      <c r="A534" t="s">
        <v>35</v>
      </c>
      <c r="B534">
        <v>2022</v>
      </c>
      <c r="C534" t="s">
        <v>7</v>
      </c>
      <c r="D534" s="35">
        <v>877112141.48999989</v>
      </c>
      <c r="E534" s="35">
        <v>292585</v>
      </c>
      <c r="F534" s="35">
        <v>874299217.82999992</v>
      </c>
    </row>
    <row r="535" spans="1:6" x14ac:dyDescent="0.3">
      <c r="A535" t="s">
        <v>35</v>
      </c>
      <c r="B535">
        <v>2022</v>
      </c>
      <c r="C535" t="s">
        <v>11</v>
      </c>
      <c r="D535" s="35">
        <v>728912008.35000002</v>
      </c>
      <c r="E535" s="35">
        <v>1923581</v>
      </c>
      <c r="F535" s="35">
        <v>706678357.16000021</v>
      </c>
    </row>
    <row r="536" spans="1:6" x14ac:dyDescent="0.3">
      <c r="A536" t="s">
        <v>35</v>
      </c>
      <c r="B536">
        <v>2022</v>
      </c>
      <c r="C536" t="s">
        <v>3</v>
      </c>
      <c r="D536" s="35">
        <v>1548752193.95</v>
      </c>
      <c r="E536" s="35">
        <v>3347275</v>
      </c>
      <c r="F536" s="35">
        <v>1428875124.6300001</v>
      </c>
    </row>
    <row r="537" spans="1:6" x14ac:dyDescent="0.3">
      <c r="A537" t="s">
        <v>35</v>
      </c>
      <c r="B537">
        <v>2022</v>
      </c>
      <c r="C537" t="s">
        <v>12</v>
      </c>
      <c r="D537" s="35">
        <v>485248967.63</v>
      </c>
      <c r="E537" s="35">
        <v>8103789</v>
      </c>
      <c r="F537" s="35">
        <v>274676314.81999999</v>
      </c>
    </row>
    <row r="538" spans="1:6" x14ac:dyDescent="0.3">
      <c r="A538" t="s">
        <v>35</v>
      </c>
      <c r="B538">
        <v>2022</v>
      </c>
      <c r="C538" t="s">
        <v>2</v>
      </c>
      <c r="D538" s="35">
        <v>1761425281.55</v>
      </c>
      <c r="E538" s="35">
        <v>14812293</v>
      </c>
      <c r="F538" s="35">
        <v>1436380916.9000001</v>
      </c>
    </row>
    <row r="539" spans="1:6" x14ac:dyDescent="0.3">
      <c r="A539" t="s">
        <v>35</v>
      </c>
      <c r="B539">
        <v>2022</v>
      </c>
      <c r="C539" t="s">
        <v>5</v>
      </c>
      <c r="D539" s="35">
        <v>969451546.96000004</v>
      </c>
      <c r="E539" s="35">
        <v>413274</v>
      </c>
      <c r="F539" s="35">
        <v>897198931.97000003</v>
      </c>
    </row>
    <row r="540" spans="1:6" x14ac:dyDescent="0.3">
      <c r="A540" t="s">
        <v>35</v>
      </c>
      <c r="B540">
        <v>2022</v>
      </c>
      <c r="C540" t="s">
        <v>17</v>
      </c>
      <c r="D540" s="35">
        <v>220659758.73999989</v>
      </c>
      <c r="E540" s="35">
        <v>1920573</v>
      </c>
      <c r="F540" s="35">
        <v>20726799.550000001</v>
      </c>
    </row>
    <row r="541" spans="1:6" x14ac:dyDescent="0.3">
      <c r="A541" t="s">
        <v>35</v>
      </c>
      <c r="B541">
        <v>2022</v>
      </c>
      <c r="C541" t="s">
        <v>9</v>
      </c>
      <c r="D541" s="35">
        <v>530670325.92000002</v>
      </c>
      <c r="E541" s="35">
        <v>10108551</v>
      </c>
      <c r="F541" s="35">
        <v>185089836.30000001</v>
      </c>
    </row>
    <row r="542" spans="1:6" x14ac:dyDescent="0.3">
      <c r="A542" t="s">
        <v>35</v>
      </c>
      <c r="B542">
        <v>2022</v>
      </c>
      <c r="C542" t="s">
        <v>8</v>
      </c>
      <c r="D542" s="35">
        <v>553864004.39999998</v>
      </c>
      <c r="E542" s="35">
        <v>24806</v>
      </c>
      <c r="F542" s="35">
        <v>551041314.03999996</v>
      </c>
    </row>
    <row r="543" spans="1:6" x14ac:dyDescent="0.3">
      <c r="A543" t="s">
        <v>35</v>
      </c>
      <c r="B543">
        <v>2022</v>
      </c>
      <c r="C543" t="s">
        <v>6</v>
      </c>
      <c r="D543" s="35">
        <v>789077730.94999993</v>
      </c>
      <c r="E543" s="35">
        <v>10050778</v>
      </c>
      <c r="F543" s="35">
        <v>577724747.14999998</v>
      </c>
    </row>
    <row r="544" spans="1:6" x14ac:dyDescent="0.3">
      <c r="A544" t="s">
        <v>35</v>
      </c>
      <c r="B544">
        <v>2022</v>
      </c>
      <c r="C544" t="s">
        <v>15</v>
      </c>
      <c r="D544" s="35">
        <v>243250537.91</v>
      </c>
      <c r="E544" s="35">
        <v>3681948</v>
      </c>
      <c r="F544" s="35">
        <v>132292007.98999999</v>
      </c>
    </row>
    <row r="545" spans="1:6" x14ac:dyDescent="0.3">
      <c r="A545" t="s">
        <v>35</v>
      </c>
      <c r="B545">
        <v>2022</v>
      </c>
      <c r="C545" t="s">
        <v>18</v>
      </c>
      <c r="D545" s="35">
        <v>124989043.14</v>
      </c>
      <c r="E545" s="35">
        <v>840625</v>
      </c>
      <c r="F545" s="35">
        <v>104065848.13</v>
      </c>
    </row>
    <row r="546" spans="1:6" x14ac:dyDescent="0.3">
      <c r="A546" t="s">
        <v>35</v>
      </c>
      <c r="B546">
        <v>2023</v>
      </c>
      <c r="C546" t="s">
        <v>10</v>
      </c>
      <c r="D546" s="35">
        <v>747811033.81000006</v>
      </c>
      <c r="E546" s="35">
        <v>13537344</v>
      </c>
      <c r="F546" s="35">
        <v>529497916.10000008</v>
      </c>
    </row>
    <row r="547" spans="1:6" x14ac:dyDescent="0.3">
      <c r="A547" t="s">
        <v>35</v>
      </c>
      <c r="B547">
        <v>2023</v>
      </c>
      <c r="C547" t="s">
        <v>4</v>
      </c>
      <c r="D547" s="35">
        <v>2705329299.8099999</v>
      </c>
      <c r="E547" s="35">
        <v>5659632</v>
      </c>
      <c r="F547" s="35">
        <v>2661811159.6500001</v>
      </c>
    </row>
    <row r="548" spans="1:6" x14ac:dyDescent="0.3">
      <c r="A548" t="s">
        <v>35</v>
      </c>
      <c r="B548">
        <v>2023</v>
      </c>
      <c r="C548" t="s">
        <v>13</v>
      </c>
      <c r="D548" s="35">
        <v>398668191.50999999</v>
      </c>
      <c r="E548" s="35">
        <v>4003731</v>
      </c>
      <c r="F548" s="35">
        <v>295719678.18999988</v>
      </c>
    </row>
    <row r="549" spans="1:6" x14ac:dyDescent="0.3">
      <c r="A549" t="s">
        <v>35</v>
      </c>
      <c r="B549">
        <v>2023</v>
      </c>
      <c r="C549" t="s">
        <v>16</v>
      </c>
      <c r="D549" s="35">
        <v>203703589.69</v>
      </c>
      <c r="E549" s="35">
        <v>764204</v>
      </c>
      <c r="F549" s="35">
        <v>176137250.80000001</v>
      </c>
    </row>
    <row r="550" spans="1:6" x14ac:dyDescent="0.3">
      <c r="A550" t="s">
        <v>35</v>
      </c>
      <c r="B550">
        <v>2023</v>
      </c>
      <c r="C550" t="s">
        <v>14</v>
      </c>
      <c r="D550" s="35">
        <v>450503189.37999988</v>
      </c>
      <c r="E550" s="35">
        <v>6389448</v>
      </c>
      <c r="F550" s="35">
        <v>203970552.09999999</v>
      </c>
    </row>
    <row r="551" spans="1:6" x14ac:dyDescent="0.3">
      <c r="A551" t="s">
        <v>35</v>
      </c>
      <c r="B551">
        <v>2023</v>
      </c>
      <c r="C551" t="s">
        <v>7</v>
      </c>
      <c r="D551" s="35">
        <v>994891376.28000009</v>
      </c>
      <c r="E551" s="35">
        <v>301497</v>
      </c>
      <c r="F551" s="35">
        <v>991624971.71000004</v>
      </c>
    </row>
    <row r="552" spans="1:6" x14ac:dyDescent="0.3">
      <c r="A552" t="s">
        <v>35</v>
      </c>
      <c r="B552">
        <v>2023</v>
      </c>
      <c r="C552" t="s">
        <v>11</v>
      </c>
      <c r="D552" s="35">
        <v>831246895.75</v>
      </c>
      <c r="E552" s="35">
        <v>2081526</v>
      </c>
      <c r="F552" s="35">
        <v>786063084.20000005</v>
      </c>
    </row>
    <row r="553" spans="1:6" x14ac:dyDescent="0.3">
      <c r="A553" t="s">
        <v>35</v>
      </c>
      <c r="B553">
        <v>2023</v>
      </c>
      <c r="C553" t="s">
        <v>3</v>
      </c>
      <c r="D553" s="35">
        <v>2014997412.74</v>
      </c>
      <c r="E553" s="35">
        <v>3716172</v>
      </c>
      <c r="F553" s="35">
        <v>1907470211.1400001</v>
      </c>
    </row>
    <row r="554" spans="1:6" x14ac:dyDescent="0.3">
      <c r="A554" t="s">
        <v>35</v>
      </c>
      <c r="B554">
        <v>2023</v>
      </c>
      <c r="C554" t="s">
        <v>12</v>
      </c>
      <c r="D554" s="35">
        <v>512331134.11999983</v>
      </c>
      <c r="E554" s="35">
        <v>9271646</v>
      </c>
      <c r="F554" s="35">
        <v>275046781.94999999</v>
      </c>
    </row>
    <row r="555" spans="1:6" x14ac:dyDescent="0.3">
      <c r="A555" t="s">
        <v>35</v>
      </c>
      <c r="B555">
        <v>2023</v>
      </c>
      <c r="C555" t="s">
        <v>2</v>
      </c>
      <c r="D555" s="35">
        <v>1988991389.73</v>
      </c>
      <c r="E555" s="35">
        <v>15847546</v>
      </c>
      <c r="F555" s="35">
        <v>1635928449.3699999</v>
      </c>
    </row>
    <row r="556" spans="1:6" x14ac:dyDescent="0.3">
      <c r="A556" t="s">
        <v>35</v>
      </c>
      <c r="B556">
        <v>2023</v>
      </c>
      <c r="C556" t="s">
        <v>5</v>
      </c>
      <c r="D556" s="35">
        <v>1152713739.7</v>
      </c>
      <c r="E556" s="35">
        <v>483594</v>
      </c>
      <c r="F556" s="35">
        <v>1079837583.1700001</v>
      </c>
    </row>
    <row r="557" spans="1:6" x14ac:dyDescent="0.3">
      <c r="A557" t="s">
        <v>35</v>
      </c>
      <c r="B557">
        <v>2023</v>
      </c>
      <c r="C557" t="s">
        <v>17</v>
      </c>
      <c r="D557" s="35">
        <v>375257191.06999987</v>
      </c>
      <c r="E557" s="35">
        <v>2507797</v>
      </c>
      <c r="F557" s="35">
        <v>26485439.309999999</v>
      </c>
    </row>
    <row r="558" spans="1:6" x14ac:dyDescent="0.3">
      <c r="A558" t="s">
        <v>35</v>
      </c>
      <c r="B558">
        <v>2023</v>
      </c>
      <c r="C558" t="s">
        <v>9</v>
      </c>
      <c r="D558" s="35">
        <v>694995443.17999995</v>
      </c>
      <c r="E558" s="35">
        <v>11149001</v>
      </c>
      <c r="F558" s="35">
        <v>263507511.35000011</v>
      </c>
    </row>
    <row r="559" spans="1:6" x14ac:dyDescent="0.3">
      <c r="A559" t="s">
        <v>35</v>
      </c>
      <c r="B559">
        <v>2023</v>
      </c>
      <c r="C559" t="s">
        <v>8</v>
      </c>
      <c r="D559" s="35">
        <v>658909188.13999999</v>
      </c>
      <c r="E559" s="35">
        <v>27361</v>
      </c>
      <c r="F559" s="35">
        <v>654277745.95000005</v>
      </c>
    </row>
    <row r="560" spans="1:6" x14ac:dyDescent="0.3">
      <c r="A560" t="s">
        <v>35</v>
      </c>
      <c r="B560">
        <v>2023</v>
      </c>
      <c r="C560" t="s">
        <v>6</v>
      </c>
      <c r="D560" s="35">
        <v>851382824.90999997</v>
      </c>
      <c r="E560" s="35">
        <v>11083203</v>
      </c>
      <c r="F560" s="35">
        <v>631260964.03999984</v>
      </c>
    </row>
    <row r="561" spans="1:6" x14ac:dyDescent="0.3">
      <c r="A561" t="s">
        <v>35</v>
      </c>
      <c r="B561">
        <v>2023</v>
      </c>
      <c r="C561" t="s">
        <v>15</v>
      </c>
      <c r="D561" s="35">
        <v>268533714.61000001</v>
      </c>
      <c r="E561" s="35">
        <v>3333439</v>
      </c>
      <c r="F561" s="35">
        <v>147089759.46000001</v>
      </c>
    </row>
    <row r="562" spans="1:6" x14ac:dyDescent="0.3">
      <c r="A562" t="s">
        <v>35</v>
      </c>
      <c r="B562">
        <v>2023</v>
      </c>
      <c r="C562" t="s">
        <v>18</v>
      </c>
      <c r="D562" s="35">
        <v>124032954.97</v>
      </c>
      <c r="E562" s="35">
        <v>556265</v>
      </c>
      <c r="F562" s="35">
        <v>105978730.09</v>
      </c>
    </row>
    <row r="563" spans="1:6" x14ac:dyDescent="0.3">
      <c r="A563" t="s">
        <v>35</v>
      </c>
      <c r="B563">
        <v>2024</v>
      </c>
      <c r="C563" t="s">
        <v>10</v>
      </c>
      <c r="D563" s="35">
        <v>825777641.42999971</v>
      </c>
      <c r="E563" s="35">
        <v>12870040</v>
      </c>
      <c r="F563" s="35">
        <v>621120471.15999997</v>
      </c>
    </row>
    <row r="564" spans="1:6" x14ac:dyDescent="0.3">
      <c r="A564" t="s">
        <v>35</v>
      </c>
      <c r="B564">
        <v>2024</v>
      </c>
      <c r="C564" t="s">
        <v>4</v>
      </c>
      <c r="D564" s="35">
        <v>3484239834.21</v>
      </c>
      <c r="E564" s="35">
        <v>6190984</v>
      </c>
      <c r="F564" s="35">
        <v>3446549606.6199999</v>
      </c>
    </row>
    <row r="565" spans="1:6" x14ac:dyDescent="0.3">
      <c r="A565" t="s">
        <v>35</v>
      </c>
      <c r="B565">
        <v>2024</v>
      </c>
      <c r="C565" t="s">
        <v>13</v>
      </c>
      <c r="D565" s="35">
        <v>429410137.29000002</v>
      </c>
      <c r="E565" s="35">
        <v>3838699</v>
      </c>
      <c r="F565" s="35">
        <v>327618164.66000003</v>
      </c>
    </row>
    <row r="566" spans="1:6" x14ac:dyDescent="0.3">
      <c r="A566" t="s">
        <v>35</v>
      </c>
      <c r="B566">
        <v>2024</v>
      </c>
      <c r="C566" t="s">
        <v>16</v>
      </c>
      <c r="D566" s="35">
        <v>260049763.50999999</v>
      </c>
      <c r="E566" s="35">
        <v>846322</v>
      </c>
      <c r="F566" s="35">
        <v>232845346.66</v>
      </c>
    </row>
    <row r="567" spans="1:6" x14ac:dyDescent="0.3">
      <c r="A567" t="s">
        <v>35</v>
      </c>
      <c r="B567">
        <v>2024</v>
      </c>
      <c r="C567" t="s">
        <v>14</v>
      </c>
      <c r="D567" s="35">
        <v>403841856.18999988</v>
      </c>
      <c r="E567" s="35">
        <v>6395734</v>
      </c>
      <c r="F567" s="35">
        <v>226738952.25999999</v>
      </c>
    </row>
    <row r="568" spans="1:6" x14ac:dyDescent="0.3">
      <c r="A568" t="s">
        <v>35</v>
      </c>
      <c r="B568">
        <v>2024</v>
      </c>
      <c r="C568" t="s">
        <v>7</v>
      </c>
      <c r="D568" s="35">
        <v>1027971591.63</v>
      </c>
      <c r="E568" s="35">
        <v>293353</v>
      </c>
      <c r="F568" s="35">
        <v>1026265604.47</v>
      </c>
    </row>
    <row r="569" spans="1:6" x14ac:dyDescent="0.3">
      <c r="A569" t="s">
        <v>35</v>
      </c>
      <c r="B569">
        <v>2024</v>
      </c>
      <c r="C569" t="s">
        <v>11</v>
      </c>
      <c r="D569" s="35">
        <v>795401397.63000023</v>
      </c>
      <c r="E569" s="35">
        <v>1620524</v>
      </c>
      <c r="F569" s="35">
        <v>747646488.76999998</v>
      </c>
    </row>
    <row r="570" spans="1:6" x14ac:dyDescent="0.3">
      <c r="A570" t="s">
        <v>35</v>
      </c>
      <c r="B570">
        <v>2024</v>
      </c>
      <c r="C570" t="s">
        <v>3</v>
      </c>
      <c r="D570" s="35">
        <v>2344489252.4100008</v>
      </c>
      <c r="E570" s="35">
        <v>3675039</v>
      </c>
      <c r="F570" s="35">
        <v>2255231339.71</v>
      </c>
    </row>
    <row r="571" spans="1:6" x14ac:dyDescent="0.3">
      <c r="A571" t="s">
        <v>35</v>
      </c>
      <c r="B571">
        <v>2024</v>
      </c>
      <c r="C571" t="s">
        <v>12</v>
      </c>
      <c r="D571" s="35">
        <v>553257341.18999994</v>
      </c>
      <c r="E571" s="35">
        <v>9545714</v>
      </c>
      <c r="F571" s="35">
        <v>328028511.30000001</v>
      </c>
    </row>
    <row r="572" spans="1:6" x14ac:dyDescent="0.3">
      <c r="A572" t="s">
        <v>35</v>
      </c>
      <c r="B572">
        <v>2024</v>
      </c>
      <c r="C572" t="s">
        <v>2</v>
      </c>
      <c r="D572" s="35">
        <v>2150848660.54</v>
      </c>
      <c r="E572" s="35">
        <v>16137128</v>
      </c>
      <c r="F572" s="35">
        <v>1796223886.5699999</v>
      </c>
    </row>
    <row r="573" spans="1:6" x14ac:dyDescent="0.3">
      <c r="A573" t="s">
        <v>35</v>
      </c>
      <c r="B573">
        <v>2024</v>
      </c>
      <c r="C573" t="s">
        <v>5</v>
      </c>
      <c r="D573" s="35">
        <v>1170430706.3599999</v>
      </c>
      <c r="E573" s="35">
        <v>465228</v>
      </c>
      <c r="F573" s="35">
        <v>1117169750</v>
      </c>
    </row>
    <row r="574" spans="1:6" x14ac:dyDescent="0.3">
      <c r="A574" t="s">
        <v>35</v>
      </c>
      <c r="B574">
        <v>2024</v>
      </c>
      <c r="C574" t="s">
        <v>17</v>
      </c>
      <c r="D574" s="35">
        <v>254424268.08000001</v>
      </c>
      <c r="E574" s="35">
        <v>2132305</v>
      </c>
      <c r="F574" s="35">
        <v>19235191.739999998</v>
      </c>
    </row>
    <row r="575" spans="1:6" x14ac:dyDescent="0.3">
      <c r="A575" t="s">
        <v>35</v>
      </c>
      <c r="B575">
        <v>2024</v>
      </c>
      <c r="C575" t="s">
        <v>9</v>
      </c>
      <c r="D575" s="35">
        <v>554805389.73999989</v>
      </c>
      <c r="E575" s="35">
        <v>11537055</v>
      </c>
      <c r="F575" s="35">
        <v>285729988.48000008</v>
      </c>
    </row>
    <row r="576" spans="1:6" x14ac:dyDescent="0.3">
      <c r="A576" t="s">
        <v>35</v>
      </c>
      <c r="B576">
        <v>2024</v>
      </c>
      <c r="C576" t="s">
        <v>8</v>
      </c>
      <c r="D576" s="35">
        <v>740309379.88000011</v>
      </c>
      <c r="E576" s="35">
        <v>30804</v>
      </c>
      <c r="F576" s="35">
        <v>729052492.87000012</v>
      </c>
    </row>
    <row r="577" spans="1:6" x14ac:dyDescent="0.3">
      <c r="A577" t="s">
        <v>35</v>
      </c>
      <c r="B577">
        <v>2024</v>
      </c>
      <c r="C577" t="s">
        <v>6</v>
      </c>
      <c r="D577" s="35">
        <v>812435835.77999997</v>
      </c>
      <c r="E577" s="35">
        <v>11202138</v>
      </c>
      <c r="F577" s="35">
        <v>593938126.29000008</v>
      </c>
    </row>
    <row r="578" spans="1:6" x14ac:dyDescent="0.3">
      <c r="A578" t="s">
        <v>35</v>
      </c>
      <c r="B578">
        <v>2024</v>
      </c>
      <c r="C578" t="s">
        <v>15</v>
      </c>
      <c r="D578" s="35">
        <v>259124157.68000001</v>
      </c>
      <c r="E578" s="35">
        <v>2980509</v>
      </c>
      <c r="F578" s="35">
        <v>163984917.75</v>
      </c>
    </row>
    <row r="579" spans="1:6" x14ac:dyDescent="0.3">
      <c r="A579" t="s">
        <v>35</v>
      </c>
      <c r="B579">
        <v>2024</v>
      </c>
      <c r="C579" t="s">
        <v>18</v>
      </c>
      <c r="D579" s="35">
        <v>129043491.83</v>
      </c>
      <c r="E579" s="35">
        <v>515814</v>
      </c>
      <c r="F579" s="35">
        <v>107176799.06</v>
      </c>
    </row>
    <row r="580" spans="1:6" x14ac:dyDescent="0.3">
      <c r="A580" t="s">
        <v>35</v>
      </c>
      <c r="B580">
        <v>2025</v>
      </c>
      <c r="C580" t="s">
        <v>10</v>
      </c>
      <c r="D580" s="35">
        <v>916298851.65999973</v>
      </c>
      <c r="E580" s="35">
        <v>13021016</v>
      </c>
      <c r="F580" s="35">
        <v>711141400.72000003</v>
      </c>
    </row>
    <row r="581" spans="1:6" x14ac:dyDescent="0.3">
      <c r="A581" t="s">
        <v>35</v>
      </c>
      <c r="B581">
        <v>2025</v>
      </c>
      <c r="C581" t="s">
        <v>4</v>
      </c>
      <c r="D581" s="35">
        <v>4677342701.4300003</v>
      </c>
      <c r="E581" s="35">
        <v>7206286</v>
      </c>
      <c r="F581" s="35">
        <v>4642480504.5200005</v>
      </c>
    </row>
    <row r="582" spans="1:6" x14ac:dyDescent="0.3">
      <c r="A582" t="s">
        <v>35</v>
      </c>
      <c r="B582">
        <v>2025</v>
      </c>
      <c r="C582" t="s">
        <v>13</v>
      </c>
      <c r="D582" s="35">
        <v>439009894.68999988</v>
      </c>
      <c r="E582" s="35">
        <v>3782747</v>
      </c>
      <c r="F582" s="35">
        <v>344747399.60000002</v>
      </c>
    </row>
    <row r="583" spans="1:6" x14ac:dyDescent="0.3">
      <c r="A583" t="s">
        <v>35</v>
      </c>
      <c r="B583">
        <v>2025</v>
      </c>
      <c r="C583" t="s">
        <v>16</v>
      </c>
      <c r="D583" s="35">
        <v>274723834.30000001</v>
      </c>
      <c r="E583" s="35">
        <v>903509</v>
      </c>
      <c r="F583" s="35">
        <v>243334206.41999999</v>
      </c>
    </row>
    <row r="584" spans="1:6" x14ac:dyDescent="0.3">
      <c r="A584" t="s">
        <v>35</v>
      </c>
      <c r="B584">
        <v>2025</v>
      </c>
      <c r="C584" t="s">
        <v>14</v>
      </c>
      <c r="D584" s="35">
        <v>420375474.4199999</v>
      </c>
      <c r="E584" s="35">
        <v>5898702</v>
      </c>
      <c r="F584" s="35">
        <v>272341800.48999989</v>
      </c>
    </row>
    <row r="585" spans="1:6" x14ac:dyDescent="0.3">
      <c r="A585" t="s">
        <v>35</v>
      </c>
      <c r="B585">
        <v>2025</v>
      </c>
      <c r="C585" t="s">
        <v>7</v>
      </c>
      <c r="D585" s="35">
        <v>1066012209.65</v>
      </c>
      <c r="E585" s="35">
        <v>283597</v>
      </c>
      <c r="F585" s="35">
        <v>1064288995.16</v>
      </c>
    </row>
    <row r="586" spans="1:6" x14ac:dyDescent="0.3">
      <c r="A586" t="s">
        <v>35</v>
      </c>
      <c r="B586">
        <v>2025</v>
      </c>
      <c r="C586" t="s">
        <v>11</v>
      </c>
      <c r="D586" s="35">
        <v>804693835.96999979</v>
      </c>
      <c r="E586" s="35">
        <v>950538</v>
      </c>
      <c r="F586" s="35">
        <v>746915594.07999992</v>
      </c>
    </row>
    <row r="587" spans="1:6" x14ac:dyDescent="0.3">
      <c r="A587" t="s">
        <v>35</v>
      </c>
      <c r="B587">
        <v>2025</v>
      </c>
      <c r="C587" t="s">
        <v>3</v>
      </c>
      <c r="D587" s="35">
        <v>2715902660.5700002</v>
      </c>
      <c r="E587" s="35">
        <v>3542679</v>
      </c>
      <c r="F587" s="35">
        <v>2642262898.6700001</v>
      </c>
    </row>
    <row r="588" spans="1:6" x14ac:dyDescent="0.3">
      <c r="A588" t="s">
        <v>35</v>
      </c>
      <c r="B588">
        <v>2025</v>
      </c>
      <c r="C588" t="s">
        <v>12</v>
      </c>
      <c r="D588" s="35">
        <v>476901618.04000002</v>
      </c>
      <c r="E588" s="35">
        <v>9227266</v>
      </c>
      <c r="F588" s="35">
        <v>275530410.24000013</v>
      </c>
    </row>
    <row r="589" spans="1:6" x14ac:dyDescent="0.3">
      <c r="A589" t="s">
        <v>35</v>
      </c>
      <c r="B589">
        <v>2025</v>
      </c>
      <c r="C589" t="s">
        <v>2</v>
      </c>
      <c r="D589" s="35">
        <v>2419561020.4299998</v>
      </c>
      <c r="E589" s="35">
        <v>16607460</v>
      </c>
      <c r="F589" s="35">
        <v>2072125834.4400001</v>
      </c>
    </row>
    <row r="590" spans="1:6" x14ac:dyDescent="0.3">
      <c r="A590" t="s">
        <v>35</v>
      </c>
      <c r="B590">
        <v>2025</v>
      </c>
      <c r="C590" t="s">
        <v>5</v>
      </c>
      <c r="D590" s="35">
        <v>1275951085.1199999</v>
      </c>
      <c r="E590" s="35">
        <v>434355</v>
      </c>
      <c r="F590" s="35">
        <v>1216796648.829999</v>
      </c>
    </row>
    <row r="591" spans="1:6" x14ac:dyDescent="0.3">
      <c r="A591" t="s">
        <v>35</v>
      </c>
      <c r="B591">
        <v>2025</v>
      </c>
      <c r="C591" t="s">
        <v>17</v>
      </c>
      <c r="D591" s="35">
        <v>215557533.72999999</v>
      </c>
      <c r="E591" s="35">
        <v>1819453</v>
      </c>
      <c r="F591" s="35">
        <v>20648023.329999998</v>
      </c>
    </row>
    <row r="592" spans="1:6" x14ac:dyDescent="0.3">
      <c r="A592" t="s">
        <v>35</v>
      </c>
      <c r="B592">
        <v>2025</v>
      </c>
      <c r="C592" t="s">
        <v>9</v>
      </c>
      <c r="D592" s="35">
        <v>538625209.83999991</v>
      </c>
      <c r="E592" s="35">
        <v>11566809</v>
      </c>
      <c r="F592" s="35">
        <v>283354836.81</v>
      </c>
    </row>
    <row r="593" spans="1:6" x14ac:dyDescent="0.3">
      <c r="A593" t="s">
        <v>35</v>
      </c>
      <c r="B593">
        <v>2025</v>
      </c>
      <c r="C593" t="s">
        <v>8</v>
      </c>
      <c r="D593" s="35">
        <v>798109462.45999992</v>
      </c>
      <c r="E593" s="35">
        <v>31128</v>
      </c>
      <c r="F593" s="35">
        <v>779004102.55000007</v>
      </c>
    </row>
    <row r="594" spans="1:6" x14ac:dyDescent="0.3">
      <c r="A594" t="s">
        <v>35</v>
      </c>
      <c r="B594">
        <v>2025</v>
      </c>
      <c r="C594" t="s">
        <v>6</v>
      </c>
      <c r="D594" s="35">
        <v>800172399.9799999</v>
      </c>
      <c r="E594" s="35">
        <v>10756755</v>
      </c>
      <c r="F594" s="35">
        <v>611043515.9799999</v>
      </c>
    </row>
    <row r="595" spans="1:6" x14ac:dyDescent="0.3">
      <c r="A595" t="s">
        <v>35</v>
      </c>
      <c r="B595">
        <v>2025</v>
      </c>
      <c r="C595" t="s">
        <v>15</v>
      </c>
      <c r="D595" s="35">
        <v>300966854.06000012</v>
      </c>
      <c r="E595" s="35">
        <v>2712411</v>
      </c>
      <c r="F595" s="35">
        <v>213576079.56999999</v>
      </c>
    </row>
    <row r="596" spans="1:6" x14ac:dyDescent="0.3">
      <c r="A596" t="s">
        <v>35</v>
      </c>
      <c r="B596">
        <v>2025</v>
      </c>
      <c r="C596" t="s">
        <v>18</v>
      </c>
      <c r="D596" s="35">
        <v>132179041.2</v>
      </c>
      <c r="E596" s="35">
        <v>488082</v>
      </c>
      <c r="F596" s="35">
        <v>91184096.920000032</v>
      </c>
    </row>
    <row r="597" spans="1:6" x14ac:dyDescent="0.3">
      <c r="A597" t="s">
        <v>36</v>
      </c>
      <c r="B597">
        <v>2019</v>
      </c>
      <c r="C597" t="s">
        <v>10</v>
      </c>
      <c r="D597" s="35">
        <v>41692487.910000011</v>
      </c>
      <c r="E597" s="35">
        <v>817910</v>
      </c>
      <c r="F597" s="35">
        <v>30246802.140000001</v>
      </c>
    </row>
    <row r="598" spans="1:6" x14ac:dyDescent="0.3">
      <c r="A598" t="s">
        <v>36</v>
      </c>
      <c r="B598">
        <v>2019</v>
      </c>
      <c r="C598" t="s">
        <v>4</v>
      </c>
      <c r="D598" s="35">
        <v>102947198.19</v>
      </c>
      <c r="E598" s="35">
        <v>255604</v>
      </c>
      <c r="F598" s="35">
        <v>101427346.65000001</v>
      </c>
    </row>
    <row r="599" spans="1:6" x14ac:dyDescent="0.3">
      <c r="A599" t="s">
        <v>36</v>
      </c>
      <c r="B599">
        <v>2019</v>
      </c>
      <c r="C599" t="s">
        <v>13</v>
      </c>
      <c r="D599" s="35">
        <v>54030683.579999991</v>
      </c>
      <c r="E599" s="35">
        <v>411453</v>
      </c>
      <c r="F599" s="35">
        <v>43684024.419999987</v>
      </c>
    </row>
    <row r="600" spans="1:6" x14ac:dyDescent="0.3">
      <c r="A600" t="s">
        <v>36</v>
      </c>
      <c r="B600">
        <v>2019</v>
      </c>
      <c r="C600" t="s">
        <v>16</v>
      </c>
      <c r="D600" s="35">
        <v>15547661.02</v>
      </c>
      <c r="E600" s="35">
        <v>36670</v>
      </c>
      <c r="F600" s="35">
        <v>14685539.43</v>
      </c>
    </row>
    <row r="601" spans="1:6" x14ac:dyDescent="0.3">
      <c r="A601" t="s">
        <v>36</v>
      </c>
      <c r="B601">
        <v>2019</v>
      </c>
      <c r="C601" t="s">
        <v>14</v>
      </c>
      <c r="D601" s="35">
        <v>27939669.649999999</v>
      </c>
      <c r="E601" s="35">
        <v>419709</v>
      </c>
      <c r="F601" s="35">
        <v>21353067.100000001</v>
      </c>
    </row>
    <row r="602" spans="1:6" x14ac:dyDescent="0.3">
      <c r="A602" t="s">
        <v>36</v>
      </c>
      <c r="B602">
        <v>2019</v>
      </c>
      <c r="C602" t="s">
        <v>7</v>
      </c>
      <c r="D602" s="35">
        <v>42950929.609999999</v>
      </c>
      <c r="E602" s="35">
        <v>13328</v>
      </c>
      <c r="F602" s="35">
        <v>42907385.809999987</v>
      </c>
    </row>
    <row r="603" spans="1:6" x14ac:dyDescent="0.3">
      <c r="A603" t="s">
        <v>36</v>
      </c>
      <c r="B603">
        <v>2019</v>
      </c>
      <c r="C603" t="s">
        <v>11</v>
      </c>
      <c r="D603" s="35">
        <v>32462179.77</v>
      </c>
      <c r="E603" s="35">
        <v>42545</v>
      </c>
      <c r="F603" s="35">
        <v>31544460.670000002</v>
      </c>
    </row>
    <row r="604" spans="1:6" x14ac:dyDescent="0.3">
      <c r="A604" t="s">
        <v>36</v>
      </c>
      <c r="B604">
        <v>2019</v>
      </c>
      <c r="C604" t="s">
        <v>3</v>
      </c>
      <c r="D604" s="35">
        <v>125354612.73999999</v>
      </c>
      <c r="E604" s="35">
        <v>354097</v>
      </c>
      <c r="F604" s="35">
        <v>120881322.90000001</v>
      </c>
    </row>
    <row r="605" spans="1:6" x14ac:dyDescent="0.3">
      <c r="A605" t="s">
        <v>36</v>
      </c>
      <c r="B605">
        <v>2019</v>
      </c>
      <c r="C605" t="s">
        <v>12</v>
      </c>
      <c r="D605" s="35">
        <v>68463312.170000017</v>
      </c>
      <c r="E605" s="35">
        <v>786231</v>
      </c>
      <c r="F605" s="35">
        <v>48474843.030000001</v>
      </c>
    </row>
    <row r="606" spans="1:6" x14ac:dyDescent="0.3">
      <c r="A606" t="s">
        <v>36</v>
      </c>
      <c r="B606">
        <v>2019</v>
      </c>
      <c r="C606" t="s">
        <v>2</v>
      </c>
      <c r="D606" s="35">
        <v>231437433.00999999</v>
      </c>
      <c r="E606" s="35">
        <v>2074890</v>
      </c>
      <c r="F606" s="35">
        <v>194605121.22999999</v>
      </c>
    </row>
    <row r="607" spans="1:6" x14ac:dyDescent="0.3">
      <c r="A607" t="s">
        <v>36</v>
      </c>
      <c r="B607">
        <v>2019</v>
      </c>
      <c r="C607" t="s">
        <v>5</v>
      </c>
      <c r="D607" s="35">
        <v>42802319.329999998</v>
      </c>
      <c r="E607" s="35">
        <v>39690</v>
      </c>
      <c r="F607" s="35">
        <v>40238568.690000013</v>
      </c>
    </row>
    <row r="608" spans="1:6" x14ac:dyDescent="0.3">
      <c r="A608" t="s">
        <v>36</v>
      </c>
      <c r="B608">
        <v>2019</v>
      </c>
      <c r="C608" t="s">
        <v>17</v>
      </c>
      <c r="D608" s="35">
        <v>2517050.37</v>
      </c>
      <c r="E608" s="35">
        <v>107193</v>
      </c>
      <c r="F608" s="35">
        <v>254568.14</v>
      </c>
    </row>
    <row r="609" spans="1:6" x14ac:dyDescent="0.3">
      <c r="A609" t="s">
        <v>36</v>
      </c>
      <c r="B609">
        <v>2019</v>
      </c>
      <c r="C609" t="s">
        <v>9</v>
      </c>
      <c r="D609" s="35">
        <v>53837938.929999977</v>
      </c>
      <c r="E609" s="35">
        <v>984708</v>
      </c>
      <c r="F609" s="35">
        <v>31161116.920000002</v>
      </c>
    </row>
    <row r="610" spans="1:6" x14ac:dyDescent="0.3">
      <c r="A610" t="s">
        <v>36</v>
      </c>
      <c r="B610">
        <v>2019</v>
      </c>
      <c r="C610" t="s">
        <v>8</v>
      </c>
      <c r="D610" s="35">
        <v>50563569.51000002</v>
      </c>
      <c r="E610" s="35">
        <v>4437</v>
      </c>
      <c r="F610" s="35">
        <v>50563569.51000002</v>
      </c>
    </row>
    <row r="611" spans="1:6" x14ac:dyDescent="0.3">
      <c r="A611" t="s">
        <v>36</v>
      </c>
      <c r="B611">
        <v>2019</v>
      </c>
      <c r="C611" t="s">
        <v>6</v>
      </c>
      <c r="D611" s="35">
        <v>96895769.100000009</v>
      </c>
      <c r="E611" s="35">
        <v>892123</v>
      </c>
      <c r="F611" s="35">
        <v>88363159.899999991</v>
      </c>
    </row>
    <row r="612" spans="1:6" x14ac:dyDescent="0.3">
      <c r="A612" t="s">
        <v>36</v>
      </c>
      <c r="B612">
        <v>2019</v>
      </c>
      <c r="C612" t="s">
        <v>15</v>
      </c>
      <c r="D612" s="35">
        <v>34988983.020000003</v>
      </c>
      <c r="E612" s="35">
        <v>465232</v>
      </c>
      <c r="F612" s="35">
        <v>24404827.890000001</v>
      </c>
    </row>
    <row r="613" spans="1:6" x14ac:dyDescent="0.3">
      <c r="A613" t="s">
        <v>36</v>
      </c>
      <c r="B613">
        <v>2019</v>
      </c>
      <c r="C613" t="s">
        <v>18</v>
      </c>
      <c r="D613" s="35">
        <v>8381202.7600000007</v>
      </c>
      <c r="E613" s="35">
        <v>35702</v>
      </c>
      <c r="F613" s="35">
        <v>6175617.290000001</v>
      </c>
    </row>
    <row r="614" spans="1:6" x14ac:dyDescent="0.3">
      <c r="A614" t="s">
        <v>36</v>
      </c>
      <c r="B614">
        <v>2020</v>
      </c>
      <c r="C614" t="s">
        <v>10</v>
      </c>
      <c r="D614" s="35">
        <v>50059932.899999999</v>
      </c>
      <c r="E614" s="35">
        <v>859508</v>
      </c>
      <c r="F614" s="35">
        <v>37724831.68999999</v>
      </c>
    </row>
    <row r="615" spans="1:6" x14ac:dyDescent="0.3">
      <c r="A615" t="s">
        <v>36</v>
      </c>
      <c r="B615">
        <v>2020</v>
      </c>
      <c r="C615" t="s">
        <v>4</v>
      </c>
      <c r="D615" s="35">
        <v>118705607.45999999</v>
      </c>
      <c r="E615" s="35">
        <v>275326</v>
      </c>
      <c r="F615" s="35">
        <v>117176718.09999999</v>
      </c>
    </row>
    <row r="616" spans="1:6" x14ac:dyDescent="0.3">
      <c r="A616" t="s">
        <v>36</v>
      </c>
      <c r="B616">
        <v>2020</v>
      </c>
      <c r="C616" t="s">
        <v>13</v>
      </c>
      <c r="D616" s="35">
        <v>53646290.780000001</v>
      </c>
      <c r="E616" s="35">
        <v>410759</v>
      </c>
      <c r="F616" s="35">
        <v>42432246.169999987</v>
      </c>
    </row>
    <row r="617" spans="1:6" x14ac:dyDescent="0.3">
      <c r="A617" t="s">
        <v>36</v>
      </c>
      <c r="B617">
        <v>2020</v>
      </c>
      <c r="C617" t="s">
        <v>16</v>
      </c>
      <c r="D617" s="35">
        <v>11657484.279999999</v>
      </c>
      <c r="E617" s="35">
        <v>36561</v>
      </c>
      <c r="F617" s="35">
        <v>10471881.35</v>
      </c>
    </row>
    <row r="618" spans="1:6" x14ac:dyDescent="0.3">
      <c r="A618" t="s">
        <v>36</v>
      </c>
      <c r="B618">
        <v>2020</v>
      </c>
      <c r="C618" t="s">
        <v>14</v>
      </c>
      <c r="D618" s="35">
        <v>33116250.23</v>
      </c>
      <c r="E618" s="35">
        <v>463807</v>
      </c>
      <c r="F618" s="35">
        <v>24651883.68</v>
      </c>
    </row>
    <row r="619" spans="1:6" x14ac:dyDescent="0.3">
      <c r="A619" t="s">
        <v>36</v>
      </c>
      <c r="B619">
        <v>2020</v>
      </c>
      <c r="C619" t="s">
        <v>7</v>
      </c>
      <c r="D619" s="35">
        <v>50780277.189999998</v>
      </c>
      <c r="E619" s="35">
        <v>13502</v>
      </c>
      <c r="F619" s="35">
        <v>50588440.20000001</v>
      </c>
    </row>
    <row r="620" spans="1:6" x14ac:dyDescent="0.3">
      <c r="A620" t="s">
        <v>36</v>
      </c>
      <c r="B620">
        <v>2020</v>
      </c>
      <c r="C620" t="s">
        <v>11</v>
      </c>
      <c r="D620" s="35">
        <v>25328539.239999998</v>
      </c>
      <c r="E620" s="35">
        <v>52575</v>
      </c>
      <c r="F620" s="35">
        <v>24458826.830000009</v>
      </c>
    </row>
    <row r="621" spans="1:6" x14ac:dyDescent="0.3">
      <c r="A621" t="s">
        <v>36</v>
      </c>
      <c r="B621">
        <v>2020</v>
      </c>
      <c r="C621" t="s">
        <v>3</v>
      </c>
      <c r="D621" s="35">
        <v>154280463.40000001</v>
      </c>
      <c r="E621" s="35">
        <v>297537</v>
      </c>
      <c r="F621" s="35">
        <v>148412814.66999999</v>
      </c>
    </row>
    <row r="622" spans="1:6" x14ac:dyDescent="0.3">
      <c r="A622" t="s">
        <v>36</v>
      </c>
      <c r="B622">
        <v>2020</v>
      </c>
      <c r="C622" t="s">
        <v>12</v>
      </c>
      <c r="D622" s="35">
        <v>53362369.249999993</v>
      </c>
      <c r="E622" s="35">
        <v>692654</v>
      </c>
      <c r="F622" s="35">
        <v>38732538.210000001</v>
      </c>
    </row>
    <row r="623" spans="1:6" x14ac:dyDescent="0.3">
      <c r="A623" t="s">
        <v>36</v>
      </c>
      <c r="B623">
        <v>2020</v>
      </c>
      <c r="C623" t="s">
        <v>2</v>
      </c>
      <c r="D623" s="35">
        <v>240330404.87</v>
      </c>
      <c r="E623" s="35">
        <v>2188297</v>
      </c>
      <c r="F623" s="35">
        <v>201986399.19999999</v>
      </c>
    </row>
    <row r="624" spans="1:6" x14ac:dyDescent="0.3">
      <c r="A624" t="s">
        <v>36</v>
      </c>
      <c r="B624">
        <v>2020</v>
      </c>
      <c r="C624" t="s">
        <v>5</v>
      </c>
      <c r="D624" s="35">
        <v>46003961.450000003</v>
      </c>
      <c r="E624" s="35">
        <v>34926</v>
      </c>
      <c r="F624" s="35">
        <v>43984740.899999991</v>
      </c>
    </row>
    <row r="625" spans="1:6" x14ac:dyDescent="0.3">
      <c r="A625" t="s">
        <v>36</v>
      </c>
      <c r="B625">
        <v>2020</v>
      </c>
      <c r="C625" t="s">
        <v>17</v>
      </c>
      <c r="D625" s="35">
        <v>2626527.790000001</v>
      </c>
      <c r="E625" s="35">
        <v>78064</v>
      </c>
      <c r="F625" s="35">
        <v>932250.58000000007</v>
      </c>
    </row>
    <row r="626" spans="1:6" x14ac:dyDescent="0.3">
      <c r="A626" t="s">
        <v>36</v>
      </c>
      <c r="B626">
        <v>2020</v>
      </c>
      <c r="C626" t="s">
        <v>9</v>
      </c>
      <c r="D626" s="35">
        <v>59595103.699999988</v>
      </c>
      <c r="E626" s="35">
        <v>983049</v>
      </c>
      <c r="F626" s="35">
        <v>38659047.409999996</v>
      </c>
    </row>
    <row r="627" spans="1:6" x14ac:dyDescent="0.3">
      <c r="A627" t="s">
        <v>36</v>
      </c>
      <c r="B627">
        <v>2020</v>
      </c>
      <c r="C627" t="s">
        <v>8</v>
      </c>
      <c r="D627" s="35">
        <v>72002070.069999993</v>
      </c>
      <c r="E627" s="35">
        <v>5039</v>
      </c>
      <c r="F627" s="35">
        <v>72002070.069999993</v>
      </c>
    </row>
    <row r="628" spans="1:6" x14ac:dyDescent="0.3">
      <c r="A628" t="s">
        <v>36</v>
      </c>
      <c r="B628">
        <v>2020</v>
      </c>
      <c r="C628" t="s">
        <v>6</v>
      </c>
      <c r="D628" s="35">
        <v>106938218.77</v>
      </c>
      <c r="E628" s="35">
        <v>950426</v>
      </c>
      <c r="F628" s="35">
        <v>98246414.999999985</v>
      </c>
    </row>
    <row r="629" spans="1:6" x14ac:dyDescent="0.3">
      <c r="A629" t="s">
        <v>36</v>
      </c>
      <c r="B629">
        <v>2020</v>
      </c>
      <c r="C629" t="s">
        <v>15</v>
      </c>
      <c r="D629" s="35">
        <v>22800937.889999989</v>
      </c>
      <c r="E629" s="35">
        <v>320208</v>
      </c>
      <c r="F629" s="35">
        <v>11703377.91</v>
      </c>
    </row>
    <row r="630" spans="1:6" x14ac:dyDescent="0.3">
      <c r="A630" t="s">
        <v>36</v>
      </c>
      <c r="B630">
        <v>2020</v>
      </c>
      <c r="C630" t="s">
        <v>18</v>
      </c>
      <c r="D630" s="35">
        <v>6172535.9900000002</v>
      </c>
      <c r="E630" s="35">
        <v>37439</v>
      </c>
      <c r="F630" s="35">
        <v>5229975.3699999992</v>
      </c>
    </row>
    <row r="631" spans="1:6" x14ac:dyDescent="0.3">
      <c r="A631" t="s">
        <v>36</v>
      </c>
      <c r="B631">
        <v>2021</v>
      </c>
      <c r="C631" t="s">
        <v>10</v>
      </c>
      <c r="D631" s="35">
        <v>56389782.529999986</v>
      </c>
      <c r="E631" s="35">
        <v>936759</v>
      </c>
      <c r="F631" s="35">
        <v>43228624.649999991</v>
      </c>
    </row>
    <row r="632" spans="1:6" x14ac:dyDescent="0.3">
      <c r="A632" t="s">
        <v>36</v>
      </c>
      <c r="B632">
        <v>2021</v>
      </c>
      <c r="C632" t="s">
        <v>4</v>
      </c>
      <c r="D632" s="35">
        <v>144103334.03</v>
      </c>
      <c r="E632" s="35">
        <v>301203</v>
      </c>
      <c r="F632" s="35">
        <v>141962997.38</v>
      </c>
    </row>
    <row r="633" spans="1:6" x14ac:dyDescent="0.3">
      <c r="A633" t="s">
        <v>36</v>
      </c>
      <c r="B633">
        <v>2021</v>
      </c>
      <c r="C633" t="s">
        <v>13</v>
      </c>
      <c r="D633" s="35">
        <v>53462527.909999996</v>
      </c>
      <c r="E633" s="35">
        <v>426863</v>
      </c>
      <c r="F633" s="35">
        <v>41822395.359999999</v>
      </c>
    </row>
    <row r="634" spans="1:6" x14ac:dyDescent="0.3">
      <c r="A634" t="s">
        <v>36</v>
      </c>
      <c r="B634">
        <v>2021</v>
      </c>
      <c r="C634" t="s">
        <v>16</v>
      </c>
      <c r="D634" s="35">
        <v>14233238.109999999</v>
      </c>
      <c r="E634" s="35">
        <v>45219</v>
      </c>
      <c r="F634" s="35">
        <v>12900835.92</v>
      </c>
    </row>
    <row r="635" spans="1:6" x14ac:dyDescent="0.3">
      <c r="A635" t="s">
        <v>36</v>
      </c>
      <c r="B635">
        <v>2021</v>
      </c>
      <c r="C635" t="s">
        <v>14</v>
      </c>
      <c r="D635" s="35">
        <v>37084385.93</v>
      </c>
      <c r="E635" s="35">
        <v>527264</v>
      </c>
      <c r="F635" s="35">
        <v>28068559.050000001</v>
      </c>
    </row>
    <row r="636" spans="1:6" x14ac:dyDescent="0.3">
      <c r="A636" t="s">
        <v>36</v>
      </c>
      <c r="B636">
        <v>2021</v>
      </c>
      <c r="C636" t="s">
        <v>7</v>
      </c>
      <c r="D636" s="35">
        <v>58882077.090000004</v>
      </c>
      <c r="E636" s="35">
        <v>14767</v>
      </c>
      <c r="F636" s="35">
        <v>58541667.140000001</v>
      </c>
    </row>
    <row r="637" spans="1:6" x14ac:dyDescent="0.3">
      <c r="A637" t="s">
        <v>36</v>
      </c>
      <c r="B637">
        <v>2021</v>
      </c>
      <c r="C637" t="s">
        <v>11</v>
      </c>
      <c r="D637" s="35">
        <v>36463521.080000013</v>
      </c>
      <c r="E637" s="35">
        <v>55037</v>
      </c>
      <c r="F637" s="35">
        <v>35664636.969999999</v>
      </c>
    </row>
    <row r="638" spans="1:6" x14ac:dyDescent="0.3">
      <c r="A638" t="s">
        <v>36</v>
      </c>
      <c r="B638">
        <v>2021</v>
      </c>
      <c r="C638" t="s">
        <v>3</v>
      </c>
      <c r="D638" s="35">
        <v>198087020.75999999</v>
      </c>
      <c r="E638" s="35">
        <v>334343</v>
      </c>
      <c r="F638" s="35">
        <v>192456608.87</v>
      </c>
    </row>
    <row r="639" spans="1:6" x14ac:dyDescent="0.3">
      <c r="A639" t="s">
        <v>36</v>
      </c>
      <c r="B639">
        <v>2021</v>
      </c>
      <c r="C639" t="s">
        <v>12</v>
      </c>
      <c r="D639" s="35">
        <v>43388307.419999987</v>
      </c>
      <c r="E639" s="35">
        <v>725035</v>
      </c>
      <c r="F639" s="35">
        <v>30412168.289999999</v>
      </c>
    </row>
    <row r="640" spans="1:6" x14ac:dyDescent="0.3">
      <c r="A640" t="s">
        <v>36</v>
      </c>
      <c r="B640">
        <v>2021</v>
      </c>
      <c r="C640" t="s">
        <v>2</v>
      </c>
      <c r="D640" s="35">
        <v>274438426.83999997</v>
      </c>
      <c r="E640" s="35">
        <v>2414367</v>
      </c>
      <c r="F640" s="35">
        <v>232910573.08999991</v>
      </c>
    </row>
    <row r="641" spans="1:6" x14ac:dyDescent="0.3">
      <c r="A641" t="s">
        <v>36</v>
      </c>
      <c r="B641">
        <v>2021</v>
      </c>
      <c r="C641" t="s">
        <v>5</v>
      </c>
      <c r="D641" s="35">
        <v>59881300.450000003</v>
      </c>
      <c r="E641" s="35">
        <v>37704</v>
      </c>
      <c r="F641" s="35">
        <v>57606720.369999997</v>
      </c>
    </row>
    <row r="642" spans="1:6" x14ac:dyDescent="0.3">
      <c r="A642" t="s">
        <v>36</v>
      </c>
      <c r="B642">
        <v>2021</v>
      </c>
      <c r="C642" t="s">
        <v>17</v>
      </c>
      <c r="D642" s="35">
        <v>3346744.74</v>
      </c>
      <c r="E642" s="35">
        <v>88268</v>
      </c>
      <c r="F642" s="35">
        <v>1306357.42</v>
      </c>
    </row>
    <row r="643" spans="1:6" x14ac:dyDescent="0.3">
      <c r="A643" t="s">
        <v>36</v>
      </c>
      <c r="B643">
        <v>2021</v>
      </c>
      <c r="C643" t="s">
        <v>9</v>
      </c>
      <c r="D643" s="35">
        <v>72196420.859999999</v>
      </c>
      <c r="E643" s="35">
        <v>1036651</v>
      </c>
      <c r="F643" s="35">
        <v>53514498.749999993</v>
      </c>
    </row>
    <row r="644" spans="1:6" x14ac:dyDescent="0.3">
      <c r="A644" t="s">
        <v>36</v>
      </c>
      <c r="B644">
        <v>2021</v>
      </c>
      <c r="C644" t="s">
        <v>8</v>
      </c>
      <c r="D644" s="35">
        <v>77008148.859999999</v>
      </c>
      <c r="E644" s="35">
        <v>5016</v>
      </c>
      <c r="F644" s="35">
        <v>76151494.530000001</v>
      </c>
    </row>
    <row r="645" spans="1:6" x14ac:dyDescent="0.3">
      <c r="A645" t="s">
        <v>36</v>
      </c>
      <c r="B645">
        <v>2021</v>
      </c>
      <c r="C645" t="s">
        <v>6</v>
      </c>
      <c r="D645" s="35">
        <v>118981657.59</v>
      </c>
      <c r="E645" s="35">
        <v>1007385</v>
      </c>
      <c r="F645" s="35">
        <v>109033323.56999999</v>
      </c>
    </row>
    <row r="646" spans="1:6" x14ac:dyDescent="0.3">
      <c r="A646" t="s">
        <v>36</v>
      </c>
      <c r="B646">
        <v>2021</v>
      </c>
      <c r="C646" t="s">
        <v>15</v>
      </c>
      <c r="D646" s="35">
        <v>22654213.29000001</v>
      </c>
      <c r="E646" s="35">
        <v>340215</v>
      </c>
      <c r="F646" s="35">
        <v>12967059.550000001</v>
      </c>
    </row>
    <row r="647" spans="1:6" x14ac:dyDescent="0.3">
      <c r="A647" t="s">
        <v>36</v>
      </c>
      <c r="B647">
        <v>2021</v>
      </c>
      <c r="C647" t="s">
        <v>18</v>
      </c>
      <c r="D647" s="35">
        <v>5345970.7</v>
      </c>
      <c r="E647" s="35">
        <v>32988</v>
      </c>
      <c r="F647" s="35">
        <v>4274660.6500000004</v>
      </c>
    </row>
    <row r="648" spans="1:6" x14ac:dyDescent="0.3">
      <c r="A648" t="s">
        <v>36</v>
      </c>
      <c r="B648">
        <v>2022</v>
      </c>
      <c r="C648" t="s">
        <v>10</v>
      </c>
      <c r="D648" s="35">
        <v>61302771.280000001</v>
      </c>
      <c r="E648" s="35">
        <v>984023</v>
      </c>
      <c r="F648" s="35">
        <v>47619590.079999991</v>
      </c>
    </row>
    <row r="649" spans="1:6" x14ac:dyDescent="0.3">
      <c r="A649" t="s">
        <v>36</v>
      </c>
      <c r="B649">
        <v>2022</v>
      </c>
      <c r="C649" t="s">
        <v>4</v>
      </c>
      <c r="D649" s="35">
        <v>169749102.33000001</v>
      </c>
      <c r="E649" s="35">
        <v>320430</v>
      </c>
      <c r="F649" s="35">
        <v>167544322.43000001</v>
      </c>
    </row>
    <row r="650" spans="1:6" x14ac:dyDescent="0.3">
      <c r="A650" t="s">
        <v>36</v>
      </c>
      <c r="B650">
        <v>2022</v>
      </c>
      <c r="C650" t="s">
        <v>13</v>
      </c>
      <c r="D650" s="35">
        <v>50589507.49000001</v>
      </c>
      <c r="E650" s="35">
        <v>425035</v>
      </c>
      <c r="F650" s="35">
        <v>40049177.830000013</v>
      </c>
    </row>
    <row r="651" spans="1:6" x14ac:dyDescent="0.3">
      <c r="A651" t="s">
        <v>36</v>
      </c>
      <c r="B651">
        <v>2022</v>
      </c>
      <c r="C651" t="s">
        <v>16</v>
      </c>
      <c r="D651" s="35">
        <v>17670367.98</v>
      </c>
      <c r="E651" s="35">
        <v>48468</v>
      </c>
      <c r="F651" s="35">
        <v>16505876.09</v>
      </c>
    </row>
    <row r="652" spans="1:6" x14ac:dyDescent="0.3">
      <c r="A652" t="s">
        <v>36</v>
      </c>
      <c r="B652">
        <v>2022</v>
      </c>
      <c r="C652" t="s">
        <v>14</v>
      </c>
      <c r="D652" s="35">
        <v>38957997.839999989</v>
      </c>
      <c r="E652" s="35">
        <v>552855</v>
      </c>
      <c r="F652" s="35">
        <v>30308643.629999999</v>
      </c>
    </row>
    <row r="653" spans="1:6" x14ac:dyDescent="0.3">
      <c r="A653" t="s">
        <v>36</v>
      </c>
      <c r="B653">
        <v>2022</v>
      </c>
      <c r="C653" t="s">
        <v>7</v>
      </c>
      <c r="D653" s="35">
        <v>62704712.090000004</v>
      </c>
      <c r="E653" s="35">
        <v>15205</v>
      </c>
      <c r="F653" s="35">
        <v>62627789.330000013</v>
      </c>
    </row>
    <row r="654" spans="1:6" x14ac:dyDescent="0.3">
      <c r="A654" t="s">
        <v>36</v>
      </c>
      <c r="B654">
        <v>2022</v>
      </c>
      <c r="C654" t="s">
        <v>11</v>
      </c>
      <c r="D654" s="35">
        <v>46907933.729999989</v>
      </c>
      <c r="E654" s="35">
        <v>44290</v>
      </c>
      <c r="F654" s="35">
        <v>45473676.789999992</v>
      </c>
    </row>
    <row r="655" spans="1:6" x14ac:dyDescent="0.3">
      <c r="A655" t="s">
        <v>36</v>
      </c>
      <c r="B655">
        <v>2022</v>
      </c>
      <c r="C655" t="s">
        <v>3</v>
      </c>
      <c r="D655" s="35">
        <v>237745483.90000001</v>
      </c>
      <c r="E655" s="35">
        <v>369988</v>
      </c>
      <c r="F655" s="35">
        <v>233145889.94</v>
      </c>
    </row>
    <row r="656" spans="1:6" x14ac:dyDescent="0.3">
      <c r="A656" t="s">
        <v>36</v>
      </c>
      <c r="B656">
        <v>2022</v>
      </c>
      <c r="C656" t="s">
        <v>12</v>
      </c>
      <c r="D656" s="35">
        <v>40507014.679999992</v>
      </c>
      <c r="E656" s="35">
        <v>861963</v>
      </c>
      <c r="F656" s="35">
        <v>25924588.719999999</v>
      </c>
    </row>
    <row r="657" spans="1:6" x14ac:dyDescent="0.3">
      <c r="A657" t="s">
        <v>36</v>
      </c>
      <c r="B657">
        <v>2022</v>
      </c>
      <c r="C657" t="s">
        <v>2</v>
      </c>
      <c r="D657" s="35">
        <v>306356279.30999988</v>
      </c>
      <c r="E657" s="35">
        <v>2521080</v>
      </c>
      <c r="F657" s="35">
        <v>264926088.22</v>
      </c>
    </row>
    <row r="658" spans="1:6" x14ac:dyDescent="0.3">
      <c r="A658" t="s">
        <v>36</v>
      </c>
      <c r="B658">
        <v>2022</v>
      </c>
      <c r="C658" t="s">
        <v>5</v>
      </c>
      <c r="D658" s="35">
        <v>62289111.54999999</v>
      </c>
      <c r="E658" s="35">
        <v>38423</v>
      </c>
      <c r="F658" s="35">
        <v>60723943.579999991</v>
      </c>
    </row>
    <row r="659" spans="1:6" x14ac:dyDescent="0.3">
      <c r="A659" t="s">
        <v>36</v>
      </c>
      <c r="B659">
        <v>2022</v>
      </c>
      <c r="C659" t="s">
        <v>17</v>
      </c>
      <c r="D659" s="35">
        <v>2824465.9299999988</v>
      </c>
      <c r="E659" s="35">
        <v>87996</v>
      </c>
      <c r="F659" s="35">
        <v>1281676.27</v>
      </c>
    </row>
    <row r="660" spans="1:6" x14ac:dyDescent="0.3">
      <c r="A660" t="s">
        <v>36</v>
      </c>
      <c r="B660">
        <v>2022</v>
      </c>
      <c r="C660" t="s">
        <v>9</v>
      </c>
      <c r="D660" s="35">
        <v>92747959.040000007</v>
      </c>
      <c r="E660" s="35">
        <v>1030263</v>
      </c>
      <c r="F660" s="35">
        <v>74424396.87000002</v>
      </c>
    </row>
    <row r="661" spans="1:6" x14ac:dyDescent="0.3">
      <c r="A661" t="s">
        <v>36</v>
      </c>
      <c r="B661">
        <v>2022</v>
      </c>
      <c r="C661" t="s">
        <v>8</v>
      </c>
      <c r="D661" s="35">
        <v>87406778.279999986</v>
      </c>
      <c r="E661" s="35">
        <v>4971</v>
      </c>
      <c r="F661" s="35">
        <v>86469288.219999984</v>
      </c>
    </row>
    <row r="662" spans="1:6" x14ac:dyDescent="0.3">
      <c r="A662" t="s">
        <v>36</v>
      </c>
      <c r="B662">
        <v>2022</v>
      </c>
      <c r="C662" t="s">
        <v>6</v>
      </c>
      <c r="D662" s="35">
        <v>129102732.62</v>
      </c>
      <c r="E662" s="35">
        <v>1085764</v>
      </c>
      <c r="F662" s="35">
        <v>118217649.43000001</v>
      </c>
    </row>
    <row r="663" spans="1:6" x14ac:dyDescent="0.3">
      <c r="A663" t="s">
        <v>36</v>
      </c>
      <c r="B663">
        <v>2022</v>
      </c>
      <c r="C663" t="s">
        <v>15</v>
      </c>
      <c r="D663" s="35">
        <v>22482665.190000001</v>
      </c>
      <c r="E663" s="35">
        <v>309280</v>
      </c>
      <c r="F663" s="35">
        <v>13852154.83</v>
      </c>
    </row>
    <row r="664" spans="1:6" x14ac:dyDescent="0.3">
      <c r="A664" t="s">
        <v>36</v>
      </c>
      <c r="B664">
        <v>2022</v>
      </c>
      <c r="C664" t="s">
        <v>18</v>
      </c>
      <c r="D664" s="35">
        <v>6303572.3000000007</v>
      </c>
      <c r="E664" s="35">
        <v>33727</v>
      </c>
      <c r="F664" s="35">
        <v>5153666.9000000004</v>
      </c>
    </row>
    <row r="665" spans="1:6" x14ac:dyDescent="0.3">
      <c r="A665" t="s">
        <v>36</v>
      </c>
      <c r="B665">
        <v>2023</v>
      </c>
      <c r="C665" t="s">
        <v>10</v>
      </c>
      <c r="D665" s="35">
        <v>65276083.250000007</v>
      </c>
      <c r="E665" s="35">
        <v>1003829</v>
      </c>
      <c r="F665" s="35">
        <v>51096831.720000014</v>
      </c>
    </row>
    <row r="666" spans="1:6" x14ac:dyDescent="0.3">
      <c r="A666" t="s">
        <v>36</v>
      </c>
      <c r="B666">
        <v>2023</v>
      </c>
      <c r="C666" t="s">
        <v>4</v>
      </c>
      <c r="D666" s="35">
        <v>206888412.16</v>
      </c>
      <c r="E666" s="35">
        <v>344922</v>
      </c>
      <c r="F666" s="35">
        <v>204730085</v>
      </c>
    </row>
    <row r="667" spans="1:6" x14ac:dyDescent="0.3">
      <c r="A667" t="s">
        <v>36</v>
      </c>
      <c r="B667">
        <v>2023</v>
      </c>
      <c r="C667" t="s">
        <v>13</v>
      </c>
      <c r="D667" s="35">
        <v>45630872.909999996</v>
      </c>
      <c r="E667" s="35">
        <v>435749</v>
      </c>
      <c r="F667" s="35">
        <v>34975375.719999999</v>
      </c>
    </row>
    <row r="668" spans="1:6" x14ac:dyDescent="0.3">
      <c r="A668" t="s">
        <v>36</v>
      </c>
      <c r="B668">
        <v>2023</v>
      </c>
      <c r="C668" t="s">
        <v>16</v>
      </c>
      <c r="D668" s="35">
        <v>21520601.649999991</v>
      </c>
      <c r="E668" s="35">
        <v>51553</v>
      </c>
      <c r="F668" s="35">
        <v>20643315.420000002</v>
      </c>
    </row>
    <row r="669" spans="1:6" x14ac:dyDescent="0.3">
      <c r="A669" t="s">
        <v>36</v>
      </c>
      <c r="B669">
        <v>2023</v>
      </c>
      <c r="C669" t="s">
        <v>14</v>
      </c>
      <c r="D669" s="35">
        <v>43387830.079999998</v>
      </c>
      <c r="E669" s="35">
        <v>562123</v>
      </c>
      <c r="F669" s="35">
        <v>34670643.25</v>
      </c>
    </row>
    <row r="670" spans="1:6" x14ac:dyDescent="0.3">
      <c r="A670" t="s">
        <v>36</v>
      </c>
      <c r="B670">
        <v>2023</v>
      </c>
      <c r="C670" t="s">
        <v>7</v>
      </c>
      <c r="D670" s="35">
        <v>68291607.079999998</v>
      </c>
      <c r="E670" s="35">
        <v>14910</v>
      </c>
      <c r="F670" s="35">
        <v>68120908.410000011</v>
      </c>
    </row>
    <row r="671" spans="1:6" x14ac:dyDescent="0.3">
      <c r="A671" t="s">
        <v>36</v>
      </c>
      <c r="B671">
        <v>2023</v>
      </c>
      <c r="C671" t="s">
        <v>11</v>
      </c>
      <c r="D671" s="35">
        <v>53232806.290000007</v>
      </c>
      <c r="E671" s="35">
        <v>36228</v>
      </c>
      <c r="F671" s="35">
        <v>51759280.870000012</v>
      </c>
    </row>
    <row r="672" spans="1:6" x14ac:dyDescent="0.3">
      <c r="A672" t="s">
        <v>36</v>
      </c>
      <c r="B672">
        <v>2023</v>
      </c>
      <c r="C672" t="s">
        <v>3</v>
      </c>
      <c r="D672" s="35">
        <v>275729935.68000001</v>
      </c>
      <c r="E672" s="35">
        <v>374782</v>
      </c>
      <c r="F672" s="35">
        <v>270996981.30000001</v>
      </c>
    </row>
    <row r="673" spans="1:6" x14ac:dyDescent="0.3">
      <c r="A673" t="s">
        <v>36</v>
      </c>
      <c r="B673">
        <v>2023</v>
      </c>
      <c r="C673" t="s">
        <v>12</v>
      </c>
      <c r="D673" s="35">
        <v>43099655.380000003</v>
      </c>
      <c r="E673" s="35">
        <v>909878</v>
      </c>
      <c r="F673" s="35">
        <v>28641329.449999999</v>
      </c>
    </row>
    <row r="674" spans="1:6" x14ac:dyDescent="0.3">
      <c r="A674" t="s">
        <v>36</v>
      </c>
      <c r="B674">
        <v>2023</v>
      </c>
      <c r="C674" t="s">
        <v>2</v>
      </c>
      <c r="D674" s="35">
        <v>337141468.07999992</v>
      </c>
      <c r="E674" s="35">
        <v>2580263</v>
      </c>
      <c r="F674" s="35">
        <v>295090226.31999999</v>
      </c>
    </row>
    <row r="675" spans="1:6" x14ac:dyDescent="0.3">
      <c r="A675" t="s">
        <v>36</v>
      </c>
      <c r="B675">
        <v>2023</v>
      </c>
      <c r="C675" t="s">
        <v>5</v>
      </c>
      <c r="D675" s="35">
        <v>65866964.679999992</v>
      </c>
      <c r="E675" s="35">
        <v>35498</v>
      </c>
      <c r="F675" s="35">
        <v>64583022.789999992</v>
      </c>
    </row>
    <row r="676" spans="1:6" x14ac:dyDescent="0.3">
      <c r="A676" t="s">
        <v>36</v>
      </c>
      <c r="B676">
        <v>2023</v>
      </c>
      <c r="C676" t="s">
        <v>17</v>
      </c>
      <c r="D676" s="35">
        <v>2496682.6399999992</v>
      </c>
      <c r="E676" s="35">
        <v>90594</v>
      </c>
      <c r="F676" s="35">
        <v>1244586.6200000001</v>
      </c>
    </row>
    <row r="677" spans="1:6" x14ac:dyDescent="0.3">
      <c r="A677" t="s">
        <v>36</v>
      </c>
      <c r="B677">
        <v>2023</v>
      </c>
      <c r="C677" t="s">
        <v>9</v>
      </c>
      <c r="D677" s="35">
        <v>81887335.689999998</v>
      </c>
      <c r="E677" s="35">
        <v>1007472</v>
      </c>
      <c r="F677" s="35">
        <v>56833903.960000001</v>
      </c>
    </row>
    <row r="678" spans="1:6" x14ac:dyDescent="0.3">
      <c r="A678" t="s">
        <v>36</v>
      </c>
      <c r="B678">
        <v>2023</v>
      </c>
      <c r="C678" t="s">
        <v>8</v>
      </c>
      <c r="D678" s="35">
        <v>101159024.84</v>
      </c>
      <c r="E678" s="35">
        <v>5014</v>
      </c>
      <c r="F678" s="35">
        <v>100853201.09</v>
      </c>
    </row>
    <row r="679" spans="1:6" x14ac:dyDescent="0.3">
      <c r="A679" t="s">
        <v>36</v>
      </c>
      <c r="B679">
        <v>2023</v>
      </c>
      <c r="C679" t="s">
        <v>6</v>
      </c>
      <c r="D679" s="35">
        <v>132001609.25</v>
      </c>
      <c r="E679" s="35">
        <v>1065048</v>
      </c>
      <c r="F679" s="35">
        <v>121640263.95999999</v>
      </c>
    </row>
    <row r="680" spans="1:6" x14ac:dyDescent="0.3">
      <c r="A680" t="s">
        <v>36</v>
      </c>
      <c r="B680">
        <v>2023</v>
      </c>
      <c r="C680" t="s">
        <v>15</v>
      </c>
      <c r="D680" s="35">
        <v>20650344.579999998</v>
      </c>
      <c r="E680" s="35">
        <v>261330</v>
      </c>
      <c r="F680" s="35">
        <v>14210882.1</v>
      </c>
    </row>
    <row r="681" spans="1:6" x14ac:dyDescent="0.3">
      <c r="A681" t="s">
        <v>36</v>
      </c>
      <c r="B681">
        <v>2023</v>
      </c>
      <c r="C681" t="s">
        <v>18</v>
      </c>
      <c r="D681" s="35">
        <v>7171726.5299999993</v>
      </c>
      <c r="E681" s="35">
        <v>30396</v>
      </c>
      <c r="F681" s="35">
        <v>6554913.0899999999</v>
      </c>
    </row>
    <row r="682" spans="1:6" x14ac:dyDescent="0.3">
      <c r="A682" t="s">
        <v>36</v>
      </c>
      <c r="B682">
        <v>2024</v>
      </c>
      <c r="C682" t="s">
        <v>10</v>
      </c>
      <c r="D682" s="35">
        <v>65491625.789999992</v>
      </c>
      <c r="E682" s="35">
        <v>922609</v>
      </c>
      <c r="F682" s="35">
        <v>51278145.450000003</v>
      </c>
    </row>
    <row r="683" spans="1:6" x14ac:dyDescent="0.3">
      <c r="A683" t="s">
        <v>36</v>
      </c>
      <c r="B683">
        <v>2024</v>
      </c>
      <c r="C683" t="s">
        <v>4</v>
      </c>
      <c r="D683" s="35">
        <v>166189132.74000001</v>
      </c>
      <c r="E683" s="35">
        <v>325705</v>
      </c>
      <c r="F683" s="35">
        <v>163459239.38999999</v>
      </c>
    </row>
    <row r="684" spans="1:6" x14ac:dyDescent="0.3">
      <c r="A684" t="s">
        <v>36</v>
      </c>
      <c r="B684">
        <v>2024</v>
      </c>
      <c r="C684" t="s">
        <v>13</v>
      </c>
      <c r="D684" s="35">
        <v>44652516.229999997</v>
      </c>
      <c r="E684" s="35">
        <v>384712</v>
      </c>
      <c r="F684" s="35">
        <v>34691638.549999997</v>
      </c>
    </row>
    <row r="685" spans="1:6" x14ac:dyDescent="0.3">
      <c r="A685" t="s">
        <v>36</v>
      </c>
      <c r="B685">
        <v>2024</v>
      </c>
      <c r="C685" t="s">
        <v>16</v>
      </c>
      <c r="D685" s="35">
        <v>20105248.329999998</v>
      </c>
      <c r="E685" s="35">
        <v>44011</v>
      </c>
      <c r="F685" s="35">
        <v>19395233.5</v>
      </c>
    </row>
    <row r="686" spans="1:6" x14ac:dyDescent="0.3">
      <c r="A686" t="s">
        <v>36</v>
      </c>
      <c r="B686">
        <v>2024</v>
      </c>
      <c r="C686" t="s">
        <v>14</v>
      </c>
      <c r="D686" s="35">
        <v>45181799.75</v>
      </c>
      <c r="E686" s="35">
        <v>533024</v>
      </c>
      <c r="F686" s="35">
        <v>36535843.090000004</v>
      </c>
    </row>
    <row r="687" spans="1:6" x14ac:dyDescent="0.3">
      <c r="A687" t="s">
        <v>36</v>
      </c>
      <c r="B687">
        <v>2024</v>
      </c>
      <c r="C687" t="s">
        <v>7</v>
      </c>
      <c r="D687" s="35">
        <v>58915053.330000013</v>
      </c>
      <c r="E687" s="35">
        <v>12472</v>
      </c>
      <c r="F687" s="35">
        <v>58839489.689999998</v>
      </c>
    </row>
    <row r="688" spans="1:6" x14ac:dyDescent="0.3">
      <c r="A688" t="s">
        <v>36</v>
      </c>
      <c r="B688">
        <v>2024</v>
      </c>
      <c r="C688" t="s">
        <v>11</v>
      </c>
      <c r="D688" s="35">
        <v>44522027.590000004</v>
      </c>
      <c r="E688" s="35">
        <v>39707</v>
      </c>
      <c r="F688" s="35">
        <v>43157091.500000007</v>
      </c>
    </row>
    <row r="689" spans="1:6" x14ac:dyDescent="0.3">
      <c r="A689" t="s">
        <v>36</v>
      </c>
      <c r="B689">
        <v>2024</v>
      </c>
      <c r="C689" t="s">
        <v>3</v>
      </c>
      <c r="D689" s="35">
        <v>269347672.98999989</v>
      </c>
      <c r="E689" s="35">
        <v>336816</v>
      </c>
      <c r="F689" s="35">
        <v>264906342.91</v>
      </c>
    </row>
    <row r="690" spans="1:6" x14ac:dyDescent="0.3">
      <c r="A690" t="s">
        <v>36</v>
      </c>
      <c r="B690">
        <v>2024</v>
      </c>
      <c r="C690" t="s">
        <v>12</v>
      </c>
      <c r="D690" s="35">
        <v>42722605.729999997</v>
      </c>
      <c r="E690" s="35">
        <v>792185</v>
      </c>
      <c r="F690" s="35">
        <v>29372660.710000001</v>
      </c>
    </row>
    <row r="691" spans="1:6" x14ac:dyDescent="0.3">
      <c r="A691" t="s">
        <v>36</v>
      </c>
      <c r="B691">
        <v>2024</v>
      </c>
      <c r="C691" t="s">
        <v>2</v>
      </c>
      <c r="D691" s="35">
        <v>348335190.52999997</v>
      </c>
      <c r="E691" s="35">
        <v>2401080</v>
      </c>
      <c r="F691" s="35">
        <v>305097671.80000001</v>
      </c>
    </row>
    <row r="692" spans="1:6" x14ac:dyDescent="0.3">
      <c r="A692" t="s">
        <v>36</v>
      </c>
      <c r="B692">
        <v>2024</v>
      </c>
      <c r="C692" t="s">
        <v>5</v>
      </c>
      <c r="D692" s="35">
        <v>54603178.270000003</v>
      </c>
      <c r="E692" s="35">
        <v>30542</v>
      </c>
      <c r="F692" s="35">
        <v>53516190.610000007</v>
      </c>
    </row>
    <row r="693" spans="1:6" x14ac:dyDescent="0.3">
      <c r="A693" t="s">
        <v>36</v>
      </c>
      <c r="B693">
        <v>2024</v>
      </c>
      <c r="C693" t="s">
        <v>17</v>
      </c>
      <c r="D693" s="35">
        <v>2255968.66</v>
      </c>
      <c r="E693" s="35">
        <v>86262</v>
      </c>
      <c r="F693" s="35">
        <v>1133431.27</v>
      </c>
    </row>
    <row r="694" spans="1:6" x14ac:dyDescent="0.3">
      <c r="A694" t="s">
        <v>36</v>
      </c>
      <c r="B694">
        <v>2024</v>
      </c>
      <c r="C694" t="s">
        <v>9</v>
      </c>
      <c r="D694" s="35">
        <v>67721908.539999992</v>
      </c>
      <c r="E694" s="35">
        <v>939414</v>
      </c>
      <c r="F694" s="35">
        <v>45262117.700000018</v>
      </c>
    </row>
    <row r="695" spans="1:6" x14ac:dyDescent="0.3">
      <c r="A695" t="s">
        <v>36</v>
      </c>
      <c r="B695">
        <v>2024</v>
      </c>
      <c r="C695" t="s">
        <v>8</v>
      </c>
      <c r="D695" s="35">
        <v>123483809.73999999</v>
      </c>
      <c r="E695" s="35">
        <v>5602</v>
      </c>
      <c r="F695" s="35">
        <v>123337540.76000001</v>
      </c>
    </row>
    <row r="696" spans="1:6" x14ac:dyDescent="0.3">
      <c r="A696" t="s">
        <v>36</v>
      </c>
      <c r="B696">
        <v>2024</v>
      </c>
      <c r="C696" t="s">
        <v>6</v>
      </c>
      <c r="D696" s="35">
        <v>104436734.65000001</v>
      </c>
      <c r="E696" s="35">
        <v>958189</v>
      </c>
      <c r="F696" s="35">
        <v>93737629.760000005</v>
      </c>
    </row>
    <row r="697" spans="1:6" x14ac:dyDescent="0.3">
      <c r="A697" t="s">
        <v>36</v>
      </c>
      <c r="B697">
        <v>2024</v>
      </c>
      <c r="C697" t="s">
        <v>15</v>
      </c>
      <c r="D697" s="35">
        <v>12859361.24</v>
      </c>
      <c r="E697" s="35">
        <v>196855</v>
      </c>
      <c r="F697" s="35">
        <v>8201710.4700000016</v>
      </c>
    </row>
    <row r="698" spans="1:6" x14ac:dyDescent="0.3">
      <c r="A698" t="s">
        <v>36</v>
      </c>
      <c r="B698">
        <v>2024</v>
      </c>
      <c r="C698" t="s">
        <v>18</v>
      </c>
      <c r="D698" s="35">
        <v>7831600.1100000003</v>
      </c>
      <c r="E698" s="35">
        <v>28780</v>
      </c>
      <c r="F698" s="35">
        <v>7315830.629999999</v>
      </c>
    </row>
    <row r="699" spans="1:6" x14ac:dyDescent="0.3">
      <c r="A699" t="s">
        <v>36</v>
      </c>
      <c r="B699">
        <v>2025</v>
      </c>
      <c r="C699" t="s">
        <v>10</v>
      </c>
      <c r="D699" s="35">
        <v>73322723.670000002</v>
      </c>
      <c r="E699" s="35">
        <v>1143147</v>
      </c>
      <c r="F699" s="35">
        <v>58468265.270000003</v>
      </c>
    </row>
    <row r="700" spans="1:6" x14ac:dyDescent="0.3">
      <c r="A700" t="s">
        <v>36</v>
      </c>
      <c r="B700">
        <v>2025</v>
      </c>
      <c r="C700" t="s">
        <v>4</v>
      </c>
      <c r="D700" s="35">
        <v>201833000.66999999</v>
      </c>
      <c r="E700" s="35">
        <v>422214</v>
      </c>
      <c r="F700" s="35">
        <v>198987659.05000001</v>
      </c>
    </row>
    <row r="701" spans="1:6" x14ac:dyDescent="0.3">
      <c r="A701" t="s">
        <v>36</v>
      </c>
      <c r="B701">
        <v>2025</v>
      </c>
      <c r="C701" t="s">
        <v>13</v>
      </c>
      <c r="D701" s="35">
        <v>49761893.060000002</v>
      </c>
      <c r="E701" s="35">
        <v>490907</v>
      </c>
      <c r="F701" s="35">
        <v>40599047.880000003</v>
      </c>
    </row>
    <row r="702" spans="1:6" x14ac:dyDescent="0.3">
      <c r="A702" t="s">
        <v>36</v>
      </c>
      <c r="B702">
        <v>2025</v>
      </c>
      <c r="C702" t="s">
        <v>16</v>
      </c>
      <c r="D702" s="35">
        <v>24121188.489999998</v>
      </c>
      <c r="E702" s="35">
        <v>56216</v>
      </c>
      <c r="F702" s="35">
        <v>23193581.07</v>
      </c>
    </row>
    <row r="703" spans="1:6" x14ac:dyDescent="0.3">
      <c r="A703" t="s">
        <v>36</v>
      </c>
      <c r="B703">
        <v>2025</v>
      </c>
      <c r="C703" t="s">
        <v>14</v>
      </c>
      <c r="D703" s="35">
        <v>43862877.899999991</v>
      </c>
      <c r="E703" s="35">
        <v>676728</v>
      </c>
      <c r="F703" s="35">
        <v>34066208</v>
      </c>
    </row>
    <row r="704" spans="1:6" x14ac:dyDescent="0.3">
      <c r="A704" t="s">
        <v>36</v>
      </c>
      <c r="B704">
        <v>2025</v>
      </c>
      <c r="C704" t="s">
        <v>7</v>
      </c>
      <c r="D704" s="35">
        <v>63012320.219999999</v>
      </c>
      <c r="E704" s="35">
        <v>15969</v>
      </c>
      <c r="F704" s="35">
        <v>62911001.799999997</v>
      </c>
    </row>
    <row r="705" spans="1:6" x14ac:dyDescent="0.3">
      <c r="A705" t="s">
        <v>36</v>
      </c>
      <c r="B705">
        <v>2025</v>
      </c>
      <c r="C705" t="s">
        <v>11</v>
      </c>
      <c r="D705" s="35">
        <v>56539109.840000011</v>
      </c>
      <c r="E705" s="35">
        <v>46340</v>
      </c>
      <c r="F705" s="35">
        <v>55133711.609999999</v>
      </c>
    </row>
    <row r="706" spans="1:6" x14ac:dyDescent="0.3">
      <c r="A706" t="s">
        <v>36</v>
      </c>
      <c r="B706">
        <v>2025</v>
      </c>
      <c r="C706" t="s">
        <v>3</v>
      </c>
      <c r="D706" s="35">
        <v>294244685.51999998</v>
      </c>
      <c r="E706" s="35">
        <v>396200</v>
      </c>
      <c r="F706" s="35">
        <v>289940879.50999999</v>
      </c>
    </row>
    <row r="707" spans="1:6" x14ac:dyDescent="0.3">
      <c r="A707" t="s">
        <v>36</v>
      </c>
      <c r="B707">
        <v>2025</v>
      </c>
      <c r="C707" t="s">
        <v>12</v>
      </c>
      <c r="D707" s="35">
        <v>38752978.770000003</v>
      </c>
      <c r="E707" s="35">
        <v>888073</v>
      </c>
      <c r="F707" s="35">
        <v>25423240.15000001</v>
      </c>
    </row>
    <row r="708" spans="1:6" x14ac:dyDescent="0.3">
      <c r="A708" t="s">
        <v>36</v>
      </c>
      <c r="B708">
        <v>2025</v>
      </c>
      <c r="C708" t="s">
        <v>2</v>
      </c>
      <c r="D708" s="35">
        <v>370397448.92000002</v>
      </c>
      <c r="E708" s="35">
        <v>2933396</v>
      </c>
      <c r="F708" s="35">
        <v>323367979.70999992</v>
      </c>
    </row>
    <row r="709" spans="1:6" x14ac:dyDescent="0.3">
      <c r="A709" t="s">
        <v>36</v>
      </c>
      <c r="B709">
        <v>2025</v>
      </c>
      <c r="C709" t="s">
        <v>5</v>
      </c>
      <c r="D709" s="35">
        <v>70288915.75</v>
      </c>
      <c r="E709" s="35">
        <v>37674</v>
      </c>
      <c r="F709" s="35">
        <v>68884038.640000001</v>
      </c>
    </row>
    <row r="710" spans="1:6" x14ac:dyDescent="0.3">
      <c r="A710" t="s">
        <v>36</v>
      </c>
      <c r="B710">
        <v>2025</v>
      </c>
      <c r="C710" t="s">
        <v>17</v>
      </c>
      <c r="D710" s="35">
        <v>2193858.17</v>
      </c>
      <c r="E710" s="35">
        <v>85124</v>
      </c>
      <c r="F710" s="35">
        <v>1250901.95</v>
      </c>
    </row>
    <row r="711" spans="1:6" x14ac:dyDescent="0.3">
      <c r="A711" t="s">
        <v>36</v>
      </c>
      <c r="B711">
        <v>2025</v>
      </c>
      <c r="C711" t="s">
        <v>9</v>
      </c>
      <c r="D711" s="35">
        <v>72146925.239999995</v>
      </c>
      <c r="E711" s="35">
        <v>1080918</v>
      </c>
      <c r="F711" s="35">
        <v>50643684.369999997</v>
      </c>
    </row>
    <row r="712" spans="1:6" x14ac:dyDescent="0.3">
      <c r="A712" t="s">
        <v>36</v>
      </c>
      <c r="B712">
        <v>2025</v>
      </c>
      <c r="C712" t="s">
        <v>8</v>
      </c>
      <c r="D712" s="35">
        <v>136336957.27000001</v>
      </c>
      <c r="E712" s="35">
        <v>6119</v>
      </c>
      <c r="F712" s="35">
        <v>132928977.94</v>
      </c>
    </row>
    <row r="713" spans="1:6" x14ac:dyDescent="0.3">
      <c r="A713" t="s">
        <v>36</v>
      </c>
      <c r="B713">
        <v>2025</v>
      </c>
      <c r="C713" t="s">
        <v>6</v>
      </c>
      <c r="D713" s="35">
        <v>110268633.83</v>
      </c>
      <c r="E713" s="35">
        <v>1250593</v>
      </c>
      <c r="F713" s="35">
        <v>99094871.469999999</v>
      </c>
    </row>
    <row r="714" spans="1:6" x14ac:dyDescent="0.3">
      <c r="A714" t="s">
        <v>36</v>
      </c>
      <c r="B714">
        <v>2025</v>
      </c>
      <c r="C714" t="s">
        <v>15</v>
      </c>
      <c r="D714" s="35">
        <v>17116900.760000009</v>
      </c>
      <c r="E714" s="35">
        <v>208293</v>
      </c>
      <c r="F714" s="35">
        <v>12884354.08</v>
      </c>
    </row>
    <row r="715" spans="1:6" x14ac:dyDescent="0.3">
      <c r="A715" t="s">
        <v>36</v>
      </c>
      <c r="B715">
        <v>2025</v>
      </c>
      <c r="C715" t="s">
        <v>18</v>
      </c>
      <c r="D715" s="35">
        <v>8098724.3199999984</v>
      </c>
      <c r="E715" s="35">
        <v>35829</v>
      </c>
      <c r="F715" s="35">
        <v>7078065.5099999998</v>
      </c>
    </row>
    <row r="716" spans="1:6" x14ac:dyDescent="0.3">
      <c r="A716" t="s">
        <v>37</v>
      </c>
      <c r="B716">
        <v>2019</v>
      </c>
      <c r="C716" t="s">
        <v>10</v>
      </c>
      <c r="D716" s="35">
        <v>51183602.849999987</v>
      </c>
      <c r="E716" s="35">
        <v>1111362</v>
      </c>
      <c r="F716" s="35">
        <v>33859978.879999988</v>
      </c>
    </row>
    <row r="717" spans="1:6" x14ac:dyDescent="0.3">
      <c r="A717" t="s">
        <v>37</v>
      </c>
      <c r="B717">
        <v>2019</v>
      </c>
      <c r="C717" t="s">
        <v>4</v>
      </c>
      <c r="D717" s="35">
        <v>167667619.09</v>
      </c>
      <c r="E717" s="35">
        <v>385005</v>
      </c>
      <c r="F717" s="35">
        <v>164660130.59999999</v>
      </c>
    </row>
    <row r="718" spans="1:6" x14ac:dyDescent="0.3">
      <c r="A718" t="s">
        <v>37</v>
      </c>
      <c r="B718">
        <v>2019</v>
      </c>
      <c r="C718" t="s">
        <v>13</v>
      </c>
      <c r="D718" s="35">
        <v>50627859.090000004</v>
      </c>
      <c r="E718" s="35">
        <v>408990</v>
      </c>
      <c r="F718" s="35">
        <v>36076066.549999997</v>
      </c>
    </row>
    <row r="719" spans="1:6" x14ac:dyDescent="0.3">
      <c r="A719" t="s">
        <v>37</v>
      </c>
      <c r="B719">
        <v>2019</v>
      </c>
      <c r="C719" t="s">
        <v>16</v>
      </c>
      <c r="D719" s="35">
        <v>39026927.809999987</v>
      </c>
      <c r="E719" s="35">
        <v>60285</v>
      </c>
      <c r="F719" s="35">
        <v>38127369.030000001</v>
      </c>
    </row>
    <row r="720" spans="1:6" x14ac:dyDescent="0.3">
      <c r="A720" t="s">
        <v>37</v>
      </c>
      <c r="B720">
        <v>2019</v>
      </c>
      <c r="C720" t="s">
        <v>14</v>
      </c>
      <c r="D720" s="35">
        <v>44150718.190000013</v>
      </c>
      <c r="E720" s="35">
        <v>502832</v>
      </c>
      <c r="F720" s="35">
        <v>33822888.020000003</v>
      </c>
    </row>
    <row r="721" spans="1:6" x14ac:dyDescent="0.3">
      <c r="A721" t="s">
        <v>37</v>
      </c>
      <c r="B721">
        <v>2019</v>
      </c>
      <c r="C721" t="s">
        <v>7</v>
      </c>
      <c r="D721" s="35">
        <v>96885018.189999983</v>
      </c>
      <c r="E721" s="35">
        <v>38041</v>
      </c>
      <c r="F721" s="35">
        <v>96345944.719999999</v>
      </c>
    </row>
    <row r="722" spans="1:6" x14ac:dyDescent="0.3">
      <c r="A722" t="s">
        <v>37</v>
      </c>
      <c r="B722">
        <v>2019</v>
      </c>
      <c r="C722" t="s">
        <v>11</v>
      </c>
      <c r="D722" s="35">
        <v>36032526.210000008</v>
      </c>
      <c r="E722" s="35">
        <v>76628</v>
      </c>
      <c r="F722" s="35">
        <v>35160624.210000001</v>
      </c>
    </row>
    <row r="723" spans="1:6" x14ac:dyDescent="0.3">
      <c r="A723" t="s">
        <v>37</v>
      </c>
      <c r="B723">
        <v>2019</v>
      </c>
      <c r="C723" t="s">
        <v>3</v>
      </c>
      <c r="D723" s="35">
        <v>127852856.15000001</v>
      </c>
      <c r="E723" s="35">
        <v>383142</v>
      </c>
      <c r="F723" s="35">
        <v>121331082.77</v>
      </c>
    </row>
    <row r="724" spans="1:6" x14ac:dyDescent="0.3">
      <c r="A724" t="s">
        <v>37</v>
      </c>
      <c r="B724">
        <v>2019</v>
      </c>
      <c r="C724" t="s">
        <v>12</v>
      </c>
      <c r="D724" s="35">
        <v>102135458.39</v>
      </c>
      <c r="E724" s="35">
        <v>887993</v>
      </c>
      <c r="F724" s="35">
        <v>81085185.030000016</v>
      </c>
    </row>
    <row r="725" spans="1:6" x14ac:dyDescent="0.3">
      <c r="A725" t="s">
        <v>37</v>
      </c>
      <c r="B725">
        <v>2019</v>
      </c>
      <c r="C725" t="s">
        <v>2</v>
      </c>
      <c r="D725" s="35">
        <v>263908691.9600001</v>
      </c>
      <c r="E725" s="35">
        <v>2329817</v>
      </c>
      <c r="F725" s="35">
        <v>218215496.84</v>
      </c>
    </row>
    <row r="726" spans="1:6" x14ac:dyDescent="0.3">
      <c r="A726" t="s">
        <v>37</v>
      </c>
      <c r="B726">
        <v>2019</v>
      </c>
      <c r="C726" t="s">
        <v>5</v>
      </c>
      <c r="D726" s="35">
        <v>50573421.779999986</v>
      </c>
      <c r="E726" s="35">
        <v>32953</v>
      </c>
      <c r="F726" s="35">
        <v>48704660.400000013</v>
      </c>
    </row>
    <row r="727" spans="1:6" x14ac:dyDescent="0.3">
      <c r="A727" t="s">
        <v>37</v>
      </c>
      <c r="B727">
        <v>2019</v>
      </c>
      <c r="C727" t="s">
        <v>17</v>
      </c>
      <c r="D727" s="35">
        <v>6452065.0800000001</v>
      </c>
      <c r="E727" s="35">
        <v>123797</v>
      </c>
      <c r="F727" s="35">
        <v>4866677.040000001</v>
      </c>
    </row>
    <row r="728" spans="1:6" x14ac:dyDescent="0.3">
      <c r="A728" t="s">
        <v>37</v>
      </c>
      <c r="B728">
        <v>2019</v>
      </c>
      <c r="C728" t="s">
        <v>9</v>
      </c>
      <c r="D728" s="35">
        <v>87938559.960000023</v>
      </c>
      <c r="E728" s="35">
        <v>1116538</v>
      </c>
      <c r="F728" s="35">
        <v>68851153.510000005</v>
      </c>
    </row>
    <row r="729" spans="1:6" x14ac:dyDescent="0.3">
      <c r="A729" t="s">
        <v>37</v>
      </c>
      <c r="B729">
        <v>2019</v>
      </c>
      <c r="C729" t="s">
        <v>8</v>
      </c>
      <c r="D729" s="35">
        <v>15839763.470000001</v>
      </c>
      <c r="E729" s="35">
        <v>2121</v>
      </c>
      <c r="F729" s="35">
        <v>15839763.470000001</v>
      </c>
    </row>
    <row r="730" spans="1:6" x14ac:dyDescent="0.3">
      <c r="A730" t="s">
        <v>37</v>
      </c>
      <c r="B730">
        <v>2019</v>
      </c>
      <c r="C730" t="s">
        <v>6</v>
      </c>
      <c r="D730" s="35">
        <v>159490810.63999999</v>
      </c>
      <c r="E730" s="35">
        <v>1291173</v>
      </c>
      <c r="F730" s="35">
        <v>143160914.34</v>
      </c>
    </row>
    <row r="731" spans="1:6" x14ac:dyDescent="0.3">
      <c r="A731" t="s">
        <v>37</v>
      </c>
      <c r="B731">
        <v>2019</v>
      </c>
      <c r="C731" t="s">
        <v>15</v>
      </c>
      <c r="D731" s="35">
        <v>84865028.490000024</v>
      </c>
      <c r="E731" s="35">
        <v>620832</v>
      </c>
      <c r="F731" s="35">
        <v>70074813.219999999</v>
      </c>
    </row>
    <row r="732" spans="1:6" x14ac:dyDescent="0.3">
      <c r="A732" t="s">
        <v>37</v>
      </c>
      <c r="B732">
        <v>2019</v>
      </c>
      <c r="C732" t="s">
        <v>18</v>
      </c>
      <c r="D732" s="35">
        <v>6965476.6799999988</v>
      </c>
      <c r="E732" s="35">
        <v>30386</v>
      </c>
      <c r="F732" s="35">
        <v>5592947.2999999998</v>
      </c>
    </row>
    <row r="733" spans="1:6" x14ac:dyDescent="0.3">
      <c r="A733" t="s">
        <v>37</v>
      </c>
      <c r="B733">
        <v>2020</v>
      </c>
      <c r="C733" t="s">
        <v>10</v>
      </c>
      <c r="D733" s="35">
        <v>59241158.219999999</v>
      </c>
      <c r="E733" s="35">
        <v>1147015</v>
      </c>
      <c r="F733" s="35">
        <v>40752900.959999993</v>
      </c>
    </row>
    <row r="734" spans="1:6" x14ac:dyDescent="0.3">
      <c r="A734" t="s">
        <v>37</v>
      </c>
      <c r="B734">
        <v>2020</v>
      </c>
      <c r="C734" t="s">
        <v>4</v>
      </c>
      <c r="D734" s="35">
        <v>193675920.24000001</v>
      </c>
      <c r="E734" s="35">
        <v>393299</v>
      </c>
      <c r="F734" s="35">
        <v>190621905.74000001</v>
      </c>
    </row>
    <row r="735" spans="1:6" x14ac:dyDescent="0.3">
      <c r="A735" t="s">
        <v>37</v>
      </c>
      <c r="B735">
        <v>2020</v>
      </c>
      <c r="C735" t="s">
        <v>13</v>
      </c>
      <c r="D735" s="35">
        <v>54084376.550000012</v>
      </c>
      <c r="E735" s="35">
        <v>407679</v>
      </c>
      <c r="F735" s="35">
        <v>38792415.149999999</v>
      </c>
    </row>
    <row r="736" spans="1:6" x14ac:dyDescent="0.3">
      <c r="A736" t="s">
        <v>37</v>
      </c>
      <c r="B736">
        <v>2020</v>
      </c>
      <c r="C736" t="s">
        <v>16</v>
      </c>
      <c r="D736" s="35">
        <v>40641202.50999999</v>
      </c>
      <c r="E736" s="35">
        <v>60157</v>
      </c>
      <c r="F736" s="35">
        <v>39588790.339999989</v>
      </c>
    </row>
    <row r="737" spans="1:6" x14ac:dyDescent="0.3">
      <c r="A737" t="s">
        <v>37</v>
      </c>
      <c r="B737">
        <v>2020</v>
      </c>
      <c r="C737" t="s">
        <v>14</v>
      </c>
      <c r="D737" s="35">
        <v>47675958.079999998</v>
      </c>
      <c r="E737" s="35">
        <v>517923</v>
      </c>
      <c r="F737" s="35">
        <v>34741522.670000002</v>
      </c>
    </row>
    <row r="738" spans="1:6" x14ac:dyDescent="0.3">
      <c r="A738" t="s">
        <v>37</v>
      </c>
      <c r="B738">
        <v>2020</v>
      </c>
      <c r="C738" t="s">
        <v>7</v>
      </c>
      <c r="D738" s="35">
        <v>108156197.31</v>
      </c>
      <c r="E738" s="35">
        <v>35817</v>
      </c>
      <c r="F738" s="35">
        <v>107187180.56999999</v>
      </c>
    </row>
    <row r="739" spans="1:6" x14ac:dyDescent="0.3">
      <c r="A739" t="s">
        <v>37</v>
      </c>
      <c r="B739">
        <v>2020</v>
      </c>
      <c r="C739" t="s">
        <v>11</v>
      </c>
      <c r="D739" s="35">
        <v>35881635.68</v>
      </c>
      <c r="E739" s="35">
        <v>75981</v>
      </c>
      <c r="F739" s="35">
        <v>34937150.670000002</v>
      </c>
    </row>
    <row r="740" spans="1:6" x14ac:dyDescent="0.3">
      <c r="A740" t="s">
        <v>37</v>
      </c>
      <c r="B740">
        <v>2020</v>
      </c>
      <c r="C740" t="s">
        <v>3</v>
      </c>
      <c r="D740" s="35">
        <v>163353094.06000009</v>
      </c>
      <c r="E740" s="35">
        <v>345551</v>
      </c>
      <c r="F740" s="35">
        <v>156757101.34999999</v>
      </c>
    </row>
    <row r="741" spans="1:6" x14ac:dyDescent="0.3">
      <c r="A741" t="s">
        <v>37</v>
      </c>
      <c r="B741">
        <v>2020</v>
      </c>
      <c r="C741" t="s">
        <v>12</v>
      </c>
      <c r="D741" s="35">
        <v>84946734.930000022</v>
      </c>
      <c r="E741" s="35">
        <v>749721</v>
      </c>
      <c r="F741" s="35">
        <v>65951001.369999997</v>
      </c>
    </row>
    <row r="742" spans="1:6" x14ac:dyDescent="0.3">
      <c r="A742" t="s">
        <v>37</v>
      </c>
      <c r="B742">
        <v>2020</v>
      </c>
      <c r="C742" t="s">
        <v>2</v>
      </c>
      <c r="D742" s="35">
        <v>275018874.81</v>
      </c>
      <c r="E742" s="35">
        <v>2368036</v>
      </c>
      <c r="F742" s="35">
        <v>227727446.56</v>
      </c>
    </row>
    <row r="743" spans="1:6" x14ac:dyDescent="0.3">
      <c r="A743" t="s">
        <v>37</v>
      </c>
      <c r="B743">
        <v>2020</v>
      </c>
      <c r="C743" t="s">
        <v>5</v>
      </c>
      <c r="D743" s="35">
        <v>61634854.559999987</v>
      </c>
      <c r="E743" s="35">
        <v>32055</v>
      </c>
      <c r="F743" s="35">
        <v>59771020.229999997</v>
      </c>
    </row>
    <row r="744" spans="1:6" x14ac:dyDescent="0.3">
      <c r="A744" t="s">
        <v>37</v>
      </c>
      <c r="B744">
        <v>2020</v>
      </c>
      <c r="C744" t="s">
        <v>17</v>
      </c>
      <c r="D744" s="35">
        <v>6931054.9900000002</v>
      </c>
      <c r="E744" s="35">
        <v>118052</v>
      </c>
      <c r="F744" s="35">
        <v>5127042.0900000008</v>
      </c>
    </row>
    <row r="745" spans="1:6" x14ac:dyDescent="0.3">
      <c r="A745" t="s">
        <v>37</v>
      </c>
      <c r="B745">
        <v>2020</v>
      </c>
      <c r="C745" t="s">
        <v>9</v>
      </c>
      <c r="D745" s="35">
        <v>98708607.740000024</v>
      </c>
      <c r="E745" s="35">
        <v>1053333</v>
      </c>
      <c r="F745" s="35">
        <v>76542697.039999992</v>
      </c>
    </row>
    <row r="746" spans="1:6" x14ac:dyDescent="0.3">
      <c r="A746" t="s">
        <v>37</v>
      </c>
      <c r="B746">
        <v>2020</v>
      </c>
      <c r="C746" t="s">
        <v>8</v>
      </c>
      <c r="D746" s="35">
        <v>19115957.969999999</v>
      </c>
      <c r="E746" s="35">
        <v>2334</v>
      </c>
      <c r="F746" s="35">
        <v>19115957.969999999</v>
      </c>
    </row>
    <row r="747" spans="1:6" x14ac:dyDescent="0.3">
      <c r="A747" t="s">
        <v>37</v>
      </c>
      <c r="B747">
        <v>2020</v>
      </c>
      <c r="C747" t="s">
        <v>6</v>
      </c>
      <c r="D747" s="35">
        <v>153922237.41</v>
      </c>
      <c r="E747" s="35">
        <v>1245702</v>
      </c>
      <c r="F747" s="35">
        <v>135985242.09999999</v>
      </c>
    </row>
    <row r="748" spans="1:6" x14ac:dyDescent="0.3">
      <c r="A748" t="s">
        <v>37</v>
      </c>
      <c r="B748">
        <v>2020</v>
      </c>
      <c r="C748" t="s">
        <v>15</v>
      </c>
      <c r="D748" s="35">
        <v>50041469.340000011</v>
      </c>
      <c r="E748" s="35">
        <v>428242</v>
      </c>
      <c r="F748" s="35">
        <v>37481493.61999999</v>
      </c>
    </row>
    <row r="749" spans="1:6" x14ac:dyDescent="0.3">
      <c r="A749" t="s">
        <v>37</v>
      </c>
      <c r="B749">
        <v>2020</v>
      </c>
      <c r="C749" t="s">
        <v>18</v>
      </c>
      <c r="D749" s="35">
        <v>7068150.4700000007</v>
      </c>
      <c r="E749" s="35">
        <v>34802</v>
      </c>
      <c r="F749" s="35">
        <v>5949978.4900000002</v>
      </c>
    </row>
    <row r="750" spans="1:6" x14ac:dyDescent="0.3">
      <c r="A750" t="s">
        <v>37</v>
      </c>
      <c r="B750">
        <v>2021</v>
      </c>
      <c r="C750" t="s">
        <v>10</v>
      </c>
      <c r="D750" s="35">
        <v>68253621.439999998</v>
      </c>
      <c r="E750" s="35">
        <v>1207128</v>
      </c>
      <c r="F750" s="35">
        <v>48994233.869999982</v>
      </c>
    </row>
    <row r="751" spans="1:6" x14ac:dyDescent="0.3">
      <c r="A751" t="s">
        <v>37</v>
      </c>
      <c r="B751">
        <v>2021</v>
      </c>
      <c r="C751" t="s">
        <v>4</v>
      </c>
      <c r="D751" s="35">
        <v>226944723.28999999</v>
      </c>
      <c r="E751" s="35">
        <v>417549</v>
      </c>
      <c r="F751" s="35">
        <v>224138769.03999999</v>
      </c>
    </row>
    <row r="752" spans="1:6" x14ac:dyDescent="0.3">
      <c r="A752" t="s">
        <v>37</v>
      </c>
      <c r="B752">
        <v>2021</v>
      </c>
      <c r="C752" t="s">
        <v>13</v>
      </c>
      <c r="D752" s="35">
        <v>56239190.460000001</v>
      </c>
      <c r="E752" s="35">
        <v>409300</v>
      </c>
      <c r="F752" s="35">
        <v>40744201.949999988</v>
      </c>
    </row>
    <row r="753" spans="1:6" x14ac:dyDescent="0.3">
      <c r="A753" t="s">
        <v>37</v>
      </c>
      <c r="B753">
        <v>2021</v>
      </c>
      <c r="C753" t="s">
        <v>16</v>
      </c>
      <c r="D753" s="35">
        <v>47768342.759999998</v>
      </c>
      <c r="E753" s="35">
        <v>72543</v>
      </c>
      <c r="F753" s="35">
        <v>46586128.07</v>
      </c>
    </row>
    <row r="754" spans="1:6" x14ac:dyDescent="0.3">
      <c r="A754" t="s">
        <v>37</v>
      </c>
      <c r="B754">
        <v>2021</v>
      </c>
      <c r="C754" t="s">
        <v>14</v>
      </c>
      <c r="D754" s="35">
        <v>52781661.969999999</v>
      </c>
      <c r="E754" s="35">
        <v>542221</v>
      </c>
      <c r="F754" s="35">
        <v>39557611.440000013</v>
      </c>
    </row>
    <row r="755" spans="1:6" x14ac:dyDescent="0.3">
      <c r="A755" t="s">
        <v>37</v>
      </c>
      <c r="B755">
        <v>2021</v>
      </c>
      <c r="C755" t="s">
        <v>7</v>
      </c>
      <c r="D755" s="35">
        <v>107054176.08</v>
      </c>
      <c r="E755" s="35">
        <v>33024</v>
      </c>
      <c r="F755" s="35">
        <v>104198210.91</v>
      </c>
    </row>
    <row r="756" spans="1:6" x14ac:dyDescent="0.3">
      <c r="A756" t="s">
        <v>37</v>
      </c>
      <c r="B756">
        <v>2021</v>
      </c>
      <c r="C756" t="s">
        <v>11</v>
      </c>
      <c r="D756" s="35">
        <v>29255201.050000001</v>
      </c>
      <c r="E756" s="35">
        <v>75471</v>
      </c>
      <c r="F756" s="35">
        <v>28242205.09</v>
      </c>
    </row>
    <row r="757" spans="1:6" x14ac:dyDescent="0.3">
      <c r="A757" t="s">
        <v>37</v>
      </c>
      <c r="B757">
        <v>2021</v>
      </c>
      <c r="C757" t="s">
        <v>3</v>
      </c>
      <c r="D757" s="35">
        <v>215028248.31999999</v>
      </c>
      <c r="E757" s="35">
        <v>373164</v>
      </c>
      <c r="F757" s="35">
        <v>208683679.99000001</v>
      </c>
    </row>
    <row r="758" spans="1:6" x14ac:dyDescent="0.3">
      <c r="A758" t="s">
        <v>37</v>
      </c>
      <c r="B758">
        <v>2021</v>
      </c>
      <c r="C758" t="s">
        <v>12</v>
      </c>
      <c r="D758" s="35">
        <v>64319383.609999992</v>
      </c>
      <c r="E758" s="35">
        <v>737192</v>
      </c>
      <c r="F758" s="35">
        <v>47886807.479999997</v>
      </c>
    </row>
    <row r="759" spans="1:6" x14ac:dyDescent="0.3">
      <c r="A759" t="s">
        <v>37</v>
      </c>
      <c r="B759">
        <v>2021</v>
      </c>
      <c r="C759" t="s">
        <v>2</v>
      </c>
      <c r="D759" s="35">
        <v>308426446.23999989</v>
      </c>
      <c r="E759" s="35">
        <v>2414632</v>
      </c>
      <c r="F759" s="35">
        <v>263477427.56999999</v>
      </c>
    </row>
    <row r="760" spans="1:6" x14ac:dyDescent="0.3">
      <c r="A760" t="s">
        <v>37</v>
      </c>
      <c r="B760">
        <v>2021</v>
      </c>
      <c r="C760" t="s">
        <v>5</v>
      </c>
      <c r="D760" s="35">
        <v>60116856.94000002</v>
      </c>
      <c r="E760" s="35">
        <v>32416</v>
      </c>
      <c r="F760" s="35">
        <v>58061418.210000001</v>
      </c>
    </row>
    <row r="761" spans="1:6" x14ac:dyDescent="0.3">
      <c r="A761" t="s">
        <v>37</v>
      </c>
      <c r="B761">
        <v>2021</v>
      </c>
      <c r="C761" t="s">
        <v>17</v>
      </c>
      <c r="D761" s="35">
        <v>6979637.5999999996</v>
      </c>
      <c r="E761" s="35">
        <v>118643</v>
      </c>
      <c r="F761" s="35">
        <v>5230541.22</v>
      </c>
    </row>
    <row r="762" spans="1:6" x14ac:dyDescent="0.3">
      <c r="A762" t="s">
        <v>37</v>
      </c>
      <c r="B762">
        <v>2021</v>
      </c>
      <c r="C762" t="s">
        <v>9</v>
      </c>
      <c r="D762" s="35">
        <v>115377249.87</v>
      </c>
      <c r="E762" s="35">
        <v>1056418</v>
      </c>
      <c r="F762" s="35">
        <v>98390547.950000003</v>
      </c>
    </row>
    <row r="763" spans="1:6" x14ac:dyDescent="0.3">
      <c r="A763" t="s">
        <v>37</v>
      </c>
      <c r="B763">
        <v>2021</v>
      </c>
      <c r="C763" t="s">
        <v>8</v>
      </c>
      <c r="D763" s="35">
        <v>25271072.649999999</v>
      </c>
      <c r="E763" s="35">
        <v>1821</v>
      </c>
      <c r="F763" s="35">
        <v>25121833.600000001</v>
      </c>
    </row>
    <row r="764" spans="1:6" x14ac:dyDescent="0.3">
      <c r="A764" t="s">
        <v>37</v>
      </c>
      <c r="B764">
        <v>2021</v>
      </c>
      <c r="C764" t="s">
        <v>6</v>
      </c>
      <c r="D764" s="35">
        <v>162938000.94999999</v>
      </c>
      <c r="E764" s="35">
        <v>1219285</v>
      </c>
      <c r="F764" s="35">
        <v>148484124.83000001</v>
      </c>
    </row>
    <row r="765" spans="1:6" x14ac:dyDescent="0.3">
      <c r="A765" t="s">
        <v>37</v>
      </c>
      <c r="B765">
        <v>2021</v>
      </c>
      <c r="C765" t="s">
        <v>15</v>
      </c>
      <c r="D765" s="35">
        <v>38927284.549999997</v>
      </c>
      <c r="E765" s="35">
        <v>380788</v>
      </c>
      <c r="F765" s="35">
        <v>27489286.34</v>
      </c>
    </row>
    <row r="766" spans="1:6" x14ac:dyDescent="0.3">
      <c r="A766" t="s">
        <v>37</v>
      </c>
      <c r="B766">
        <v>2021</v>
      </c>
      <c r="C766" t="s">
        <v>18</v>
      </c>
      <c r="D766" s="35">
        <v>5606473.54</v>
      </c>
      <c r="E766" s="35">
        <v>33071</v>
      </c>
      <c r="F766" s="35">
        <v>4951321.1700000009</v>
      </c>
    </row>
    <row r="767" spans="1:6" x14ac:dyDescent="0.3">
      <c r="A767" t="s">
        <v>37</v>
      </c>
      <c r="B767">
        <v>2022</v>
      </c>
      <c r="C767" t="s">
        <v>10</v>
      </c>
      <c r="D767" s="35">
        <v>72556883.409999996</v>
      </c>
      <c r="E767" s="35">
        <v>1240644</v>
      </c>
      <c r="F767" s="35">
        <v>52879097.840000004</v>
      </c>
    </row>
    <row r="768" spans="1:6" x14ac:dyDescent="0.3">
      <c r="A768" t="s">
        <v>37</v>
      </c>
      <c r="B768">
        <v>2022</v>
      </c>
      <c r="C768" t="s">
        <v>4</v>
      </c>
      <c r="D768" s="35">
        <v>275936620.45999992</v>
      </c>
      <c r="E768" s="35">
        <v>457870</v>
      </c>
      <c r="F768" s="35">
        <v>273317790.06999987</v>
      </c>
    </row>
    <row r="769" spans="1:6" x14ac:dyDescent="0.3">
      <c r="A769" t="s">
        <v>37</v>
      </c>
      <c r="B769">
        <v>2022</v>
      </c>
      <c r="C769" t="s">
        <v>13</v>
      </c>
      <c r="D769" s="35">
        <v>56222624.710000008</v>
      </c>
      <c r="E769" s="35">
        <v>393641</v>
      </c>
      <c r="F769" s="35">
        <v>42215596.969999999</v>
      </c>
    </row>
    <row r="770" spans="1:6" x14ac:dyDescent="0.3">
      <c r="A770" t="s">
        <v>37</v>
      </c>
      <c r="B770">
        <v>2022</v>
      </c>
      <c r="C770" t="s">
        <v>16</v>
      </c>
      <c r="D770" s="35">
        <v>57005830.360000007</v>
      </c>
      <c r="E770" s="35">
        <v>79030</v>
      </c>
      <c r="F770" s="35">
        <v>56038991.239999987</v>
      </c>
    </row>
    <row r="771" spans="1:6" x14ac:dyDescent="0.3">
      <c r="A771" t="s">
        <v>37</v>
      </c>
      <c r="B771">
        <v>2022</v>
      </c>
      <c r="C771" t="s">
        <v>14</v>
      </c>
      <c r="D771" s="35">
        <v>55845770.649999984</v>
      </c>
      <c r="E771" s="35">
        <v>586416</v>
      </c>
      <c r="F771" s="35">
        <v>42211122.719999999</v>
      </c>
    </row>
    <row r="772" spans="1:6" x14ac:dyDescent="0.3">
      <c r="A772" t="s">
        <v>37</v>
      </c>
      <c r="B772">
        <v>2022</v>
      </c>
      <c r="C772" t="s">
        <v>7</v>
      </c>
      <c r="D772" s="35">
        <v>109153944.29000001</v>
      </c>
      <c r="E772" s="35">
        <v>31136</v>
      </c>
      <c r="F772" s="35">
        <v>108665052.48</v>
      </c>
    </row>
    <row r="773" spans="1:6" x14ac:dyDescent="0.3">
      <c r="A773" t="s">
        <v>37</v>
      </c>
      <c r="B773">
        <v>2022</v>
      </c>
      <c r="C773" t="s">
        <v>11</v>
      </c>
      <c r="D773" s="35">
        <v>40387085.419999987</v>
      </c>
      <c r="E773" s="35">
        <v>84465</v>
      </c>
      <c r="F773" s="35">
        <v>39074953.70000001</v>
      </c>
    </row>
    <row r="774" spans="1:6" x14ac:dyDescent="0.3">
      <c r="A774" t="s">
        <v>37</v>
      </c>
      <c r="B774">
        <v>2022</v>
      </c>
      <c r="C774" t="s">
        <v>3</v>
      </c>
      <c r="D774" s="35">
        <v>282347473.87</v>
      </c>
      <c r="E774" s="35">
        <v>415703</v>
      </c>
      <c r="F774" s="35">
        <v>275511236.60000002</v>
      </c>
    </row>
    <row r="775" spans="1:6" x14ac:dyDescent="0.3">
      <c r="A775" t="s">
        <v>37</v>
      </c>
      <c r="B775">
        <v>2022</v>
      </c>
      <c r="C775" t="s">
        <v>12</v>
      </c>
      <c r="D775" s="35">
        <v>55756932.430000007</v>
      </c>
      <c r="E775" s="35">
        <v>873263</v>
      </c>
      <c r="F775" s="35">
        <v>36881446.290000007</v>
      </c>
    </row>
    <row r="776" spans="1:6" x14ac:dyDescent="0.3">
      <c r="A776" t="s">
        <v>37</v>
      </c>
      <c r="B776">
        <v>2022</v>
      </c>
      <c r="C776" t="s">
        <v>2</v>
      </c>
      <c r="D776" s="35">
        <v>348001981.64999998</v>
      </c>
      <c r="E776" s="35">
        <v>2462370</v>
      </c>
      <c r="F776" s="35">
        <v>305183940.02999997</v>
      </c>
    </row>
    <row r="777" spans="1:6" x14ac:dyDescent="0.3">
      <c r="A777" t="s">
        <v>37</v>
      </c>
      <c r="B777">
        <v>2022</v>
      </c>
      <c r="C777" t="s">
        <v>5</v>
      </c>
      <c r="D777" s="35">
        <v>63014425.250000007</v>
      </c>
      <c r="E777" s="35">
        <v>33806</v>
      </c>
      <c r="F777" s="35">
        <v>61077248.899999999</v>
      </c>
    </row>
    <row r="778" spans="1:6" x14ac:dyDescent="0.3">
      <c r="A778" t="s">
        <v>37</v>
      </c>
      <c r="B778">
        <v>2022</v>
      </c>
      <c r="C778" t="s">
        <v>17</v>
      </c>
      <c r="D778" s="35">
        <v>7048444.6500000004</v>
      </c>
      <c r="E778" s="35">
        <v>122117</v>
      </c>
      <c r="F778" s="35">
        <v>5273222.22</v>
      </c>
    </row>
    <row r="779" spans="1:6" x14ac:dyDescent="0.3">
      <c r="A779" t="s">
        <v>37</v>
      </c>
      <c r="B779">
        <v>2022</v>
      </c>
      <c r="C779" t="s">
        <v>9</v>
      </c>
      <c r="D779" s="35">
        <v>116267814.62</v>
      </c>
      <c r="E779" s="35">
        <v>1066055</v>
      </c>
      <c r="F779" s="35">
        <v>96822326.73999998</v>
      </c>
    </row>
    <row r="780" spans="1:6" x14ac:dyDescent="0.3">
      <c r="A780" t="s">
        <v>37</v>
      </c>
      <c r="B780">
        <v>2022</v>
      </c>
      <c r="C780" t="s">
        <v>8</v>
      </c>
      <c r="D780" s="35">
        <v>38387755.049999997</v>
      </c>
      <c r="E780" s="35">
        <v>2034</v>
      </c>
      <c r="F780" s="35">
        <v>38387755.049999997</v>
      </c>
    </row>
    <row r="781" spans="1:6" x14ac:dyDescent="0.3">
      <c r="A781" t="s">
        <v>37</v>
      </c>
      <c r="B781">
        <v>2022</v>
      </c>
      <c r="C781" t="s">
        <v>6</v>
      </c>
      <c r="D781" s="35">
        <v>171544464.19999999</v>
      </c>
      <c r="E781" s="35">
        <v>1309588</v>
      </c>
      <c r="F781" s="35">
        <v>157173981.18000001</v>
      </c>
    </row>
    <row r="782" spans="1:6" x14ac:dyDescent="0.3">
      <c r="A782" t="s">
        <v>37</v>
      </c>
      <c r="B782">
        <v>2022</v>
      </c>
      <c r="C782" t="s">
        <v>15</v>
      </c>
      <c r="D782" s="35">
        <v>36009631.270000003</v>
      </c>
      <c r="E782" s="35">
        <v>356883</v>
      </c>
      <c r="F782" s="35">
        <v>25397643.829999998</v>
      </c>
    </row>
    <row r="783" spans="1:6" x14ac:dyDescent="0.3">
      <c r="A783" t="s">
        <v>37</v>
      </c>
      <c r="B783">
        <v>2022</v>
      </c>
      <c r="C783" t="s">
        <v>18</v>
      </c>
      <c r="D783" s="35">
        <v>5380653.54</v>
      </c>
      <c r="E783" s="35">
        <v>31496</v>
      </c>
      <c r="F783" s="35">
        <v>4857770.9099999992</v>
      </c>
    </row>
    <row r="784" spans="1:6" x14ac:dyDescent="0.3">
      <c r="A784" t="s">
        <v>37</v>
      </c>
      <c r="B784">
        <v>2023</v>
      </c>
      <c r="C784" t="s">
        <v>10</v>
      </c>
      <c r="D784" s="35">
        <v>74303353.730000004</v>
      </c>
      <c r="E784" s="35">
        <v>1243929</v>
      </c>
      <c r="F784" s="35">
        <v>55071023.359999999</v>
      </c>
    </row>
    <row r="785" spans="1:6" x14ac:dyDescent="0.3">
      <c r="A785" t="s">
        <v>37</v>
      </c>
      <c r="B785">
        <v>2023</v>
      </c>
      <c r="C785" t="s">
        <v>4</v>
      </c>
      <c r="D785" s="35">
        <v>358435919.83999991</v>
      </c>
      <c r="E785" s="35">
        <v>511931</v>
      </c>
      <c r="F785" s="35">
        <v>356081141.69999999</v>
      </c>
    </row>
    <row r="786" spans="1:6" x14ac:dyDescent="0.3">
      <c r="A786" t="s">
        <v>37</v>
      </c>
      <c r="B786">
        <v>2023</v>
      </c>
      <c r="C786" t="s">
        <v>13</v>
      </c>
      <c r="D786" s="35">
        <v>52084465.670000009</v>
      </c>
      <c r="E786" s="35">
        <v>381886</v>
      </c>
      <c r="F786" s="35">
        <v>40238165.770000003</v>
      </c>
    </row>
    <row r="787" spans="1:6" x14ac:dyDescent="0.3">
      <c r="A787" t="s">
        <v>37</v>
      </c>
      <c r="B787">
        <v>2023</v>
      </c>
      <c r="C787" t="s">
        <v>16</v>
      </c>
      <c r="D787" s="35">
        <v>57622489.030000001</v>
      </c>
      <c r="E787" s="35">
        <v>81437</v>
      </c>
      <c r="F787" s="35">
        <v>56350285.520000003</v>
      </c>
    </row>
    <row r="788" spans="1:6" x14ac:dyDescent="0.3">
      <c r="A788" t="s">
        <v>37</v>
      </c>
      <c r="B788">
        <v>2023</v>
      </c>
      <c r="C788" t="s">
        <v>14</v>
      </c>
      <c r="D788" s="35">
        <v>57524661.809999987</v>
      </c>
      <c r="E788" s="35">
        <v>600564</v>
      </c>
      <c r="F788" s="35">
        <v>41558687.630000003</v>
      </c>
    </row>
    <row r="789" spans="1:6" x14ac:dyDescent="0.3">
      <c r="A789" t="s">
        <v>37</v>
      </c>
      <c r="B789">
        <v>2023</v>
      </c>
      <c r="C789" t="s">
        <v>7</v>
      </c>
      <c r="D789" s="35">
        <v>112091940.29000001</v>
      </c>
      <c r="E789" s="35">
        <v>28788</v>
      </c>
      <c r="F789" s="35">
        <v>111593472.45999999</v>
      </c>
    </row>
    <row r="790" spans="1:6" x14ac:dyDescent="0.3">
      <c r="A790" t="s">
        <v>37</v>
      </c>
      <c r="B790">
        <v>2023</v>
      </c>
      <c r="C790" t="s">
        <v>11</v>
      </c>
      <c r="D790" s="35">
        <v>45250761.010000013</v>
      </c>
      <c r="E790" s="35">
        <v>67047</v>
      </c>
      <c r="F790" s="35">
        <v>42683011.730000012</v>
      </c>
    </row>
    <row r="791" spans="1:6" x14ac:dyDescent="0.3">
      <c r="A791" t="s">
        <v>37</v>
      </c>
      <c r="B791">
        <v>2023</v>
      </c>
      <c r="C791" t="s">
        <v>3</v>
      </c>
      <c r="D791" s="35">
        <v>346323747.86999989</v>
      </c>
      <c r="E791" s="35">
        <v>434504</v>
      </c>
      <c r="F791" s="35">
        <v>339215613.17999989</v>
      </c>
    </row>
    <row r="792" spans="1:6" x14ac:dyDescent="0.3">
      <c r="A792" t="s">
        <v>37</v>
      </c>
      <c r="B792">
        <v>2023</v>
      </c>
      <c r="C792" t="s">
        <v>12</v>
      </c>
      <c r="D792" s="35">
        <v>53271117.449999988</v>
      </c>
      <c r="E792" s="35">
        <v>935614</v>
      </c>
      <c r="F792" s="35">
        <v>33599649.960000001</v>
      </c>
    </row>
    <row r="793" spans="1:6" x14ac:dyDescent="0.3">
      <c r="A793" t="s">
        <v>37</v>
      </c>
      <c r="B793">
        <v>2023</v>
      </c>
      <c r="C793" t="s">
        <v>2</v>
      </c>
      <c r="D793" s="35">
        <v>365341975.86000001</v>
      </c>
      <c r="E793" s="35">
        <v>2438014</v>
      </c>
      <c r="F793" s="35">
        <v>322406916.66000003</v>
      </c>
    </row>
    <row r="794" spans="1:6" x14ac:dyDescent="0.3">
      <c r="A794" t="s">
        <v>37</v>
      </c>
      <c r="B794">
        <v>2023</v>
      </c>
      <c r="C794" t="s">
        <v>5</v>
      </c>
      <c r="D794" s="35">
        <v>71413547.519999996</v>
      </c>
      <c r="E794" s="35">
        <v>34056</v>
      </c>
      <c r="F794" s="35">
        <v>68451059.590000004</v>
      </c>
    </row>
    <row r="795" spans="1:6" x14ac:dyDescent="0.3">
      <c r="A795" t="s">
        <v>37</v>
      </c>
      <c r="B795">
        <v>2023</v>
      </c>
      <c r="C795" t="s">
        <v>17</v>
      </c>
      <c r="D795" s="35">
        <v>6855920.1999999983</v>
      </c>
      <c r="E795" s="35">
        <v>127570</v>
      </c>
      <c r="F795" s="35">
        <v>5117627.32</v>
      </c>
    </row>
    <row r="796" spans="1:6" x14ac:dyDescent="0.3">
      <c r="A796" t="s">
        <v>37</v>
      </c>
      <c r="B796">
        <v>2023</v>
      </c>
      <c r="C796" t="s">
        <v>9</v>
      </c>
      <c r="D796" s="35">
        <v>98407365.120000005</v>
      </c>
      <c r="E796" s="35">
        <v>1050704</v>
      </c>
      <c r="F796" s="35">
        <v>76153396.049999997</v>
      </c>
    </row>
    <row r="797" spans="1:6" x14ac:dyDescent="0.3">
      <c r="A797" t="s">
        <v>37</v>
      </c>
      <c r="B797">
        <v>2023</v>
      </c>
      <c r="C797" t="s">
        <v>8</v>
      </c>
      <c r="D797" s="35">
        <v>39515759.270000003</v>
      </c>
      <c r="E797" s="35">
        <v>2035</v>
      </c>
      <c r="F797" s="35">
        <v>39515759.270000003</v>
      </c>
    </row>
    <row r="798" spans="1:6" x14ac:dyDescent="0.3">
      <c r="A798" t="s">
        <v>37</v>
      </c>
      <c r="B798">
        <v>2023</v>
      </c>
      <c r="C798" t="s">
        <v>6</v>
      </c>
      <c r="D798" s="35">
        <v>172301921.72999999</v>
      </c>
      <c r="E798" s="35">
        <v>1335281</v>
      </c>
      <c r="F798" s="35">
        <v>156436748.62</v>
      </c>
    </row>
    <row r="799" spans="1:6" x14ac:dyDescent="0.3">
      <c r="A799" t="s">
        <v>37</v>
      </c>
      <c r="B799">
        <v>2023</v>
      </c>
      <c r="C799" t="s">
        <v>15</v>
      </c>
      <c r="D799" s="35">
        <v>26388514.77</v>
      </c>
      <c r="E799" s="35">
        <v>295658</v>
      </c>
      <c r="F799" s="35">
        <v>16520573.380000001</v>
      </c>
    </row>
    <row r="800" spans="1:6" x14ac:dyDescent="0.3">
      <c r="A800" t="s">
        <v>37</v>
      </c>
      <c r="B800">
        <v>2023</v>
      </c>
      <c r="C800" t="s">
        <v>18</v>
      </c>
      <c r="D800" s="35">
        <v>7070805.8799999999</v>
      </c>
      <c r="E800" s="35">
        <v>30373</v>
      </c>
      <c r="F800" s="35">
        <v>6639670.5999999996</v>
      </c>
    </row>
    <row r="801" spans="1:6" x14ac:dyDescent="0.3">
      <c r="A801" t="s">
        <v>37</v>
      </c>
      <c r="B801">
        <v>2024</v>
      </c>
      <c r="C801" t="s">
        <v>10</v>
      </c>
      <c r="D801" s="35">
        <v>76207780.899999991</v>
      </c>
      <c r="E801" s="35">
        <v>1199853</v>
      </c>
      <c r="F801" s="35">
        <v>58251006.140000001</v>
      </c>
    </row>
    <row r="802" spans="1:6" x14ac:dyDescent="0.3">
      <c r="A802" t="s">
        <v>37</v>
      </c>
      <c r="B802">
        <v>2024</v>
      </c>
      <c r="C802" t="s">
        <v>4</v>
      </c>
      <c r="D802" s="35">
        <v>384037818.17000002</v>
      </c>
      <c r="E802" s="35">
        <v>549897</v>
      </c>
      <c r="F802" s="35">
        <v>381859275.80999988</v>
      </c>
    </row>
    <row r="803" spans="1:6" x14ac:dyDescent="0.3">
      <c r="A803" t="s">
        <v>37</v>
      </c>
      <c r="B803">
        <v>2024</v>
      </c>
      <c r="C803" t="s">
        <v>13</v>
      </c>
      <c r="D803" s="35">
        <v>56942445.380000003</v>
      </c>
      <c r="E803" s="35">
        <v>359535</v>
      </c>
      <c r="F803" s="35">
        <v>46614111.359999999</v>
      </c>
    </row>
    <row r="804" spans="1:6" x14ac:dyDescent="0.3">
      <c r="A804" t="s">
        <v>37</v>
      </c>
      <c r="B804">
        <v>2024</v>
      </c>
      <c r="C804" t="s">
        <v>16</v>
      </c>
      <c r="D804" s="35">
        <v>52785871.88000001</v>
      </c>
      <c r="E804" s="35">
        <v>75347</v>
      </c>
      <c r="F804" s="35">
        <v>51795694.460000008</v>
      </c>
    </row>
    <row r="805" spans="1:6" x14ac:dyDescent="0.3">
      <c r="A805" t="s">
        <v>37</v>
      </c>
      <c r="B805">
        <v>2024</v>
      </c>
      <c r="C805" t="s">
        <v>14</v>
      </c>
      <c r="D805" s="35">
        <v>58068024.459999993</v>
      </c>
      <c r="E805" s="35">
        <v>596323</v>
      </c>
      <c r="F805" s="35">
        <v>42496087.389999993</v>
      </c>
    </row>
    <row r="806" spans="1:6" x14ac:dyDescent="0.3">
      <c r="A806" t="s">
        <v>37</v>
      </c>
      <c r="B806">
        <v>2024</v>
      </c>
      <c r="C806" t="s">
        <v>7</v>
      </c>
      <c r="D806" s="35">
        <v>107172004.81</v>
      </c>
      <c r="E806" s="35">
        <v>25428</v>
      </c>
      <c r="F806" s="35">
        <v>106904788.93000001</v>
      </c>
    </row>
    <row r="807" spans="1:6" x14ac:dyDescent="0.3">
      <c r="A807" t="s">
        <v>37</v>
      </c>
      <c r="B807">
        <v>2024</v>
      </c>
      <c r="C807" t="s">
        <v>11</v>
      </c>
      <c r="D807" s="35">
        <v>41281574.260000013</v>
      </c>
      <c r="E807" s="35">
        <v>56295</v>
      </c>
      <c r="F807" s="35">
        <v>36605922.469999999</v>
      </c>
    </row>
    <row r="808" spans="1:6" x14ac:dyDescent="0.3">
      <c r="A808" t="s">
        <v>37</v>
      </c>
      <c r="B808">
        <v>2024</v>
      </c>
      <c r="C808" t="s">
        <v>3</v>
      </c>
      <c r="D808" s="35">
        <v>371497339.08999997</v>
      </c>
      <c r="E808" s="35">
        <v>421573</v>
      </c>
      <c r="F808" s="35">
        <v>364703184.92999989</v>
      </c>
    </row>
    <row r="809" spans="1:6" x14ac:dyDescent="0.3">
      <c r="A809" t="s">
        <v>37</v>
      </c>
      <c r="B809">
        <v>2024</v>
      </c>
      <c r="C809" t="s">
        <v>12</v>
      </c>
      <c r="D809" s="35">
        <v>52952146.210000001</v>
      </c>
      <c r="E809" s="35">
        <v>928538</v>
      </c>
      <c r="F809" s="35">
        <v>34070025.350000001</v>
      </c>
    </row>
    <row r="810" spans="1:6" x14ac:dyDescent="0.3">
      <c r="A810" t="s">
        <v>37</v>
      </c>
      <c r="B810">
        <v>2024</v>
      </c>
      <c r="C810" t="s">
        <v>2</v>
      </c>
      <c r="D810" s="35">
        <v>373577185.23000008</v>
      </c>
      <c r="E810" s="35">
        <v>2360244</v>
      </c>
      <c r="F810" s="35">
        <v>330872778.51999998</v>
      </c>
    </row>
    <row r="811" spans="1:6" x14ac:dyDescent="0.3">
      <c r="A811" t="s">
        <v>37</v>
      </c>
      <c r="B811">
        <v>2024</v>
      </c>
      <c r="C811" t="s">
        <v>5</v>
      </c>
      <c r="D811" s="35">
        <v>74893607.929999992</v>
      </c>
      <c r="E811" s="35">
        <v>32081</v>
      </c>
      <c r="F811" s="35">
        <v>72870590.179999992</v>
      </c>
    </row>
    <row r="812" spans="1:6" x14ac:dyDescent="0.3">
      <c r="A812" t="s">
        <v>37</v>
      </c>
      <c r="B812">
        <v>2024</v>
      </c>
      <c r="C812" t="s">
        <v>17</v>
      </c>
      <c r="D812" s="35">
        <v>4474611.1100000003</v>
      </c>
      <c r="E812" s="35">
        <v>121677</v>
      </c>
      <c r="F812" s="35">
        <v>845363.75</v>
      </c>
    </row>
    <row r="813" spans="1:6" x14ac:dyDescent="0.3">
      <c r="A813" t="s">
        <v>37</v>
      </c>
      <c r="B813">
        <v>2024</v>
      </c>
      <c r="C813" t="s">
        <v>9</v>
      </c>
      <c r="D813" s="35">
        <v>92054685.709999949</v>
      </c>
      <c r="E813" s="35">
        <v>996360</v>
      </c>
      <c r="F813" s="35">
        <v>70204425.36999999</v>
      </c>
    </row>
    <row r="814" spans="1:6" x14ac:dyDescent="0.3">
      <c r="A814" t="s">
        <v>37</v>
      </c>
      <c r="B814">
        <v>2024</v>
      </c>
      <c r="C814" t="s">
        <v>8</v>
      </c>
      <c r="D814" s="35">
        <v>38652336.980000012</v>
      </c>
      <c r="E814" s="35">
        <v>2337</v>
      </c>
      <c r="F814" s="35">
        <v>37722394.360000007</v>
      </c>
    </row>
    <row r="815" spans="1:6" x14ac:dyDescent="0.3">
      <c r="A815" t="s">
        <v>37</v>
      </c>
      <c r="B815">
        <v>2024</v>
      </c>
      <c r="C815" t="s">
        <v>6</v>
      </c>
      <c r="D815" s="35">
        <v>153024913.46000001</v>
      </c>
      <c r="E815" s="35">
        <v>1297967</v>
      </c>
      <c r="F815" s="35">
        <v>136351219.11000001</v>
      </c>
    </row>
    <row r="816" spans="1:6" x14ac:dyDescent="0.3">
      <c r="A816" t="s">
        <v>37</v>
      </c>
      <c r="B816">
        <v>2024</v>
      </c>
      <c r="C816" t="s">
        <v>15</v>
      </c>
      <c r="D816" s="35">
        <v>22716964.859999999</v>
      </c>
      <c r="E816" s="35">
        <v>258400</v>
      </c>
      <c r="F816" s="35">
        <v>10848401.93</v>
      </c>
    </row>
    <row r="817" spans="1:6" x14ac:dyDescent="0.3">
      <c r="A817" t="s">
        <v>37</v>
      </c>
      <c r="B817">
        <v>2024</v>
      </c>
      <c r="C817" t="s">
        <v>18</v>
      </c>
      <c r="D817" s="35">
        <v>9151392.6899999995</v>
      </c>
      <c r="E817" s="35">
        <v>32530</v>
      </c>
      <c r="F817" s="35">
        <v>8337594.0999999996</v>
      </c>
    </row>
    <row r="818" spans="1:6" x14ac:dyDescent="0.3">
      <c r="A818" t="s">
        <v>37</v>
      </c>
      <c r="B818">
        <v>2025</v>
      </c>
      <c r="C818" t="s">
        <v>10</v>
      </c>
      <c r="D818" s="35">
        <v>80117251.170000032</v>
      </c>
      <c r="E818" s="35">
        <v>1174365</v>
      </c>
      <c r="F818" s="35">
        <v>62775778.690000013</v>
      </c>
    </row>
    <row r="819" spans="1:6" x14ac:dyDescent="0.3">
      <c r="A819" t="s">
        <v>37</v>
      </c>
      <c r="B819">
        <v>2025</v>
      </c>
      <c r="C819" t="s">
        <v>4</v>
      </c>
      <c r="D819" s="35">
        <v>320187277.17000008</v>
      </c>
      <c r="E819" s="35">
        <v>502250</v>
      </c>
      <c r="F819" s="35">
        <v>317913247.34000009</v>
      </c>
    </row>
    <row r="820" spans="1:6" x14ac:dyDescent="0.3">
      <c r="A820" t="s">
        <v>37</v>
      </c>
      <c r="B820">
        <v>2025</v>
      </c>
      <c r="C820" t="s">
        <v>13</v>
      </c>
      <c r="D820" s="35">
        <v>65549425.559999987</v>
      </c>
      <c r="E820" s="35">
        <v>347139</v>
      </c>
      <c r="F820" s="35">
        <v>54559983.039999992</v>
      </c>
    </row>
    <row r="821" spans="1:6" x14ac:dyDescent="0.3">
      <c r="A821" t="s">
        <v>37</v>
      </c>
      <c r="B821">
        <v>2025</v>
      </c>
      <c r="C821" t="s">
        <v>16</v>
      </c>
      <c r="D821" s="35">
        <v>60598524.649999999</v>
      </c>
      <c r="E821" s="35">
        <v>78939</v>
      </c>
      <c r="F821" s="35">
        <v>59490921.340000004</v>
      </c>
    </row>
    <row r="822" spans="1:6" x14ac:dyDescent="0.3">
      <c r="A822" t="s">
        <v>37</v>
      </c>
      <c r="B822">
        <v>2025</v>
      </c>
      <c r="C822" t="s">
        <v>14</v>
      </c>
      <c r="D822" s="35">
        <v>55282281.309999987</v>
      </c>
      <c r="E822" s="35">
        <v>584108</v>
      </c>
      <c r="F822" s="35">
        <v>42708862.359999999</v>
      </c>
    </row>
    <row r="823" spans="1:6" x14ac:dyDescent="0.3">
      <c r="A823" t="s">
        <v>37</v>
      </c>
      <c r="B823">
        <v>2025</v>
      </c>
      <c r="C823" t="s">
        <v>7</v>
      </c>
      <c r="D823" s="35">
        <v>107193476.78</v>
      </c>
      <c r="E823" s="35">
        <v>23409</v>
      </c>
      <c r="F823" s="35">
        <v>106987145.06</v>
      </c>
    </row>
    <row r="824" spans="1:6" x14ac:dyDescent="0.3">
      <c r="A824" t="s">
        <v>37</v>
      </c>
      <c r="B824">
        <v>2025</v>
      </c>
      <c r="C824" t="s">
        <v>11</v>
      </c>
      <c r="D824" s="35">
        <v>40892797.609999999</v>
      </c>
      <c r="E824" s="35">
        <v>58872</v>
      </c>
      <c r="F824" s="35">
        <v>39664538.679999992</v>
      </c>
    </row>
    <row r="825" spans="1:6" x14ac:dyDescent="0.3">
      <c r="A825" t="s">
        <v>37</v>
      </c>
      <c r="B825">
        <v>2025</v>
      </c>
      <c r="C825" t="s">
        <v>3</v>
      </c>
      <c r="D825" s="35">
        <v>400523348.56</v>
      </c>
      <c r="E825" s="35">
        <v>407701</v>
      </c>
      <c r="F825" s="35">
        <v>394357152.32999992</v>
      </c>
    </row>
    <row r="826" spans="1:6" x14ac:dyDescent="0.3">
      <c r="A826" t="s">
        <v>37</v>
      </c>
      <c r="B826">
        <v>2025</v>
      </c>
      <c r="C826" t="s">
        <v>12</v>
      </c>
      <c r="D826" s="35">
        <v>45219673.5</v>
      </c>
      <c r="E826" s="35">
        <v>856305</v>
      </c>
      <c r="F826" s="35">
        <v>28225575.539999999</v>
      </c>
    </row>
    <row r="827" spans="1:6" x14ac:dyDescent="0.3">
      <c r="A827" t="s">
        <v>37</v>
      </c>
      <c r="B827">
        <v>2025</v>
      </c>
      <c r="C827" t="s">
        <v>2</v>
      </c>
      <c r="D827" s="35">
        <v>393884231.70999992</v>
      </c>
      <c r="E827" s="35">
        <v>2336824</v>
      </c>
      <c r="F827" s="35">
        <v>349006064.2100001</v>
      </c>
    </row>
    <row r="828" spans="1:6" x14ac:dyDescent="0.3">
      <c r="A828" t="s">
        <v>37</v>
      </c>
      <c r="B828">
        <v>2025</v>
      </c>
      <c r="C828" t="s">
        <v>5</v>
      </c>
      <c r="D828" s="35">
        <v>84528567.180000022</v>
      </c>
      <c r="E828" s="35">
        <v>32214</v>
      </c>
      <c r="F828" s="35">
        <v>83486876.230000004</v>
      </c>
    </row>
    <row r="829" spans="1:6" x14ac:dyDescent="0.3">
      <c r="A829" t="s">
        <v>37</v>
      </c>
      <c r="B829">
        <v>2025</v>
      </c>
      <c r="C829" t="s">
        <v>17</v>
      </c>
      <c r="D829" s="35">
        <v>3641917.3900000011</v>
      </c>
      <c r="E829" s="35">
        <v>124214</v>
      </c>
      <c r="F829" s="35">
        <v>718002.75</v>
      </c>
    </row>
    <row r="830" spans="1:6" x14ac:dyDescent="0.3">
      <c r="A830" t="s">
        <v>37</v>
      </c>
      <c r="B830">
        <v>2025</v>
      </c>
      <c r="C830" t="s">
        <v>9</v>
      </c>
      <c r="D830" s="35">
        <v>88598599.38000001</v>
      </c>
      <c r="E830" s="35">
        <v>997785</v>
      </c>
      <c r="F830" s="35">
        <v>70403909.129999965</v>
      </c>
    </row>
    <row r="831" spans="1:6" x14ac:dyDescent="0.3">
      <c r="A831" t="s">
        <v>37</v>
      </c>
      <c r="B831">
        <v>2025</v>
      </c>
      <c r="C831" t="s">
        <v>8</v>
      </c>
      <c r="D831" s="35">
        <v>34110103.909999996</v>
      </c>
      <c r="E831" s="35">
        <v>2454</v>
      </c>
      <c r="F831" s="35">
        <v>34080825.659999996</v>
      </c>
    </row>
    <row r="832" spans="1:6" x14ac:dyDescent="0.3">
      <c r="A832" t="s">
        <v>37</v>
      </c>
      <c r="B832">
        <v>2025</v>
      </c>
      <c r="C832" t="s">
        <v>6</v>
      </c>
      <c r="D832" s="35">
        <v>151334037.06</v>
      </c>
      <c r="E832" s="35">
        <v>1253754</v>
      </c>
      <c r="F832" s="35">
        <v>135771339.15000001</v>
      </c>
    </row>
    <row r="833" spans="1:6" x14ac:dyDescent="0.3">
      <c r="A833" t="s">
        <v>37</v>
      </c>
      <c r="B833">
        <v>2025</v>
      </c>
      <c r="C833" t="s">
        <v>15</v>
      </c>
      <c r="D833" s="35">
        <v>23684975.27</v>
      </c>
      <c r="E833" s="35">
        <v>249261</v>
      </c>
      <c r="F833" s="35">
        <v>14706507.560000001</v>
      </c>
    </row>
    <row r="834" spans="1:6" x14ac:dyDescent="0.3">
      <c r="A834" t="s">
        <v>37</v>
      </c>
      <c r="B834">
        <v>2025</v>
      </c>
      <c r="C834" t="s">
        <v>18</v>
      </c>
      <c r="D834" s="35">
        <v>7820620.3899999997</v>
      </c>
      <c r="E834" s="35">
        <v>33669</v>
      </c>
      <c r="F834" s="35">
        <v>7175044</v>
      </c>
    </row>
    <row r="835" spans="1:6" x14ac:dyDescent="0.3">
      <c r="A835" t="s">
        <v>38</v>
      </c>
      <c r="B835">
        <v>2019</v>
      </c>
      <c r="C835" t="s">
        <v>10</v>
      </c>
      <c r="D835" s="35">
        <v>9504231.0500000007</v>
      </c>
      <c r="E835" s="35">
        <v>465214</v>
      </c>
      <c r="F835" s="35">
        <v>5619089.9900000002</v>
      </c>
    </row>
    <row r="836" spans="1:6" x14ac:dyDescent="0.3">
      <c r="A836" t="s">
        <v>38</v>
      </c>
      <c r="B836">
        <v>2019</v>
      </c>
      <c r="C836" t="s">
        <v>4</v>
      </c>
      <c r="D836" s="35">
        <v>29038151.780000001</v>
      </c>
      <c r="E836" s="35">
        <v>123936</v>
      </c>
      <c r="F836" s="35">
        <v>28603144.379999999</v>
      </c>
    </row>
    <row r="837" spans="1:6" x14ac:dyDescent="0.3">
      <c r="A837" t="s">
        <v>38</v>
      </c>
      <c r="B837">
        <v>2019</v>
      </c>
      <c r="C837" t="s">
        <v>13</v>
      </c>
      <c r="D837" s="35">
        <v>3998546.04</v>
      </c>
      <c r="E837" s="35">
        <v>93602</v>
      </c>
      <c r="F837" s="35">
        <v>1967084.17</v>
      </c>
    </row>
    <row r="838" spans="1:6" x14ac:dyDescent="0.3">
      <c r="A838" t="s">
        <v>38</v>
      </c>
      <c r="B838">
        <v>2019</v>
      </c>
      <c r="C838" t="s">
        <v>16</v>
      </c>
      <c r="D838" s="35">
        <v>1327259.21</v>
      </c>
      <c r="E838" s="35">
        <v>14795</v>
      </c>
      <c r="F838" s="35">
        <v>885082.63</v>
      </c>
    </row>
    <row r="839" spans="1:6" x14ac:dyDescent="0.3">
      <c r="A839" t="s">
        <v>38</v>
      </c>
      <c r="B839">
        <v>2019</v>
      </c>
      <c r="C839" t="s">
        <v>14</v>
      </c>
      <c r="D839" s="35">
        <v>2557167.3199999989</v>
      </c>
      <c r="E839" s="35">
        <v>92985</v>
      </c>
      <c r="F839" s="35">
        <v>1510289.61</v>
      </c>
    </row>
    <row r="840" spans="1:6" x14ac:dyDescent="0.3">
      <c r="A840" t="s">
        <v>38</v>
      </c>
      <c r="B840">
        <v>2019</v>
      </c>
      <c r="C840" t="s">
        <v>7</v>
      </c>
      <c r="D840" s="35">
        <v>115751149.72</v>
      </c>
      <c r="E840" s="35">
        <v>49665</v>
      </c>
      <c r="F840" s="35">
        <v>115511628.23999999</v>
      </c>
    </row>
    <row r="841" spans="1:6" x14ac:dyDescent="0.3">
      <c r="A841" t="s">
        <v>38</v>
      </c>
      <c r="B841">
        <v>2019</v>
      </c>
      <c r="C841" t="s">
        <v>11</v>
      </c>
      <c r="D841" s="35">
        <v>2713255.15</v>
      </c>
      <c r="E841" s="35">
        <v>12273</v>
      </c>
      <c r="F841" s="35">
        <v>2657120.56</v>
      </c>
    </row>
    <row r="842" spans="1:6" x14ac:dyDescent="0.3">
      <c r="A842" t="s">
        <v>38</v>
      </c>
      <c r="B842">
        <v>2019</v>
      </c>
      <c r="C842" t="s">
        <v>3</v>
      </c>
      <c r="D842" s="35">
        <v>11326924.880000001</v>
      </c>
      <c r="E842" s="35">
        <v>82573</v>
      </c>
      <c r="F842" s="35">
        <v>10388572.77</v>
      </c>
    </row>
    <row r="843" spans="1:6" x14ac:dyDescent="0.3">
      <c r="A843" t="s">
        <v>38</v>
      </c>
      <c r="B843">
        <v>2019</v>
      </c>
      <c r="C843" t="s">
        <v>12</v>
      </c>
      <c r="D843" s="35">
        <v>11641600.449999999</v>
      </c>
      <c r="E843" s="35">
        <v>195118</v>
      </c>
      <c r="F843" s="35">
        <v>9160996.0299999993</v>
      </c>
    </row>
    <row r="844" spans="1:6" x14ac:dyDescent="0.3">
      <c r="A844" t="s">
        <v>38</v>
      </c>
      <c r="B844">
        <v>2019</v>
      </c>
      <c r="C844" t="s">
        <v>2</v>
      </c>
      <c r="D844" s="35">
        <v>29297034.429999989</v>
      </c>
      <c r="E844" s="35">
        <v>307929</v>
      </c>
      <c r="F844" s="35">
        <v>24257849.91</v>
      </c>
    </row>
    <row r="845" spans="1:6" x14ac:dyDescent="0.3">
      <c r="A845" t="s">
        <v>38</v>
      </c>
      <c r="B845">
        <v>2019</v>
      </c>
      <c r="C845" t="s">
        <v>5</v>
      </c>
      <c r="D845" s="35">
        <v>5725812.9600000009</v>
      </c>
      <c r="E845" s="35">
        <v>9256</v>
      </c>
      <c r="F845" s="35">
        <v>5446522.7000000002</v>
      </c>
    </row>
    <row r="846" spans="1:6" x14ac:dyDescent="0.3">
      <c r="A846" t="s">
        <v>38</v>
      </c>
      <c r="B846">
        <v>2019</v>
      </c>
      <c r="C846" t="s">
        <v>17</v>
      </c>
      <c r="D846" s="35">
        <v>409653.88000000012</v>
      </c>
      <c r="E846" s="35">
        <v>23962</v>
      </c>
      <c r="F846" s="35">
        <v>62376.86</v>
      </c>
    </row>
    <row r="847" spans="1:6" x14ac:dyDescent="0.3">
      <c r="A847" t="s">
        <v>38</v>
      </c>
      <c r="B847">
        <v>2019</v>
      </c>
      <c r="C847" t="s">
        <v>9</v>
      </c>
      <c r="D847" s="35">
        <v>8496086.7199999988</v>
      </c>
      <c r="E847" s="35">
        <v>246042</v>
      </c>
      <c r="F847" s="35">
        <v>5630783.5699999994</v>
      </c>
    </row>
    <row r="848" spans="1:6" x14ac:dyDescent="0.3">
      <c r="A848" t="s">
        <v>38</v>
      </c>
      <c r="B848">
        <v>2019</v>
      </c>
      <c r="C848" t="s">
        <v>8</v>
      </c>
      <c r="D848" s="35">
        <v>150413.62</v>
      </c>
      <c r="E848" s="35">
        <v>201</v>
      </c>
      <c r="F848" s="35">
        <v>150413.62</v>
      </c>
    </row>
    <row r="849" spans="1:6" x14ac:dyDescent="0.3">
      <c r="A849" t="s">
        <v>38</v>
      </c>
      <c r="B849">
        <v>2019</v>
      </c>
      <c r="C849" t="s">
        <v>6</v>
      </c>
      <c r="D849" s="35">
        <v>23279616.039999999</v>
      </c>
      <c r="E849" s="35">
        <v>339462</v>
      </c>
      <c r="F849" s="35">
        <v>20502742.739999998</v>
      </c>
    </row>
    <row r="850" spans="1:6" x14ac:dyDescent="0.3">
      <c r="A850" t="s">
        <v>38</v>
      </c>
      <c r="B850">
        <v>2019</v>
      </c>
      <c r="C850" t="s">
        <v>15</v>
      </c>
      <c r="D850" s="35">
        <v>6388355.5199999996</v>
      </c>
      <c r="E850" s="35">
        <v>149782</v>
      </c>
      <c r="F850" s="35">
        <v>4466855.67</v>
      </c>
    </row>
    <row r="851" spans="1:6" x14ac:dyDescent="0.3">
      <c r="A851" t="s">
        <v>38</v>
      </c>
      <c r="B851">
        <v>2019</v>
      </c>
      <c r="C851" t="s">
        <v>18</v>
      </c>
      <c r="D851" s="35">
        <v>1384934.16</v>
      </c>
      <c r="E851" s="35">
        <v>10515</v>
      </c>
      <c r="F851" s="35">
        <v>804535.79999999993</v>
      </c>
    </row>
    <row r="852" spans="1:6" x14ac:dyDescent="0.3">
      <c r="A852" t="s">
        <v>38</v>
      </c>
      <c r="B852">
        <v>2020</v>
      </c>
      <c r="C852" t="s">
        <v>10</v>
      </c>
      <c r="D852" s="35">
        <v>10371596.9</v>
      </c>
      <c r="E852" s="35">
        <v>428758</v>
      </c>
      <c r="F852" s="35">
        <v>6664019.4299999988</v>
      </c>
    </row>
    <row r="853" spans="1:6" x14ac:dyDescent="0.3">
      <c r="A853" t="s">
        <v>38</v>
      </c>
      <c r="B853">
        <v>2020</v>
      </c>
      <c r="C853" t="s">
        <v>4</v>
      </c>
      <c r="D853" s="35">
        <v>29541001.789999999</v>
      </c>
      <c r="E853" s="35">
        <v>115249</v>
      </c>
      <c r="F853" s="35">
        <v>29160554.460000001</v>
      </c>
    </row>
    <row r="854" spans="1:6" x14ac:dyDescent="0.3">
      <c r="A854" t="s">
        <v>38</v>
      </c>
      <c r="B854">
        <v>2020</v>
      </c>
      <c r="C854" t="s">
        <v>13</v>
      </c>
      <c r="D854" s="35">
        <v>2990790</v>
      </c>
      <c r="E854" s="35">
        <v>86640</v>
      </c>
      <c r="F854" s="35">
        <v>1465839.05</v>
      </c>
    </row>
    <row r="855" spans="1:6" x14ac:dyDescent="0.3">
      <c r="A855" t="s">
        <v>38</v>
      </c>
      <c r="B855">
        <v>2020</v>
      </c>
      <c r="C855" t="s">
        <v>16</v>
      </c>
      <c r="D855" s="35">
        <v>1330574.24</v>
      </c>
      <c r="E855" s="35">
        <v>15924</v>
      </c>
      <c r="F855" s="35">
        <v>889164.2899999998</v>
      </c>
    </row>
    <row r="856" spans="1:6" x14ac:dyDescent="0.3">
      <c r="A856" t="s">
        <v>38</v>
      </c>
      <c r="B856">
        <v>2020</v>
      </c>
      <c r="C856" t="s">
        <v>14</v>
      </c>
      <c r="D856" s="35">
        <v>2394838.73</v>
      </c>
      <c r="E856" s="35">
        <v>95673</v>
      </c>
      <c r="F856" s="35">
        <v>1088948.49</v>
      </c>
    </row>
    <row r="857" spans="1:6" x14ac:dyDescent="0.3">
      <c r="A857" t="s">
        <v>38</v>
      </c>
      <c r="B857">
        <v>2020</v>
      </c>
      <c r="C857" t="s">
        <v>7</v>
      </c>
      <c r="D857" s="35">
        <v>122384971.98999999</v>
      </c>
      <c r="E857" s="35">
        <v>47525</v>
      </c>
      <c r="F857" s="35">
        <v>121447101.81999999</v>
      </c>
    </row>
    <row r="858" spans="1:6" x14ac:dyDescent="0.3">
      <c r="A858" t="s">
        <v>38</v>
      </c>
      <c r="B858">
        <v>2020</v>
      </c>
      <c r="C858" t="s">
        <v>11</v>
      </c>
      <c r="D858" s="35">
        <v>2742438.65</v>
      </c>
      <c r="E858" s="35">
        <v>14579</v>
      </c>
      <c r="F858" s="35">
        <v>2410986.17</v>
      </c>
    </row>
    <row r="859" spans="1:6" x14ac:dyDescent="0.3">
      <c r="A859" t="s">
        <v>38</v>
      </c>
      <c r="B859">
        <v>2020</v>
      </c>
      <c r="C859" t="s">
        <v>3</v>
      </c>
      <c r="D859" s="35">
        <v>16025671.65</v>
      </c>
      <c r="E859" s="35">
        <v>72310</v>
      </c>
      <c r="F859" s="35">
        <v>15114771.050000001</v>
      </c>
    </row>
    <row r="860" spans="1:6" x14ac:dyDescent="0.3">
      <c r="A860" t="s">
        <v>38</v>
      </c>
      <c r="B860">
        <v>2020</v>
      </c>
      <c r="C860" t="s">
        <v>12</v>
      </c>
      <c r="D860" s="35">
        <v>6981676.29</v>
      </c>
      <c r="E860" s="35">
        <v>169136</v>
      </c>
      <c r="F860" s="35">
        <v>4836118.8499999996</v>
      </c>
    </row>
    <row r="861" spans="1:6" x14ac:dyDescent="0.3">
      <c r="A861" t="s">
        <v>38</v>
      </c>
      <c r="B861">
        <v>2020</v>
      </c>
      <c r="C861" t="s">
        <v>2</v>
      </c>
      <c r="D861" s="35">
        <v>31820088.559999999</v>
      </c>
      <c r="E861" s="35">
        <v>313211</v>
      </c>
      <c r="F861" s="35">
        <v>27079756.739999991</v>
      </c>
    </row>
    <row r="862" spans="1:6" x14ac:dyDescent="0.3">
      <c r="A862" t="s">
        <v>38</v>
      </c>
      <c r="B862">
        <v>2020</v>
      </c>
      <c r="C862" t="s">
        <v>5</v>
      </c>
      <c r="D862" s="35">
        <v>6556558.879999999</v>
      </c>
      <c r="E862" s="35">
        <v>9328</v>
      </c>
      <c r="F862" s="35">
        <v>6283003.620000001</v>
      </c>
    </row>
    <row r="863" spans="1:6" x14ac:dyDescent="0.3">
      <c r="A863" t="s">
        <v>38</v>
      </c>
      <c r="B863">
        <v>2020</v>
      </c>
      <c r="C863" t="s">
        <v>17</v>
      </c>
      <c r="D863" s="35">
        <v>406020.77999999991</v>
      </c>
      <c r="E863" s="35">
        <v>22617</v>
      </c>
      <c r="F863" s="35">
        <v>41628.300000000003</v>
      </c>
    </row>
    <row r="864" spans="1:6" x14ac:dyDescent="0.3">
      <c r="A864" t="s">
        <v>38</v>
      </c>
      <c r="B864">
        <v>2020</v>
      </c>
      <c r="C864" t="s">
        <v>9</v>
      </c>
      <c r="D864" s="35">
        <v>8745363.2600000016</v>
      </c>
      <c r="E864" s="35">
        <v>217056</v>
      </c>
      <c r="F864" s="35">
        <v>4972101.26</v>
      </c>
    </row>
    <row r="865" spans="1:6" x14ac:dyDescent="0.3">
      <c r="A865" t="s">
        <v>38</v>
      </c>
      <c r="B865">
        <v>2020</v>
      </c>
      <c r="C865" t="s">
        <v>8</v>
      </c>
      <c r="D865" s="35">
        <v>480105.15</v>
      </c>
      <c r="E865" s="35">
        <v>263</v>
      </c>
      <c r="F865" s="35">
        <v>480105.15</v>
      </c>
    </row>
    <row r="866" spans="1:6" x14ac:dyDescent="0.3">
      <c r="A866" t="s">
        <v>38</v>
      </c>
      <c r="B866">
        <v>2020</v>
      </c>
      <c r="C866" t="s">
        <v>6</v>
      </c>
      <c r="D866" s="35">
        <v>19944875.25</v>
      </c>
      <c r="E866" s="35">
        <v>319042</v>
      </c>
      <c r="F866" s="35">
        <v>16348594</v>
      </c>
    </row>
    <row r="867" spans="1:6" x14ac:dyDescent="0.3">
      <c r="A867" t="s">
        <v>38</v>
      </c>
      <c r="B867">
        <v>2020</v>
      </c>
      <c r="C867" t="s">
        <v>15</v>
      </c>
      <c r="D867" s="35">
        <v>3451180.9</v>
      </c>
      <c r="E867" s="35">
        <v>103684</v>
      </c>
      <c r="F867" s="35">
        <v>2019538.15</v>
      </c>
    </row>
    <row r="868" spans="1:6" x14ac:dyDescent="0.3">
      <c r="A868" t="s">
        <v>38</v>
      </c>
      <c r="B868">
        <v>2020</v>
      </c>
      <c r="C868" t="s">
        <v>18</v>
      </c>
      <c r="D868" s="35">
        <v>1293983.1200000001</v>
      </c>
      <c r="E868" s="35">
        <v>11773</v>
      </c>
      <c r="F868" s="35">
        <v>979977.57</v>
      </c>
    </row>
    <row r="869" spans="1:6" x14ac:dyDescent="0.3">
      <c r="A869" t="s">
        <v>38</v>
      </c>
      <c r="B869">
        <v>2021</v>
      </c>
      <c r="C869" t="s">
        <v>10</v>
      </c>
      <c r="D869" s="35">
        <v>11876100.890000001</v>
      </c>
      <c r="E869" s="35">
        <v>413305</v>
      </c>
      <c r="F869" s="35">
        <v>7964690.0499999989</v>
      </c>
    </row>
    <row r="870" spans="1:6" x14ac:dyDescent="0.3">
      <c r="A870" t="s">
        <v>38</v>
      </c>
      <c r="B870">
        <v>2021</v>
      </c>
      <c r="C870" t="s">
        <v>4</v>
      </c>
      <c r="D870" s="35">
        <v>29861529.93</v>
      </c>
      <c r="E870" s="35">
        <v>105776</v>
      </c>
      <c r="F870" s="35">
        <v>29408955.800000001</v>
      </c>
    </row>
    <row r="871" spans="1:6" x14ac:dyDescent="0.3">
      <c r="A871" t="s">
        <v>38</v>
      </c>
      <c r="B871">
        <v>2021</v>
      </c>
      <c r="C871" t="s">
        <v>13</v>
      </c>
      <c r="D871" s="35">
        <v>3841772.38</v>
      </c>
      <c r="E871" s="35">
        <v>90346</v>
      </c>
      <c r="F871" s="35">
        <v>2006268.62</v>
      </c>
    </row>
    <row r="872" spans="1:6" x14ac:dyDescent="0.3">
      <c r="A872" t="s">
        <v>38</v>
      </c>
      <c r="B872">
        <v>2021</v>
      </c>
      <c r="C872" t="s">
        <v>16</v>
      </c>
      <c r="D872" s="35">
        <v>2014806.36</v>
      </c>
      <c r="E872" s="35">
        <v>18883</v>
      </c>
      <c r="F872" s="35">
        <v>1394155.45</v>
      </c>
    </row>
    <row r="873" spans="1:6" x14ac:dyDescent="0.3">
      <c r="A873" t="s">
        <v>38</v>
      </c>
      <c r="B873">
        <v>2021</v>
      </c>
      <c r="C873" t="s">
        <v>14</v>
      </c>
      <c r="D873" s="35">
        <v>2492301.459999999</v>
      </c>
      <c r="E873" s="35">
        <v>110686</v>
      </c>
      <c r="F873" s="35">
        <v>1010397.81</v>
      </c>
    </row>
    <row r="874" spans="1:6" x14ac:dyDescent="0.3">
      <c r="A874" t="s">
        <v>38</v>
      </c>
      <c r="B874">
        <v>2021</v>
      </c>
      <c r="C874" t="s">
        <v>7</v>
      </c>
      <c r="D874" s="35">
        <v>126076339.98999999</v>
      </c>
      <c r="E874" s="35">
        <v>46920</v>
      </c>
      <c r="F874" s="35">
        <v>124902093.64</v>
      </c>
    </row>
    <row r="875" spans="1:6" x14ac:dyDescent="0.3">
      <c r="A875" t="s">
        <v>38</v>
      </c>
      <c r="B875">
        <v>2021</v>
      </c>
      <c r="C875" t="s">
        <v>11</v>
      </c>
      <c r="D875" s="35">
        <v>2028973.44</v>
      </c>
      <c r="E875" s="35">
        <v>14685</v>
      </c>
      <c r="F875" s="35">
        <v>1377516.23</v>
      </c>
    </row>
    <row r="876" spans="1:6" x14ac:dyDescent="0.3">
      <c r="A876" t="s">
        <v>38</v>
      </c>
      <c r="B876">
        <v>2021</v>
      </c>
      <c r="C876" t="s">
        <v>3</v>
      </c>
      <c r="D876" s="35">
        <v>24054522.43</v>
      </c>
      <c r="E876" s="35">
        <v>81226</v>
      </c>
      <c r="F876" s="35">
        <v>23025794.390000001</v>
      </c>
    </row>
    <row r="877" spans="1:6" x14ac:dyDescent="0.3">
      <c r="A877" t="s">
        <v>38</v>
      </c>
      <c r="B877">
        <v>2021</v>
      </c>
      <c r="C877" t="s">
        <v>12</v>
      </c>
      <c r="D877" s="35">
        <v>7934555.5300000003</v>
      </c>
      <c r="E877" s="35">
        <v>190287</v>
      </c>
      <c r="F877" s="35">
        <v>5710733.3599999994</v>
      </c>
    </row>
    <row r="878" spans="1:6" x14ac:dyDescent="0.3">
      <c r="A878" t="s">
        <v>38</v>
      </c>
      <c r="B878">
        <v>2021</v>
      </c>
      <c r="C878" t="s">
        <v>2</v>
      </c>
      <c r="D878" s="35">
        <v>27225609.949999999</v>
      </c>
      <c r="E878" s="35">
        <v>347142</v>
      </c>
      <c r="F878" s="35">
        <v>22262580.629999999</v>
      </c>
    </row>
    <row r="879" spans="1:6" x14ac:dyDescent="0.3">
      <c r="A879" t="s">
        <v>38</v>
      </c>
      <c r="B879">
        <v>2021</v>
      </c>
      <c r="C879" t="s">
        <v>5</v>
      </c>
      <c r="D879" s="35">
        <v>7325992.25</v>
      </c>
      <c r="E879" s="35">
        <v>9495</v>
      </c>
      <c r="F879" s="35">
        <v>6745645.0199999996</v>
      </c>
    </row>
    <row r="880" spans="1:6" x14ac:dyDescent="0.3">
      <c r="A880" t="s">
        <v>38</v>
      </c>
      <c r="B880">
        <v>2021</v>
      </c>
      <c r="C880" t="s">
        <v>17</v>
      </c>
      <c r="D880" s="35">
        <v>239482.92</v>
      </c>
      <c r="E880" s="35">
        <v>24247</v>
      </c>
      <c r="F880" s="35">
        <v>40685.420000000013</v>
      </c>
    </row>
    <row r="881" spans="1:6" x14ac:dyDescent="0.3">
      <c r="A881" t="s">
        <v>38</v>
      </c>
      <c r="B881">
        <v>2021</v>
      </c>
      <c r="C881" t="s">
        <v>9</v>
      </c>
      <c r="D881" s="35">
        <v>9698408.25</v>
      </c>
      <c r="E881" s="35">
        <v>251295</v>
      </c>
      <c r="F881" s="35">
        <v>6443638.870000001</v>
      </c>
    </row>
    <row r="882" spans="1:6" x14ac:dyDescent="0.3">
      <c r="A882" t="s">
        <v>38</v>
      </c>
      <c r="B882">
        <v>2021</v>
      </c>
      <c r="C882" t="s">
        <v>8</v>
      </c>
      <c r="D882" s="35">
        <v>727597.75000000012</v>
      </c>
      <c r="E882" s="35">
        <v>118</v>
      </c>
      <c r="F882" s="35">
        <v>727597.75000000012</v>
      </c>
    </row>
    <row r="883" spans="1:6" x14ac:dyDescent="0.3">
      <c r="A883" t="s">
        <v>38</v>
      </c>
      <c r="B883">
        <v>2021</v>
      </c>
      <c r="C883" t="s">
        <v>6</v>
      </c>
      <c r="D883" s="35">
        <v>19939857.629999999</v>
      </c>
      <c r="E883" s="35">
        <v>326819</v>
      </c>
      <c r="F883" s="35">
        <v>13768111.27</v>
      </c>
    </row>
    <row r="884" spans="1:6" x14ac:dyDescent="0.3">
      <c r="A884" t="s">
        <v>38</v>
      </c>
      <c r="B884">
        <v>2021</v>
      </c>
      <c r="C884" t="s">
        <v>15</v>
      </c>
      <c r="D884" s="35">
        <v>3099217.459999999</v>
      </c>
      <c r="E884" s="35">
        <v>87100</v>
      </c>
      <c r="F884" s="35">
        <v>1817987.16</v>
      </c>
    </row>
    <row r="885" spans="1:6" x14ac:dyDescent="0.3">
      <c r="A885" t="s">
        <v>38</v>
      </c>
      <c r="B885">
        <v>2021</v>
      </c>
      <c r="C885" t="s">
        <v>18</v>
      </c>
      <c r="D885" s="35">
        <v>1118801.18</v>
      </c>
      <c r="E885" s="35">
        <v>11598</v>
      </c>
      <c r="F885" s="35">
        <v>544201.01</v>
      </c>
    </row>
    <row r="886" spans="1:6" x14ac:dyDescent="0.3">
      <c r="A886" t="s">
        <v>38</v>
      </c>
      <c r="B886">
        <v>2022</v>
      </c>
      <c r="C886" t="s">
        <v>10</v>
      </c>
      <c r="D886" s="35">
        <v>19094403.550000001</v>
      </c>
      <c r="E886" s="35">
        <v>449304</v>
      </c>
      <c r="F886" s="35">
        <v>13552717.310000001</v>
      </c>
    </row>
    <row r="887" spans="1:6" x14ac:dyDescent="0.3">
      <c r="A887" t="s">
        <v>38</v>
      </c>
      <c r="B887">
        <v>2022</v>
      </c>
      <c r="C887" t="s">
        <v>4</v>
      </c>
      <c r="D887" s="35">
        <v>43282770.899999999</v>
      </c>
      <c r="E887" s="35">
        <v>123485</v>
      </c>
      <c r="F887" s="35">
        <v>42758793.190000013</v>
      </c>
    </row>
    <row r="888" spans="1:6" x14ac:dyDescent="0.3">
      <c r="A888" t="s">
        <v>38</v>
      </c>
      <c r="B888">
        <v>2022</v>
      </c>
      <c r="C888" t="s">
        <v>13</v>
      </c>
      <c r="D888" s="35">
        <v>3885158.35</v>
      </c>
      <c r="E888" s="35">
        <v>86870</v>
      </c>
      <c r="F888" s="35">
        <v>1966445.97</v>
      </c>
    </row>
    <row r="889" spans="1:6" x14ac:dyDescent="0.3">
      <c r="A889" t="s">
        <v>38</v>
      </c>
      <c r="B889">
        <v>2022</v>
      </c>
      <c r="C889" t="s">
        <v>16</v>
      </c>
      <c r="D889" s="35">
        <v>3343310.43</v>
      </c>
      <c r="E889" s="35">
        <v>22827</v>
      </c>
      <c r="F889" s="35">
        <v>2580340.66</v>
      </c>
    </row>
    <row r="890" spans="1:6" x14ac:dyDescent="0.3">
      <c r="A890" t="s">
        <v>38</v>
      </c>
      <c r="B890">
        <v>2022</v>
      </c>
      <c r="C890" t="s">
        <v>14</v>
      </c>
      <c r="D890" s="35">
        <v>3376700.99</v>
      </c>
      <c r="E890" s="35">
        <v>117264</v>
      </c>
      <c r="F890" s="35">
        <v>1552210.47</v>
      </c>
    </row>
    <row r="891" spans="1:6" x14ac:dyDescent="0.3">
      <c r="A891" t="s">
        <v>38</v>
      </c>
      <c r="B891">
        <v>2022</v>
      </c>
      <c r="C891" t="s">
        <v>7</v>
      </c>
      <c r="D891" s="35">
        <v>131676325.52</v>
      </c>
      <c r="E891" s="35">
        <v>46441</v>
      </c>
      <c r="F891" s="35">
        <v>131295229.92</v>
      </c>
    </row>
    <row r="892" spans="1:6" x14ac:dyDescent="0.3">
      <c r="A892" t="s">
        <v>38</v>
      </c>
      <c r="B892">
        <v>2022</v>
      </c>
      <c r="C892" t="s">
        <v>11</v>
      </c>
      <c r="D892" s="35">
        <v>4291084.38</v>
      </c>
      <c r="E892" s="35">
        <v>11884</v>
      </c>
      <c r="F892" s="35">
        <v>3275685.87</v>
      </c>
    </row>
    <row r="893" spans="1:6" x14ac:dyDescent="0.3">
      <c r="A893" t="s">
        <v>38</v>
      </c>
      <c r="B893">
        <v>2022</v>
      </c>
      <c r="C893" t="s">
        <v>3</v>
      </c>
      <c r="D893" s="35">
        <v>32309705.050000001</v>
      </c>
      <c r="E893" s="35">
        <v>83918</v>
      </c>
      <c r="F893" s="35">
        <v>31188930.960000001</v>
      </c>
    </row>
    <row r="894" spans="1:6" x14ac:dyDescent="0.3">
      <c r="A894" t="s">
        <v>38</v>
      </c>
      <c r="B894">
        <v>2022</v>
      </c>
      <c r="C894" t="s">
        <v>12</v>
      </c>
      <c r="D894" s="35">
        <v>6132803.7499999991</v>
      </c>
      <c r="E894" s="35">
        <v>199484</v>
      </c>
      <c r="F894" s="35">
        <v>3651623.95</v>
      </c>
    </row>
    <row r="895" spans="1:6" x14ac:dyDescent="0.3">
      <c r="A895" t="s">
        <v>38</v>
      </c>
      <c r="B895">
        <v>2022</v>
      </c>
      <c r="C895" t="s">
        <v>2</v>
      </c>
      <c r="D895" s="35">
        <v>27571213.460000001</v>
      </c>
      <c r="E895" s="35">
        <v>358602</v>
      </c>
      <c r="F895" s="35">
        <v>22078745.879999999</v>
      </c>
    </row>
    <row r="896" spans="1:6" x14ac:dyDescent="0.3">
      <c r="A896" t="s">
        <v>38</v>
      </c>
      <c r="B896">
        <v>2022</v>
      </c>
      <c r="C896" t="s">
        <v>5</v>
      </c>
      <c r="D896" s="35">
        <v>10289525.720000001</v>
      </c>
      <c r="E896" s="35">
        <v>10201</v>
      </c>
      <c r="F896" s="35">
        <v>9567568.6599999983</v>
      </c>
    </row>
    <row r="897" spans="1:6" x14ac:dyDescent="0.3">
      <c r="A897" t="s">
        <v>38</v>
      </c>
      <c r="B897">
        <v>2022</v>
      </c>
      <c r="C897" t="s">
        <v>17</v>
      </c>
      <c r="D897" s="35">
        <v>287278.89</v>
      </c>
      <c r="E897" s="35">
        <v>23021</v>
      </c>
      <c r="F897" s="35">
        <v>46739.75</v>
      </c>
    </row>
    <row r="898" spans="1:6" x14ac:dyDescent="0.3">
      <c r="A898" t="s">
        <v>38</v>
      </c>
      <c r="B898">
        <v>2022</v>
      </c>
      <c r="C898" t="s">
        <v>9</v>
      </c>
      <c r="D898" s="35">
        <v>9113373.4699999988</v>
      </c>
      <c r="E898" s="35">
        <v>269117</v>
      </c>
      <c r="F898" s="35">
        <v>5612331.1300000008</v>
      </c>
    </row>
    <row r="899" spans="1:6" x14ac:dyDescent="0.3">
      <c r="A899" t="s">
        <v>38</v>
      </c>
      <c r="B899">
        <v>2022</v>
      </c>
      <c r="C899" t="s">
        <v>8</v>
      </c>
      <c r="D899" s="35">
        <v>399218.84</v>
      </c>
      <c r="E899" s="35">
        <v>52</v>
      </c>
      <c r="F899" s="35">
        <v>399218.84</v>
      </c>
    </row>
    <row r="900" spans="1:6" x14ac:dyDescent="0.3">
      <c r="A900" t="s">
        <v>38</v>
      </c>
      <c r="B900">
        <v>2022</v>
      </c>
      <c r="C900" t="s">
        <v>6</v>
      </c>
      <c r="D900" s="35">
        <v>24578708.82</v>
      </c>
      <c r="E900" s="35">
        <v>351940</v>
      </c>
      <c r="F900" s="35">
        <v>17293002.16</v>
      </c>
    </row>
    <row r="901" spans="1:6" x14ac:dyDescent="0.3">
      <c r="A901" t="s">
        <v>38</v>
      </c>
      <c r="B901">
        <v>2022</v>
      </c>
      <c r="C901" t="s">
        <v>15</v>
      </c>
      <c r="D901" s="35">
        <v>2755804.55</v>
      </c>
      <c r="E901" s="35">
        <v>68725</v>
      </c>
      <c r="F901" s="35">
        <v>1749016.43</v>
      </c>
    </row>
    <row r="902" spans="1:6" x14ac:dyDescent="0.3">
      <c r="A902" t="s">
        <v>38</v>
      </c>
      <c r="B902">
        <v>2022</v>
      </c>
      <c r="C902" t="s">
        <v>18</v>
      </c>
      <c r="D902" s="35">
        <v>1833177.18</v>
      </c>
      <c r="E902" s="35">
        <v>11639</v>
      </c>
      <c r="F902" s="35">
        <v>823731.96999999986</v>
      </c>
    </row>
    <row r="903" spans="1:6" x14ac:dyDescent="0.3">
      <c r="A903" t="s">
        <v>38</v>
      </c>
      <c r="B903">
        <v>2023</v>
      </c>
      <c r="C903" t="s">
        <v>10</v>
      </c>
      <c r="D903" s="35">
        <v>17629965.789999999</v>
      </c>
      <c r="E903" s="35">
        <v>435575</v>
      </c>
      <c r="F903" s="35">
        <v>13494596.68</v>
      </c>
    </row>
    <row r="904" spans="1:6" x14ac:dyDescent="0.3">
      <c r="A904" t="s">
        <v>38</v>
      </c>
      <c r="B904">
        <v>2023</v>
      </c>
      <c r="C904" t="s">
        <v>4</v>
      </c>
      <c r="D904" s="35">
        <v>44282054.090000011</v>
      </c>
      <c r="E904" s="35">
        <v>122351</v>
      </c>
      <c r="F904" s="35">
        <v>43857494.030000009</v>
      </c>
    </row>
    <row r="905" spans="1:6" x14ac:dyDescent="0.3">
      <c r="A905" t="s">
        <v>38</v>
      </c>
      <c r="B905">
        <v>2023</v>
      </c>
      <c r="C905" t="s">
        <v>13</v>
      </c>
      <c r="D905" s="35">
        <v>3434875.48</v>
      </c>
      <c r="E905" s="35">
        <v>82234</v>
      </c>
      <c r="F905" s="35">
        <v>1802539.169999999</v>
      </c>
    </row>
    <row r="906" spans="1:6" x14ac:dyDescent="0.3">
      <c r="A906" t="s">
        <v>38</v>
      </c>
      <c r="B906">
        <v>2023</v>
      </c>
      <c r="C906" t="s">
        <v>16</v>
      </c>
      <c r="D906" s="35">
        <v>3363421.56</v>
      </c>
      <c r="E906" s="35">
        <v>21044</v>
      </c>
      <c r="F906" s="35">
        <v>2869474.89</v>
      </c>
    </row>
    <row r="907" spans="1:6" x14ac:dyDescent="0.3">
      <c r="A907" t="s">
        <v>38</v>
      </c>
      <c r="B907">
        <v>2023</v>
      </c>
      <c r="C907" t="s">
        <v>14</v>
      </c>
      <c r="D907" s="35">
        <v>2764968.64</v>
      </c>
      <c r="E907" s="35">
        <v>112902</v>
      </c>
      <c r="F907" s="35">
        <v>1272195.52</v>
      </c>
    </row>
    <row r="908" spans="1:6" x14ac:dyDescent="0.3">
      <c r="A908" t="s">
        <v>38</v>
      </c>
      <c r="B908">
        <v>2023</v>
      </c>
      <c r="C908" t="s">
        <v>7</v>
      </c>
      <c r="D908" s="35">
        <v>135002040.78999999</v>
      </c>
      <c r="E908" s="35">
        <v>43609</v>
      </c>
      <c r="F908" s="35">
        <v>134545457.63</v>
      </c>
    </row>
    <row r="909" spans="1:6" x14ac:dyDescent="0.3">
      <c r="A909" t="s">
        <v>38</v>
      </c>
      <c r="B909">
        <v>2023</v>
      </c>
      <c r="C909" t="s">
        <v>11</v>
      </c>
      <c r="D909" s="35">
        <v>4398802.3199999994</v>
      </c>
      <c r="E909" s="35">
        <v>11147</v>
      </c>
      <c r="F909" s="35">
        <v>4044918.4</v>
      </c>
    </row>
    <row r="910" spans="1:6" x14ac:dyDescent="0.3">
      <c r="A910" t="s">
        <v>38</v>
      </c>
      <c r="B910">
        <v>2023</v>
      </c>
      <c r="C910" t="s">
        <v>3</v>
      </c>
      <c r="D910" s="35">
        <v>37571392.219999999</v>
      </c>
      <c r="E910" s="35">
        <v>83697</v>
      </c>
      <c r="F910" s="35">
        <v>36516537.020000003</v>
      </c>
    </row>
    <row r="911" spans="1:6" x14ac:dyDescent="0.3">
      <c r="A911" t="s">
        <v>38</v>
      </c>
      <c r="B911">
        <v>2023</v>
      </c>
      <c r="C911" t="s">
        <v>12</v>
      </c>
      <c r="D911" s="35">
        <v>5054388.8499999996</v>
      </c>
      <c r="E911" s="35">
        <v>205411</v>
      </c>
      <c r="F911" s="35">
        <v>2772487.65</v>
      </c>
    </row>
    <row r="912" spans="1:6" x14ac:dyDescent="0.3">
      <c r="A912" t="s">
        <v>38</v>
      </c>
      <c r="B912">
        <v>2023</v>
      </c>
      <c r="C912" t="s">
        <v>2</v>
      </c>
      <c r="D912" s="35">
        <v>29772140.789999999</v>
      </c>
      <c r="E912" s="35">
        <v>348346</v>
      </c>
      <c r="F912" s="35">
        <v>24229277.440000009</v>
      </c>
    </row>
    <row r="913" spans="1:6" x14ac:dyDescent="0.3">
      <c r="A913" t="s">
        <v>38</v>
      </c>
      <c r="B913">
        <v>2023</v>
      </c>
      <c r="C913" t="s">
        <v>5</v>
      </c>
      <c r="D913" s="35">
        <v>11691145.42</v>
      </c>
      <c r="E913" s="35">
        <v>10037</v>
      </c>
      <c r="F913" s="35">
        <v>10801682.640000001</v>
      </c>
    </row>
    <row r="914" spans="1:6" x14ac:dyDescent="0.3">
      <c r="A914" t="s">
        <v>38</v>
      </c>
      <c r="B914">
        <v>2023</v>
      </c>
      <c r="C914" t="s">
        <v>17</v>
      </c>
      <c r="D914" s="35">
        <v>235328.46999999991</v>
      </c>
      <c r="E914" s="35">
        <v>20269</v>
      </c>
      <c r="F914" s="35">
        <v>39249.710000000006</v>
      </c>
    </row>
    <row r="915" spans="1:6" x14ac:dyDescent="0.3">
      <c r="A915" t="s">
        <v>38</v>
      </c>
      <c r="B915">
        <v>2023</v>
      </c>
      <c r="C915" t="s">
        <v>9</v>
      </c>
      <c r="D915" s="35">
        <v>7819044.8300000001</v>
      </c>
      <c r="E915" s="35">
        <v>257435</v>
      </c>
      <c r="F915" s="35">
        <v>4879082.8</v>
      </c>
    </row>
    <row r="916" spans="1:6" x14ac:dyDescent="0.3">
      <c r="A916" t="s">
        <v>38</v>
      </c>
      <c r="B916">
        <v>2023</v>
      </c>
      <c r="C916" t="s">
        <v>8</v>
      </c>
      <c r="D916" s="35">
        <v>1545533.57</v>
      </c>
      <c r="E916" s="35">
        <v>161</v>
      </c>
      <c r="F916" s="35">
        <v>1495428.53</v>
      </c>
    </row>
    <row r="917" spans="1:6" x14ac:dyDescent="0.3">
      <c r="A917" t="s">
        <v>38</v>
      </c>
      <c r="B917">
        <v>2023</v>
      </c>
      <c r="C917" t="s">
        <v>6</v>
      </c>
      <c r="D917" s="35">
        <v>19218969.359999999</v>
      </c>
      <c r="E917" s="35">
        <v>332239</v>
      </c>
      <c r="F917" s="35">
        <v>14979325.609999999</v>
      </c>
    </row>
    <row r="918" spans="1:6" x14ac:dyDescent="0.3">
      <c r="A918" t="s">
        <v>38</v>
      </c>
      <c r="B918">
        <v>2023</v>
      </c>
      <c r="C918" t="s">
        <v>15</v>
      </c>
      <c r="D918" s="35">
        <v>1457576.76</v>
      </c>
      <c r="E918" s="35">
        <v>49882</v>
      </c>
      <c r="F918" s="35">
        <v>750994.41999999993</v>
      </c>
    </row>
    <row r="919" spans="1:6" x14ac:dyDescent="0.3">
      <c r="A919" t="s">
        <v>38</v>
      </c>
      <c r="B919">
        <v>2023</v>
      </c>
      <c r="C919" t="s">
        <v>18</v>
      </c>
      <c r="D919" s="35">
        <v>1361796.33</v>
      </c>
      <c r="E919" s="35">
        <v>8516</v>
      </c>
      <c r="F919" s="35">
        <v>684039.12</v>
      </c>
    </row>
    <row r="920" spans="1:6" x14ac:dyDescent="0.3">
      <c r="A920" t="s">
        <v>38</v>
      </c>
      <c r="B920">
        <v>2024</v>
      </c>
      <c r="C920" t="s">
        <v>10</v>
      </c>
      <c r="D920" s="35">
        <v>24748042.18</v>
      </c>
      <c r="E920" s="35">
        <v>477081</v>
      </c>
      <c r="F920" s="35">
        <v>21076353.949999999</v>
      </c>
    </row>
    <row r="921" spans="1:6" x14ac:dyDescent="0.3">
      <c r="A921" t="s">
        <v>38</v>
      </c>
      <c r="B921">
        <v>2024</v>
      </c>
      <c r="C921" t="s">
        <v>4</v>
      </c>
      <c r="D921" s="35">
        <v>56017397.779999986</v>
      </c>
      <c r="E921" s="35">
        <v>135912</v>
      </c>
      <c r="F921" s="35">
        <v>55610773.109999999</v>
      </c>
    </row>
    <row r="922" spans="1:6" x14ac:dyDescent="0.3">
      <c r="A922" t="s">
        <v>38</v>
      </c>
      <c r="B922">
        <v>2024</v>
      </c>
      <c r="C922" t="s">
        <v>13</v>
      </c>
      <c r="D922" s="35">
        <v>3974552.46</v>
      </c>
      <c r="E922" s="35">
        <v>76355</v>
      </c>
      <c r="F922" s="35">
        <v>2591391.73</v>
      </c>
    </row>
    <row r="923" spans="1:6" x14ac:dyDescent="0.3">
      <c r="A923" t="s">
        <v>38</v>
      </c>
      <c r="B923">
        <v>2024</v>
      </c>
      <c r="C923" t="s">
        <v>16</v>
      </c>
      <c r="D923" s="35">
        <v>4585475.6700000018</v>
      </c>
      <c r="E923" s="35">
        <v>23843</v>
      </c>
      <c r="F923" s="35">
        <v>4209733.9400000004</v>
      </c>
    </row>
    <row r="924" spans="1:6" x14ac:dyDescent="0.3">
      <c r="A924" t="s">
        <v>38</v>
      </c>
      <c r="B924">
        <v>2024</v>
      </c>
      <c r="C924" t="s">
        <v>14</v>
      </c>
      <c r="D924" s="35">
        <v>3450977.0100000012</v>
      </c>
      <c r="E924" s="35">
        <v>113263</v>
      </c>
      <c r="F924" s="35">
        <v>2074523.77</v>
      </c>
    </row>
    <row r="925" spans="1:6" x14ac:dyDescent="0.3">
      <c r="A925" t="s">
        <v>38</v>
      </c>
      <c r="B925">
        <v>2024</v>
      </c>
      <c r="C925" t="s">
        <v>7</v>
      </c>
      <c r="D925" s="35">
        <v>153037873.84999999</v>
      </c>
      <c r="E925" s="35">
        <v>45851</v>
      </c>
      <c r="F925" s="35">
        <v>152869013.16999999</v>
      </c>
    </row>
    <row r="926" spans="1:6" x14ac:dyDescent="0.3">
      <c r="A926" t="s">
        <v>38</v>
      </c>
      <c r="B926">
        <v>2024</v>
      </c>
      <c r="C926" t="s">
        <v>11</v>
      </c>
      <c r="D926" s="35">
        <v>5171649.9200000018</v>
      </c>
      <c r="E926" s="35">
        <v>9696</v>
      </c>
      <c r="F926" s="35">
        <v>5004403.7799999993</v>
      </c>
    </row>
    <row r="927" spans="1:6" x14ac:dyDescent="0.3">
      <c r="A927" t="s">
        <v>38</v>
      </c>
      <c r="B927">
        <v>2024</v>
      </c>
      <c r="C927" t="s">
        <v>3</v>
      </c>
      <c r="D927" s="35">
        <v>34492892.900000013</v>
      </c>
      <c r="E927" s="35">
        <v>85664</v>
      </c>
      <c r="F927" s="35">
        <v>33447756.239999998</v>
      </c>
    </row>
    <row r="928" spans="1:6" x14ac:dyDescent="0.3">
      <c r="A928" t="s">
        <v>38</v>
      </c>
      <c r="B928">
        <v>2024</v>
      </c>
      <c r="C928" t="s">
        <v>12</v>
      </c>
      <c r="D928" s="35">
        <v>6015095.5000000009</v>
      </c>
      <c r="E928" s="35">
        <v>204272</v>
      </c>
      <c r="F928" s="35">
        <v>3310849.94</v>
      </c>
    </row>
    <row r="929" spans="1:6" x14ac:dyDescent="0.3">
      <c r="A929" t="s">
        <v>38</v>
      </c>
      <c r="B929">
        <v>2024</v>
      </c>
      <c r="C929" t="s">
        <v>2</v>
      </c>
      <c r="D929" s="35">
        <v>33644094.309999987</v>
      </c>
      <c r="E929" s="35">
        <v>356746</v>
      </c>
      <c r="F929" s="35">
        <v>28200678.77</v>
      </c>
    </row>
    <row r="930" spans="1:6" x14ac:dyDescent="0.3">
      <c r="A930" t="s">
        <v>38</v>
      </c>
      <c r="B930">
        <v>2024</v>
      </c>
      <c r="C930" t="s">
        <v>5</v>
      </c>
      <c r="D930" s="35">
        <v>20671776.920000002</v>
      </c>
      <c r="E930" s="35">
        <v>10967</v>
      </c>
      <c r="F930" s="35">
        <v>19582805.640000001</v>
      </c>
    </row>
    <row r="931" spans="1:6" x14ac:dyDescent="0.3">
      <c r="A931" t="s">
        <v>38</v>
      </c>
      <c r="B931">
        <v>2024</v>
      </c>
      <c r="C931" t="s">
        <v>17</v>
      </c>
      <c r="D931" s="35">
        <v>278558.88</v>
      </c>
      <c r="E931" s="35">
        <v>23124</v>
      </c>
      <c r="F931" s="35">
        <v>26595.91</v>
      </c>
    </row>
    <row r="932" spans="1:6" x14ac:dyDescent="0.3">
      <c r="A932" t="s">
        <v>38</v>
      </c>
      <c r="B932">
        <v>2024</v>
      </c>
      <c r="C932" t="s">
        <v>9</v>
      </c>
      <c r="D932" s="35">
        <v>8161948.1999999993</v>
      </c>
      <c r="E932" s="35">
        <v>258827</v>
      </c>
      <c r="F932" s="35">
        <v>5144324.0499999989</v>
      </c>
    </row>
    <row r="933" spans="1:6" x14ac:dyDescent="0.3">
      <c r="A933" t="s">
        <v>38</v>
      </c>
      <c r="B933">
        <v>2024</v>
      </c>
      <c r="C933" t="s">
        <v>8</v>
      </c>
      <c r="D933" s="35">
        <v>2320420.16</v>
      </c>
      <c r="E933" s="35">
        <v>151</v>
      </c>
      <c r="F933" s="35">
        <v>2320420.16</v>
      </c>
    </row>
    <row r="934" spans="1:6" x14ac:dyDescent="0.3">
      <c r="A934" t="s">
        <v>38</v>
      </c>
      <c r="B934">
        <v>2024</v>
      </c>
      <c r="C934" t="s">
        <v>6</v>
      </c>
      <c r="D934" s="35">
        <v>19388889.879999999</v>
      </c>
      <c r="E934" s="35">
        <v>327563</v>
      </c>
      <c r="F934" s="35">
        <v>15392064.73</v>
      </c>
    </row>
    <row r="935" spans="1:6" x14ac:dyDescent="0.3">
      <c r="A935" t="s">
        <v>38</v>
      </c>
      <c r="B935">
        <v>2024</v>
      </c>
      <c r="C935" t="s">
        <v>15</v>
      </c>
      <c r="D935" s="35">
        <v>1330562.79</v>
      </c>
      <c r="E935" s="35">
        <v>44564</v>
      </c>
      <c r="F935" s="35">
        <v>717557.10000000009</v>
      </c>
    </row>
    <row r="936" spans="1:6" x14ac:dyDescent="0.3">
      <c r="A936" t="s">
        <v>38</v>
      </c>
      <c r="B936">
        <v>2024</v>
      </c>
      <c r="C936" t="s">
        <v>18</v>
      </c>
      <c r="D936" s="35">
        <v>2343754.88</v>
      </c>
      <c r="E936" s="35">
        <v>10023</v>
      </c>
      <c r="F936" s="35">
        <v>1648624.56</v>
      </c>
    </row>
    <row r="937" spans="1:6" x14ac:dyDescent="0.3">
      <c r="A937" t="s">
        <v>38</v>
      </c>
      <c r="B937">
        <v>2025</v>
      </c>
      <c r="C937" t="s">
        <v>10</v>
      </c>
      <c r="D937" s="35">
        <v>16083475.01</v>
      </c>
      <c r="E937" s="35">
        <v>360764</v>
      </c>
      <c r="F937" s="35">
        <v>13259512.9</v>
      </c>
    </row>
    <row r="938" spans="1:6" x14ac:dyDescent="0.3">
      <c r="A938" t="s">
        <v>38</v>
      </c>
      <c r="B938">
        <v>2025</v>
      </c>
      <c r="C938" t="s">
        <v>4</v>
      </c>
      <c r="D938" s="35">
        <v>42972201.350000001</v>
      </c>
      <c r="E938" s="35">
        <v>106792</v>
      </c>
      <c r="F938" s="35">
        <v>42720218.590000011</v>
      </c>
    </row>
    <row r="939" spans="1:6" x14ac:dyDescent="0.3">
      <c r="A939" t="s">
        <v>38</v>
      </c>
      <c r="B939">
        <v>2025</v>
      </c>
      <c r="C939" t="s">
        <v>13</v>
      </c>
      <c r="D939" s="35">
        <v>2840663.2</v>
      </c>
      <c r="E939" s="35">
        <v>60642</v>
      </c>
      <c r="F939" s="35">
        <v>1831059.97</v>
      </c>
    </row>
    <row r="940" spans="1:6" x14ac:dyDescent="0.3">
      <c r="A940" t="s">
        <v>38</v>
      </c>
      <c r="B940">
        <v>2025</v>
      </c>
      <c r="C940" t="s">
        <v>16</v>
      </c>
      <c r="D940" s="35">
        <v>4239080.1899999985</v>
      </c>
      <c r="E940" s="35">
        <v>18631</v>
      </c>
      <c r="F940" s="35">
        <v>4016826.53</v>
      </c>
    </row>
    <row r="941" spans="1:6" x14ac:dyDescent="0.3">
      <c r="A941" t="s">
        <v>38</v>
      </c>
      <c r="B941">
        <v>2025</v>
      </c>
      <c r="C941" t="s">
        <v>14</v>
      </c>
      <c r="D941" s="35">
        <v>2709575.72</v>
      </c>
      <c r="E941" s="35">
        <v>95747</v>
      </c>
      <c r="F941" s="35">
        <v>1300272.56</v>
      </c>
    </row>
    <row r="942" spans="1:6" x14ac:dyDescent="0.3">
      <c r="A942" t="s">
        <v>38</v>
      </c>
      <c r="B942">
        <v>2025</v>
      </c>
      <c r="C942" t="s">
        <v>7</v>
      </c>
      <c r="D942" s="35">
        <v>144110929.38999999</v>
      </c>
      <c r="E942" s="35">
        <v>40946</v>
      </c>
      <c r="F942" s="35">
        <v>143833039.31</v>
      </c>
    </row>
    <row r="943" spans="1:6" x14ac:dyDescent="0.3">
      <c r="A943" t="s">
        <v>38</v>
      </c>
      <c r="B943">
        <v>2025</v>
      </c>
      <c r="C943" t="s">
        <v>11</v>
      </c>
      <c r="D943" s="35">
        <v>2741860.06</v>
      </c>
      <c r="E943" s="35">
        <v>10772</v>
      </c>
      <c r="F943" s="35">
        <v>2513508.7000000011</v>
      </c>
    </row>
    <row r="944" spans="1:6" x14ac:dyDescent="0.3">
      <c r="A944" t="s">
        <v>38</v>
      </c>
      <c r="B944">
        <v>2025</v>
      </c>
      <c r="C944" t="s">
        <v>3</v>
      </c>
      <c r="D944" s="35">
        <v>34722767.049999997</v>
      </c>
      <c r="E944" s="35">
        <v>72092</v>
      </c>
      <c r="F944" s="35">
        <v>33652225.509999998</v>
      </c>
    </row>
    <row r="945" spans="1:6" x14ac:dyDescent="0.3">
      <c r="A945" t="s">
        <v>38</v>
      </c>
      <c r="B945">
        <v>2025</v>
      </c>
      <c r="C945" t="s">
        <v>12</v>
      </c>
      <c r="D945" s="35">
        <v>3756590.8299999991</v>
      </c>
      <c r="E945" s="35">
        <v>159578</v>
      </c>
      <c r="F945" s="35">
        <v>1831796.14</v>
      </c>
    </row>
    <row r="946" spans="1:6" x14ac:dyDescent="0.3">
      <c r="A946" t="s">
        <v>38</v>
      </c>
      <c r="B946">
        <v>2025</v>
      </c>
      <c r="C946" t="s">
        <v>2</v>
      </c>
      <c r="D946" s="35">
        <v>30011086.760000002</v>
      </c>
      <c r="E946" s="35">
        <v>292656</v>
      </c>
      <c r="F946" s="35">
        <v>25487113.030000009</v>
      </c>
    </row>
    <row r="947" spans="1:6" x14ac:dyDescent="0.3">
      <c r="A947" t="s">
        <v>38</v>
      </c>
      <c r="B947">
        <v>2025</v>
      </c>
      <c r="C947" t="s">
        <v>5</v>
      </c>
      <c r="D947" s="35">
        <v>14334530.630000001</v>
      </c>
      <c r="E947" s="35">
        <v>9118</v>
      </c>
      <c r="F947" s="35">
        <v>13219285.59</v>
      </c>
    </row>
    <row r="948" spans="1:6" x14ac:dyDescent="0.3">
      <c r="A948" t="s">
        <v>38</v>
      </c>
      <c r="B948">
        <v>2025</v>
      </c>
      <c r="C948" t="s">
        <v>17</v>
      </c>
      <c r="D948" s="35">
        <v>941318.55</v>
      </c>
      <c r="E948" s="35">
        <v>22169</v>
      </c>
      <c r="F948" s="35">
        <v>65128.899999999987</v>
      </c>
    </row>
    <row r="949" spans="1:6" x14ac:dyDescent="0.3">
      <c r="A949" t="s">
        <v>38</v>
      </c>
      <c r="B949">
        <v>2025</v>
      </c>
      <c r="C949" t="s">
        <v>9</v>
      </c>
      <c r="D949" s="35">
        <v>7867198.7399999993</v>
      </c>
      <c r="E949" s="35">
        <v>223652</v>
      </c>
      <c r="F949" s="35">
        <v>4604934.63</v>
      </c>
    </row>
    <row r="950" spans="1:6" x14ac:dyDescent="0.3">
      <c r="A950" t="s">
        <v>38</v>
      </c>
      <c r="B950">
        <v>2025</v>
      </c>
      <c r="C950" t="s">
        <v>8</v>
      </c>
      <c r="D950" s="35">
        <v>333192.99</v>
      </c>
      <c r="E950" s="35">
        <v>45</v>
      </c>
      <c r="F950" s="35">
        <v>333192.99</v>
      </c>
    </row>
    <row r="951" spans="1:6" x14ac:dyDescent="0.3">
      <c r="A951" t="s">
        <v>38</v>
      </c>
      <c r="B951">
        <v>2025</v>
      </c>
      <c r="C951" t="s">
        <v>6</v>
      </c>
      <c r="D951" s="35">
        <v>14637564.4</v>
      </c>
      <c r="E951" s="35">
        <v>261563</v>
      </c>
      <c r="F951" s="35">
        <v>11186195.17</v>
      </c>
    </row>
    <row r="952" spans="1:6" x14ac:dyDescent="0.3">
      <c r="A952" t="s">
        <v>38</v>
      </c>
      <c r="B952">
        <v>2025</v>
      </c>
      <c r="C952" t="s">
        <v>15</v>
      </c>
      <c r="D952" s="35">
        <v>1430500.65</v>
      </c>
      <c r="E952" s="35">
        <v>35763</v>
      </c>
      <c r="F952" s="35">
        <v>750622.6</v>
      </c>
    </row>
    <row r="953" spans="1:6" x14ac:dyDescent="0.3">
      <c r="A953" t="s">
        <v>38</v>
      </c>
      <c r="B953">
        <v>2025</v>
      </c>
      <c r="C953" t="s">
        <v>18</v>
      </c>
      <c r="D953" s="35">
        <v>1202931</v>
      </c>
      <c r="E953" s="35">
        <v>7960</v>
      </c>
      <c r="F953" s="35">
        <v>795329.17999999993</v>
      </c>
    </row>
    <row r="954" spans="1:6" x14ac:dyDescent="0.3">
      <c r="A954" t="s">
        <v>39</v>
      </c>
      <c r="B954">
        <v>2019</v>
      </c>
      <c r="C954" t="s">
        <v>10</v>
      </c>
      <c r="D954" s="35">
        <v>4442935.790000001</v>
      </c>
      <c r="E954" s="35">
        <v>429877</v>
      </c>
      <c r="F954" s="35">
        <v>3447436.8800000008</v>
      </c>
    </row>
    <row r="955" spans="1:6" x14ac:dyDescent="0.3">
      <c r="A955" t="s">
        <v>39</v>
      </c>
      <c r="B955">
        <v>2019</v>
      </c>
      <c r="C955" t="s">
        <v>4</v>
      </c>
      <c r="D955" s="35">
        <v>19705231.63000001</v>
      </c>
      <c r="E955" s="35">
        <v>108331</v>
      </c>
      <c r="F955" s="35">
        <v>19609468.16</v>
      </c>
    </row>
    <row r="956" spans="1:6" x14ac:dyDescent="0.3">
      <c r="A956" t="s">
        <v>39</v>
      </c>
      <c r="B956">
        <v>2019</v>
      </c>
      <c r="C956" t="s">
        <v>13</v>
      </c>
      <c r="D956" s="35">
        <v>11200109.42</v>
      </c>
      <c r="E956" s="35">
        <v>104152</v>
      </c>
      <c r="F956" s="35">
        <v>10720682.439999999</v>
      </c>
    </row>
    <row r="957" spans="1:6" x14ac:dyDescent="0.3">
      <c r="A957" t="s">
        <v>39</v>
      </c>
      <c r="B957">
        <v>2019</v>
      </c>
      <c r="C957" t="s">
        <v>16</v>
      </c>
      <c r="D957" s="35">
        <v>577893.91000000015</v>
      </c>
      <c r="E957" s="35">
        <v>7790</v>
      </c>
      <c r="F957" s="35">
        <v>565573.28000000014</v>
      </c>
    </row>
    <row r="958" spans="1:6" x14ac:dyDescent="0.3">
      <c r="A958" t="s">
        <v>39</v>
      </c>
      <c r="B958">
        <v>2019</v>
      </c>
      <c r="C958" t="s">
        <v>14</v>
      </c>
      <c r="D958" s="35">
        <v>2500476.4900000002</v>
      </c>
      <c r="E958" s="35">
        <v>149693</v>
      </c>
      <c r="F958" s="35">
        <v>1837438.52</v>
      </c>
    </row>
    <row r="959" spans="1:6" x14ac:dyDescent="0.3">
      <c r="A959" t="s">
        <v>39</v>
      </c>
      <c r="B959">
        <v>2019</v>
      </c>
      <c r="C959" t="s">
        <v>7</v>
      </c>
      <c r="D959" s="35">
        <v>12136438.23</v>
      </c>
      <c r="E959" s="35">
        <v>10415</v>
      </c>
      <c r="F959" s="35">
        <v>12132452.140000001</v>
      </c>
    </row>
    <row r="960" spans="1:6" x14ac:dyDescent="0.3">
      <c r="A960" t="s">
        <v>39</v>
      </c>
      <c r="B960">
        <v>2019</v>
      </c>
      <c r="C960" t="s">
        <v>11</v>
      </c>
      <c r="D960" s="35">
        <v>52121674.960000001</v>
      </c>
      <c r="E960" s="35">
        <v>38497</v>
      </c>
      <c r="F960" s="35">
        <v>47639867.390000001</v>
      </c>
    </row>
    <row r="961" spans="1:6" x14ac:dyDescent="0.3">
      <c r="A961" t="s">
        <v>39</v>
      </c>
      <c r="B961">
        <v>2019</v>
      </c>
      <c r="C961" t="s">
        <v>3</v>
      </c>
      <c r="D961" s="35">
        <v>12073043.75</v>
      </c>
      <c r="E961" s="35">
        <v>111830</v>
      </c>
      <c r="F961" s="35">
        <v>11685707.609999999</v>
      </c>
    </row>
    <row r="962" spans="1:6" x14ac:dyDescent="0.3">
      <c r="A962" t="s">
        <v>39</v>
      </c>
      <c r="B962">
        <v>2019</v>
      </c>
      <c r="C962" t="s">
        <v>12</v>
      </c>
      <c r="D962" s="35">
        <v>5427201.5499999998</v>
      </c>
      <c r="E962" s="35">
        <v>247583</v>
      </c>
      <c r="F962" s="35">
        <v>3721161.78</v>
      </c>
    </row>
    <row r="963" spans="1:6" x14ac:dyDescent="0.3">
      <c r="A963" t="s">
        <v>39</v>
      </c>
      <c r="B963">
        <v>2019</v>
      </c>
      <c r="C963" t="s">
        <v>2</v>
      </c>
      <c r="D963" s="35">
        <v>20688179.32</v>
      </c>
      <c r="E963" s="35">
        <v>702896</v>
      </c>
      <c r="F963" s="35">
        <v>17996132.77</v>
      </c>
    </row>
    <row r="964" spans="1:6" x14ac:dyDescent="0.3">
      <c r="A964" t="s">
        <v>39</v>
      </c>
      <c r="B964">
        <v>2019</v>
      </c>
      <c r="C964" t="s">
        <v>5</v>
      </c>
      <c r="D964" s="35">
        <v>13393160.300000001</v>
      </c>
      <c r="E964" s="35">
        <v>10733</v>
      </c>
      <c r="F964" s="35">
        <v>13159788.4</v>
      </c>
    </row>
    <row r="965" spans="1:6" x14ac:dyDescent="0.3">
      <c r="A965" t="s">
        <v>39</v>
      </c>
      <c r="B965">
        <v>2019</v>
      </c>
      <c r="C965" t="s">
        <v>17</v>
      </c>
      <c r="D965" s="35">
        <v>822636.78999999992</v>
      </c>
      <c r="E965" s="35">
        <v>42963</v>
      </c>
      <c r="F965" s="35">
        <v>634255.49</v>
      </c>
    </row>
    <row r="966" spans="1:6" x14ac:dyDescent="0.3">
      <c r="A966" t="s">
        <v>39</v>
      </c>
      <c r="B966">
        <v>2019</v>
      </c>
      <c r="C966" t="s">
        <v>9</v>
      </c>
      <c r="D966" s="35">
        <v>8322106.0199999996</v>
      </c>
      <c r="E966" s="35">
        <v>355666</v>
      </c>
      <c r="F966" s="35">
        <v>6670468.9200000009</v>
      </c>
    </row>
    <row r="967" spans="1:6" x14ac:dyDescent="0.3">
      <c r="A967" t="s">
        <v>39</v>
      </c>
      <c r="B967">
        <v>2019</v>
      </c>
      <c r="C967" t="s">
        <v>8</v>
      </c>
      <c r="D967" s="35">
        <v>605543.64</v>
      </c>
      <c r="E967" s="35">
        <v>736</v>
      </c>
      <c r="F967" s="35">
        <v>605543.64</v>
      </c>
    </row>
    <row r="968" spans="1:6" x14ac:dyDescent="0.3">
      <c r="A968" t="s">
        <v>39</v>
      </c>
      <c r="B968">
        <v>2019</v>
      </c>
      <c r="C968" t="s">
        <v>6</v>
      </c>
      <c r="D968" s="35">
        <v>15557921.630000001</v>
      </c>
      <c r="E968" s="35">
        <v>357882</v>
      </c>
      <c r="F968" s="35">
        <v>14157471.619999999</v>
      </c>
    </row>
    <row r="969" spans="1:6" x14ac:dyDescent="0.3">
      <c r="A969" t="s">
        <v>39</v>
      </c>
      <c r="B969">
        <v>2019</v>
      </c>
      <c r="C969" t="s">
        <v>15</v>
      </c>
      <c r="D969" s="35">
        <v>2160596.0700000012</v>
      </c>
      <c r="E969" s="35">
        <v>122577</v>
      </c>
      <c r="F969" s="35">
        <v>1586608.87</v>
      </c>
    </row>
    <row r="970" spans="1:6" x14ac:dyDescent="0.3">
      <c r="A970" t="s">
        <v>39</v>
      </c>
      <c r="B970">
        <v>2019</v>
      </c>
      <c r="C970" t="s">
        <v>18</v>
      </c>
      <c r="D970" s="35">
        <v>8411594.3600000013</v>
      </c>
      <c r="E970" s="35">
        <v>17868</v>
      </c>
      <c r="F970" s="35">
        <v>7778808.9500000002</v>
      </c>
    </row>
    <row r="971" spans="1:6" x14ac:dyDescent="0.3">
      <c r="A971" t="s">
        <v>39</v>
      </c>
      <c r="B971">
        <v>2020</v>
      </c>
      <c r="C971" t="s">
        <v>10</v>
      </c>
      <c r="D971" s="35">
        <v>7092617.6900000004</v>
      </c>
      <c r="E971" s="35">
        <v>436797</v>
      </c>
      <c r="F971" s="35">
        <v>5166607.76</v>
      </c>
    </row>
    <row r="972" spans="1:6" x14ac:dyDescent="0.3">
      <c r="A972" t="s">
        <v>39</v>
      </c>
      <c r="B972">
        <v>2020</v>
      </c>
      <c r="C972" t="s">
        <v>4</v>
      </c>
      <c r="D972" s="35">
        <v>28886139.219999999</v>
      </c>
      <c r="E972" s="35">
        <v>113768</v>
      </c>
      <c r="F972" s="35">
        <v>28711093.879999999</v>
      </c>
    </row>
    <row r="973" spans="1:6" x14ac:dyDescent="0.3">
      <c r="A973" t="s">
        <v>39</v>
      </c>
      <c r="B973">
        <v>2020</v>
      </c>
      <c r="C973" t="s">
        <v>13</v>
      </c>
      <c r="D973" s="35">
        <v>19544021.829999998</v>
      </c>
      <c r="E973" s="35">
        <v>105051</v>
      </c>
      <c r="F973" s="35">
        <v>18426071.100000001</v>
      </c>
    </row>
    <row r="974" spans="1:6" x14ac:dyDescent="0.3">
      <c r="A974" t="s">
        <v>39</v>
      </c>
      <c r="B974">
        <v>2020</v>
      </c>
      <c r="C974" t="s">
        <v>16</v>
      </c>
      <c r="D974" s="35">
        <v>954070.17</v>
      </c>
      <c r="E974" s="35">
        <v>7338</v>
      </c>
      <c r="F974" s="35">
        <v>902126.23</v>
      </c>
    </row>
    <row r="975" spans="1:6" x14ac:dyDescent="0.3">
      <c r="A975" t="s">
        <v>39</v>
      </c>
      <c r="B975">
        <v>2020</v>
      </c>
      <c r="C975" t="s">
        <v>14</v>
      </c>
      <c r="D975" s="35">
        <v>3858525.44</v>
      </c>
      <c r="E975" s="35">
        <v>154761</v>
      </c>
      <c r="F975" s="35">
        <v>2475798.91</v>
      </c>
    </row>
    <row r="976" spans="1:6" x14ac:dyDescent="0.3">
      <c r="A976" t="s">
        <v>39</v>
      </c>
      <c r="B976">
        <v>2020</v>
      </c>
      <c r="C976" t="s">
        <v>7</v>
      </c>
      <c r="D976" s="35">
        <v>23203755.390000001</v>
      </c>
      <c r="E976" s="35">
        <v>9983</v>
      </c>
      <c r="F976" s="35">
        <v>23197537.710000001</v>
      </c>
    </row>
    <row r="977" spans="1:6" x14ac:dyDescent="0.3">
      <c r="A977" t="s">
        <v>39</v>
      </c>
      <c r="B977">
        <v>2020</v>
      </c>
      <c r="C977" t="s">
        <v>11</v>
      </c>
      <c r="D977" s="35">
        <v>67892329.170000002</v>
      </c>
      <c r="E977" s="35">
        <v>39852</v>
      </c>
      <c r="F977" s="35">
        <v>62087481.839999989</v>
      </c>
    </row>
    <row r="978" spans="1:6" x14ac:dyDescent="0.3">
      <c r="A978" t="s">
        <v>39</v>
      </c>
      <c r="B978">
        <v>2020</v>
      </c>
      <c r="C978" t="s">
        <v>3</v>
      </c>
      <c r="D978" s="35">
        <v>29735894.34</v>
      </c>
      <c r="E978" s="35">
        <v>95295</v>
      </c>
      <c r="F978" s="35">
        <v>28989000.82</v>
      </c>
    </row>
    <row r="979" spans="1:6" x14ac:dyDescent="0.3">
      <c r="A979" t="s">
        <v>39</v>
      </c>
      <c r="B979">
        <v>2020</v>
      </c>
      <c r="C979" t="s">
        <v>12</v>
      </c>
      <c r="D979" s="35">
        <v>9666900</v>
      </c>
      <c r="E979" s="35">
        <v>198390</v>
      </c>
      <c r="F979" s="35">
        <v>7659680.1799999997</v>
      </c>
    </row>
    <row r="980" spans="1:6" x14ac:dyDescent="0.3">
      <c r="A980" t="s">
        <v>39</v>
      </c>
      <c r="B980">
        <v>2020</v>
      </c>
      <c r="C980" t="s">
        <v>2</v>
      </c>
      <c r="D980" s="35">
        <v>36502789.990000002</v>
      </c>
      <c r="E980" s="35">
        <v>711103</v>
      </c>
      <c r="F980" s="35">
        <v>30808094.34999999</v>
      </c>
    </row>
    <row r="981" spans="1:6" x14ac:dyDescent="0.3">
      <c r="A981" t="s">
        <v>39</v>
      </c>
      <c r="B981">
        <v>2020</v>
      </c>
      <c r="C981" t="s">
        <v>5</v>
      </c>
      <c r="D981" s="35">
        <v>15332309.67</v>
      </c>
      <c r="E981" s="35">
        <v>9821</v>
      </c>
      <c r="F981" s="35">
        <v>15087885.09</v>
      </c>
    </row>
    <row r="982" spans="1:6" x14ac:dyDescent="0.3">
      <c r="A982" t="s">
        <v>39</v>
      </c>
      <c r="B982">
        <v>2020</v>
      </c>
      <c r="C982" t="s">
        <v>17</v>
      </c>
      <c r="D982" s="35">
        <v>1013474.61</v>
      </c>
      <c r="E982" s="35">
        <v>39800</v>
      </c>
      <c r="F982" s="35">
        <v>796499.63</v>
      </c>
    </row>
    <row r="983" spans="1:6" x14ac:dyDescent="0.3">
      <c r="A983" t="s">
        <v>39</v>
      </c>
      <c r="B983">
        <v>2020</v>
      </c>
      <c r="C983" t="s">
        <v>9</v>
      </c>
      <c r="D983" s="35">
        <v>9602579.8199999984</v>
      </c>
      <c r="E983" s="35">
        <v>310014</v>
      </c>
      <c r="F983" s="35">
        <v>4697009.1400000006</v>
      </c>
    </row>
    <row r="984" spans="1:6" x14ac:dyDescent="0.3">
      <c r="A984" t="s">
        <v>39</v>
      </c>
      <c r="B984">
        <v>2020</v>
      </c>
      <c r="C984" t="s">
        <v>8</v>
      </c>
      <c r="D984" s="35">
        <v>2500326.7999999998</v>
      </c>
      <c r="E984" s="35">
        <v>863</v>
      </c>
      <c r="F984" s="35">
        <v>2500326.7999999998</v>
      </c>
    </row>
    <row r="985" spans="1:6" x14ac:dyDescent="0.3">
      <c r="A985" t="s">
        <v>39</v>
      </c>
      <c r="B985">
        <v>2020</v>
      </c>
      <c r="C985" t="s">
        <v>6</v>
      </c>
      <c r="D985" s="35">
        <v>20493664.579999998</v>
      </c>
      <c r="E985" s="35">
        <v>354126</v>
      </c>
      <c r="F985" s="35">
        <v>18277810.809999999</v>
      </c>
    </row>
    <row r="986" spans="1:6" x14ac:dyDescent="0.3">
      <c r="A986" t="s">
        <v>39</v>
      </c>
      <c r="B986">
        <v>2020</v>
      </c>
      <c r="C986" t="s">
        <v>15</v>
      </c>
      <c r="D986" s="35">
        <v>2453236.6800000011</v>
      </c>
      <c r="E986" s="35">
        <v>91005</v>
      </c>
      <c r="F986" s="35">
        <v>1502146.49</v>
      </c>
    </row>
    <row r="987" spans="1:6" x14ac:dyDescent="0.3">
      <c r="A987" t="s">
        <v>39</v>
      </c>
      <c r="B987">
        <v>2020</v>
      </c>
      <c r="C987" t="s">
        <v>18</v>
      </c>
      <c r="D987" s="35">
        <v>11450385</v>
      </c>
      <c r="E987" s="35">
        <v>23463</v>
      </c>
      <c r="F987" s="35">
        <v>9895045.0800000001</v>
      </c>
    </row>
    <row r="988" spans="1:6" x14ac:dyDescent="0.3">
      <c r="A988" t="s">
        <v>39</v>
      </c>
      <c r="B988">
        <v>2021</v>
      </c>
      <c r="C988" t="s">
        <v>10</v>
      </c>
      <c r="D988" s="35">
        <v>9969048.589999998</v>
      </c>
      <c r="E988" s="35">
        <v>478801</v>
      </c>
      <c r="F988" s="35">
        <v>6931663.2799999993</v>
      </c>
    </row>
    <row r="989" spans="1:6" x14ac:dyDescent="0.3">
      <c r="A989" t="s">
        <v>39</v>
      </c>
      <c r="B989">
        <v>2021</v>
      </c>
      <c r="C989" t="s">
        <v>4</v>
      </c>
      <c r="D989" s="35">
        <v>34398065.920000002</v>
      </c>
      <c r="E989" s="35">
        <v>124665</v>
      </c>
      <c r="F989" s="35">
        <v>34061860.869999997</v>
      </c>
    </row>
    <row r="990" spans="1:6" x14ac:dyDescent="0.3">
      <c r="A990" t="s">
        <v>39</v>
      </c>
      <c r="B990">
        <v>2021</v>
      </c>
      <c r="C990" t="s">
        <v>13</v>
      </c>
      <c r="D990" s="35">
        <v>12414382.49</v>
      </c>
      <c r="E990" s="35">
        <v>112236</v>
      </c>
      <c r="F990" s="35">
        <v>11084070.449999999</v>
      </c>
    </row>
    <row r="991" spans="1:6" x14ac:dyDescent="0.3">
      <c r="A991" t="s">
        <v>39</v>
      </c>
      <c r="B991">
        <v>2021</v>
      </c>
      <c r="C991" t="s">
        <v>16</v>
      </c>
      <c r="D991" s="35">
        <v>1719736.46</v>
      </c>
      <c r="E991" s="35">
        <v>8686</v>
      </c>
      <c r="F991" s="35">
        <v>1599702.39</v>
      </c>
    </row>
    <row r="992" spans="1:6" x14ac:dyDescent="0.3">
      <c r="A992" t="s">
        <v>39</v>
      </c>
      <c r="B992">
        <v>2021</v>
      </c>
      <c r="C992" t="s">
        <v>14</v>
      </c>
      <c r="D992" s="35">
        <v>5412877.6699999999</v>
      </c>
      <c r="E992" s="35">
        <v>168933</v>
      </c>
      <c r="F992" s="35">
        <v>3500915.709999999</v>
      </c>
    </row>
    <row r="993" spans="1:6" x14ac:dyDescent="0.3">
      <c r="A993" t="s">
        <v>39</v>
      </c>
      <c r="B993">
        <v>2021</v>
      </c>
      <c r="C993" t="s">
        <v>7</v>
      </c>
      <c r="D993" s="35">
        <v>27329909.489999998</v>
      </c>
      <c r="E993" s="35">
        <v>10514</v>
      </c>
      <c r="F993" s="35">
        <v>27311920.300000001</v>
      </c>
    </row>
    <row r="994" spans="1:6" x14ac:dyDescent="0.3">
      <c r="A994" t="s">
        <v>39</v>
      </c>
      <c r="B994">
        <v>2021</v>
      </c>
      <c r="C994" t="s">
        <v>11</v>
      </c>
      <c r="D994" s="35">
        <v>74476132.530000001</v>
      </c>
      <c r="E994" s="35">
        <v>42759</v>
      </c>
      <c r="F994" s="35">
        <v>68896735.349999994</v>
      </c>
    </row>
    <row r="995" spans="1:6" x14ac:dyDescent="0.3">
      <c r="A995" t="s">
        <v>39</v>
      </c>
      <c r="B995">
        <v>2021</v>
      </c>
      <c r="C995" t="s">
        <v>3</v>
      </c>
      <c r="D995" s="35">
        <v>37631637.189999998</v>
      </c>
      <c r="E995" s="35">
        <v>103453</v>
      </c>
      <c r="F995" s="35">
        <v>36495099.95000001</v>
      </c>
    </row>
    <row r="996" spans="1:6" x14ac:dyDescent="0.3">
      <c r="A996" t="s">
        <v>39</v>
      </c>
      <c r="B996">
        <v>2021</v>
      </c>
      <c r="C996" t="s">
        <v>12</v>
      </c>
      <c r="D996" s="35">
        <v>9833749.3100000005</v>
      </c>
      <c r="E996" s="35">
        <v>206068</v>
      </c>
      <c r="F996" s="35">
        <v>7402644.2300000004</v>
      </c>
    </row>
    <row r="997" spans="1:6" x14ac:dyDescent="0.3">
      <c r="A997" t="s">
        <v>39</v>
      </c>
      <c r="B997">
        <v>2021</v>
      </c>
      <c r="C997" t="s">
        <v>2</v>
      </c>
      <c r="D997" s="35">
        <v>49548583.549999997</v>
      </c>
      <c r="E997" s="35">
        <v>745465</v>
      </c>
      <c r="F997" s="35">
        <v>41500757.180000007</v>
      </c>
    </row>
    <row r="998" spans="1:6" x14ac:dyDescent="0.3">
      <c r="A998" t="s">
        <v>39</v>
      </c>
      <c r="B998">
        <v>2021</v>
      </c>
      <c r="C998" t="s">
        <v>5</v>
      </c>
      <c r="D998" s="35">
        <v>22161681.719999999</v>
      </c>
      <c r="E998" s="35">
        <v>10464</v>
      </c>
      <c r="F998" s="35">
        <v>21713700</v>
      </c>
    </row>
    <row r="999" spans="1:6" x14ac:dyDescent="0.3">
      <c r="A999" t="s">
        <v>39</v>
      </c>
      <c r="B999">
        <v>2021</v>
      </c>
      <c r="C999" t="s">
        <v>17</v>
      </c>
      <c r="D999" s="35">
        <v>1147937.82</v>
      </c>
      <c r="E999" s="35">
        <v>41982</v>
      </c>
      <c r="F999" s="35">
        <v>902740.04</v>
      </c>
    </row>
    <row r="1000" spans="1:6" x14ac:dyDescent="0.3">
      <c r="A1000" t="s">
        <v>39</v>
      </c>
      <c r="B1000">
        <v>2021</v>
      </c>
      <c r="C1000" t="s">
        <v>9</v>
      </c>
      <c r="D1000" s="35">
        <v>11637789.66</v>
      </c>
      <c r="E1000" s="35">
        <v>312735</v>
      </c>
      <c r="F1000" s="35">
        <v>4855050.2500000009</v>
      </c>
    </row>
    <row r="1001" spans="1:6" x14ac:dyDescent="0.3">
      <c r="A1001" t="s">
        <v>39</v>
      </c>
      <c r="B1001">
        <v>2021</v>
      </c>
      <c r="C1001" t="s">
        <v>8</v>
      </c>
      <c r="D1001" s="35">
        <v>3500965.34</v>
      </c>
      <c r="E1001" s="35">
        <v>989</v>
      </c>
      <c r="F1001" s="35">
        <v>3500965.34</v>
      </c>
    </row>
    <row r="1002" spans="1:6" x14ac:dyDescent="0.3">
      <c r="A1002" t="s">
        <v>39</v>
      </c>
      <c r="B1002">
        <v>2021</v>
      </c>
      <c r="C1002" t="s">
        <v>6</v>
      </c>
      <c r="D1002" s="35">
        <v>22541699.370000001</v>
      </c>
      <c r="E1002" s="35">
        <v>366119</v>
      </c>
      <c r="F1002" s="35">
        <v>20520262.109999999</v>
      </c>
    </row>
    <row r="1003" spans="1:6" x14ac:dyDescent="0.3">
      <c r="A1003" t="s">
        <v>39</v>
      </c>
      <c r="B1003">
        <v>2021</v>
      </c>
      <c r="C1003" t="s">
        <v>15</v>
      </c>
      <c r="D1003" s="35">
        <v>3476558.36</v>
      </c>
      <c r="E1003" s="35">
        <v>81576</v>
      </c>
      <c r="F1003" s="35">
        <v>2041850.07</v>
      </c>
    </row>
    <row r="1004" spans="1:6" x14ac:dyDescent="0.3">
      <c r="A1004" t="s">
        <v>39</v>
      </c>
      <c r="B1004">
        <v>2021</v>
      </c>
      <c r="C1004" t="s">
        <v>18</v>
      </c>
      <c r="D1004" s="35">
        <v>6408370.4999999991</v>
      </c>
      <c r="E1004" s="35">
        <v>14740</v>
      </c>
      <c r="F1004" s="35">
        <v>6041788.9699999997</v>
      </c>
    </row>
    <row r="1005" spans="1:6" x14ac:dyDescent="0.3">
      <c r="A1005" t="s">
        <v>39</v>
      </c>
      <c r="B1005">
        <v>2022</v>
      </c>
      <c r="C1005" t="s">
        <v>10</v>
      </c>
      <c r="D1005" s="35">
        <v>7166377.1000000006</v>
      </c>
      <c r="E1005" s="35">
        <v>451106</v>
      </c>
      <c r="F1005" s="35">
        <v>4532254.040000001</v>
      </c>
    </row>
    <row r="1006" spans="1:6" x14ac:dyDescent="0.3">
      <c r="A1006" t="s">
        <v>39</v>
      </c>
      <c r="B1006">
        <v>2022</v>
      </c>
      <c r="C1006" t="s">
        <v>4</v>
      </c>
      <c r="D1006" s="35">
        <v>38671564.270000003</v>
      </c>
      <c r="E1006" s="35">
        <v>123090</v>
      </c>
      <c r="F1006" s="35">
        <v>38384069.569999993</v>
      </c>
    </row>
    <row r="1007" spans="1:6" x14ac:dyDescent="0.3">
      <c r="A1007" t="s">
        <v>39</v>
      </c>
      <c r="B1007">
        <v>2022</v>
      </c>
      <c r="C1007" t="s">
        <v>13</v>
      </c>
      <c r="D1007" s="35">
        <v>10665930.699999999</v>
      </c>
      <c r="E1007" s="35">
        <v>108956</v>
      </c>
      <c r="F1007" s="35">
        <v>9335970.0800000001</v>
      </c>
    </row>
    <row r="1008" spans="1:6" x14ac:dyDescent="0.3">
      <c r="A1008" t="s">
        <v>39</v>
      </c>
      <c r="B1008">
        <v>2022</v>
      </c>
      <c r="C1008" t="s">
        <v>16</v>
      </c>
      <c r="D1008" s="35">
        <v>2022052.01</v>
      </c>
      <c r="E1008" s="35">
        <v>9099</v>
      </c>
      <c r="F1008" s="35">
        <v>1885900.1</v>
      </c>
    </row>
    <row r="1009" spans="1:6" x14ac:dyDescent="0.3">
      <c r="A1009" t="s">
        <v>39</v>
      </c>
      <c r="B1009">
        <v>2022</v>
      </c>
      <c r="C1009" t="s">
        <v>14</v>
      </c>
      <c r="D1009" s="35">
        <v>5517438.8300000001</v>
      </c>
      <c r="E1009" s="35">
        <v>169351</v>
      </c>
      <c r="F1009" s="35">
        <v>3627524.7000000011</v>
      </c>
    </row>
    <row r="1010" spans="1:6" x14ac:dyDescent="0.3">
      <c r="A1010" t="s">
        <v>39</v>
      </c>
      <c r="B1010">
        <v>2022</v>
      </c>
      <c r="C1010" t="s">
        <v>7</v>
      </c>
      <c r="D1010" s="35">
        <v>26320843.390000001</v>
      </c>
      <c r="E1010" s="35">
        <v>9637</v>
      </c>
      <c r="F1010" s="35">
        <v>26304104.66</v>
      </c>
    </row>
    <row r="1011" spans="1:6" x14ac:dyDescent="0.3">
      <c r="A1011" t="s">
        <v>39</v>
      </c>
      <c r="B1011">
        <v>2022</v>
      </c>
      <c r="C1011" t="s">
        <v>11</v>
      </c>
      <c r="D1011" s="35">
        <v>56904586.530000009</v>
      </c>
      <c r="E1011" s="35">
        <v>34663</v>
      </c>
      <c r="F1011" s="35">
        <v>51185205.119999997</v>
      </c>
    </row>
    <row r="1012" spans="1:6" x14ac:dyDescent="0.3">
      <c r="A1012" t="s">
        <v>39</v>
      </c>
      <c r="B1012">
        <v>2022</v>
      </c>
      <c r="C1012" t="s">
        <v>3</v>
      </c>
      <c r="D1012" s="35">
        <v>32945775.800000001</v>
      </c>
      <c r="E1012" s="35">
        <v>108648</v>
      </c>
      <c r="F1012" s="35">
        <v>31908684.019999988</v>
      </c>
    </row>
    <row r="1013" spans="1:6" x14ac:dyDescent="0.3">
      <c r="A1013" t="s">
        <v>39</v>
      </c>
      <c r="B1013">
        <v>2022</v>
      </c>
      <c r="C1013" t="s">
        <v>12</v>
      </c>
      <c r="D1013" s="35">
        <v>10218332.59</v>
      </c>
      <c r="E1013" s="35">
        <v>232215</v>
      </c>
      <c r="F1013" s="35">
        <v>7393076.5</v>
      </c>
    </row>
    <row r="1014" spans="1:6" x14ac:dyDescent="0.3">
      <c r="A1014" t="s">
        <v>39</v>
      </c>
      <c r="B1014">
        <v>2022</v>
      </c>
      <c r="C1014" t="s">
        <v>2</v>
      </c>
      <c r="D1014" s="35">
        <v>44557939.379999988</v>
      </c>
      <c r="E1014" s="35">
        <v>705941</v>
      </c>
      <c r="F1014" s="35">
        <v>37530016.059999987</v>
      </c>
    </row>
    <row r="1015" spans="1:6" x14ac:dyDescent="0.3">
      <c r="A1015" t="s">
        <v>39</v>
      </c>
      <c r="B1015">
        <v>2022</v>
      </c>
      <c r="C1015" t="s">
        <v>5</v>
      </c>
      <c r="D1015" s="35">
        <v>16572446.18</v>
      </c>
      <c r="E1015" s="35">
        <v>9163</v>
      </c>
      <c r="F1015" s="35">
        <v>16194003.34</v>
      </c>
    </row>
    <row r="1016" spans="1:6" x14ac:dyDescent="0.3">
      <c r="A1016" t="s">
        <v>39</v>
      </c>
      <c r="B1016">
        <v>2022</v>
      </c>
      <c r="C1016" t="s">
        <v>17</v>
      </c>
      <c r="D1016" s="35">
        <v>770992.38</v>
      </c>
      <c r="E1016" s="35">
        <v>38181</v>
      </c>
      <c r="F1016" s="35">
        <v>571623.3899999999</v>
      </c>
    </row>
    <row r="1017" spans="1:6" x14ac:dyDescent="0.3">
      <c r="A1017" t="s">
        <v>39</v>
      </c>
      <c r="B1017">
        <v>2022</v>
      </c>
      <c r="C1017" t="s">
        <v>9</v>
      </c>
      <c r="D1017" s="35">
        <v>11386650.949999999</v>
      </c>
      <c r="E1017" s="35">
        <v>290107</v>
      </c>
      <c r="F1017" s="35">
        <v>4570945.04</v>
      </c>
    </row>
    <row r="1018" spans="1:6" x14ac:dyDescent="0.3">
      <c r="A1018" t="s">
        <v>39</v>
      </c>
      <c r="B1018">
        <v>2022</v>
      </c>
      <c r="C1018" t="s">
        <v>8</v>
      </c>
      <c r="D1018" s="35">
        <v>2206591.2400000002</v>
      </c>
      <c r="E1018" s="35">
        <v>778</v>
      </c>
      <c r="F1018" s="35">
        <v>2206591.2400000002</v>
      </c>
    </row>
    <row r="1019" spans="1:6" x14ac:dyDescent="0.3">
      <c r="A1019" t="s">
        <v>39</v>
      </c>
      <c r="B1019">
        <v>2022</v>
      </c>
      <c r="C1019" t="s">
        <v>6</v>
      </c>
      <c r="D1019" s="35">
        <v>21957956.180000011</v>
      </c>
      <c r="E1019" s="35">
        <v>369000</v>
      </c>
      <c r="F1019" s="35">
        <v>19578626.940000001</v>
      </c>
    </row>
    <row r="1020" spans="1:6" x14ac:dyDescent="0.3">
      <c r="A1020" t="s">
        <v>39</v>
      </c>
      <c r="B1020">
        <v>2022</v>
      </c>
      <c r="C1020" t="s">
        <v>15</v>
      </c>
      <c r="D1020" s="35">
        <v>2486810.06</v>
      </c>
      <c r="E1020" s="35">
        <v>73711</v>
      </c>
      <c r="F1020" s="35">
        <v>1259076.6599999999</v>
      </c>
    </row>
    <row r="1021" spans="1:6" x14ac:dyDescent="0.3">
      <c r="A1021" t="s">
        <v>39</v>
      </c>
      <c r="B1021">
        <v>2022</v>
      </c>
      <c r="C1021" t="s">
        <v>18</v>
      </c>
      <c r="D1021" s="35">
        <v>4408657.5</v>
      </c>
      <c r="E1021" s="35">
        <v>12551</v>
      </c>
      <c r="F1021" s="35">
        <v>3911297.8</v>
      </c>
    </row>
    <row r="1022" spans="1:6" x14ac:dyDescent="0.3">
      <c r="A1022" t="s">
        <v>39</v>
      </c>
      <c r="B1022">
        <v>2023</v>
      </c>
      <c r="C1022" t="s">
        <v>10</v>
      </c>
      <c r="D1022" s="35">
        <v>5628725.9299999988</v>
      </c>
      <c r="E1022" s="35">
        <v>421044</v>
      </c>
      <c r="F1022" s="35">
        <v>2356027.67</v>
      </c>
    </row>
    <row r="1023" spans="1:6" x14ac:dyDescent="0.3">
      <c r="A1023" t="s">
        <v>39</v>
      </c>
      <c r="B1023">
        <v>2023</v>
      </c>
      <c r="C1023" t="s">
        <v>4</v>
      </c>
      <c r="D1023" s="35">
        <v>52054250.589999989</v>
      </c>
      <c r="E1023" s="35">
        <v>134988</v>
      </c>
      <c r="F1023" s="35">
        <v>51725008.190000013</v>
      </c>
    </row>
    <row r="1024" spans="1:6" x14ac:dyDescent="0.3">
      <c r="A1024" t="s">
        <v>39</v>
      </c>
      <c r="B1024">
        <v>2023</v>
      </c>
      <c r="C1024" t="s">
        <v>13</v>
      </c>
      <c r="D1024" s="35">
        <v>5814035.79</v>
      </c>
      <c r="E1024" s="35">
        <v>122110</v>
      </c>
      <c r="F1024" s="35">
        <v>4363947.0600000015</v>
      </c>
    </row>
    <row r="1025" spans="1:6" x14ac:dyDescent="0.3">
      <c r="A1025" t="s">
        <v>39</v>
      </c>
      <c r="B1025">
        <v>2023</v>
      </c>
      <c r="C1025" t="s">
        <v>16</v>
      </c>
      <c r="D1025" s="35">
        <v>2192419.2599999998</v>
      </c>
      <c r="E1025" s="35">
        <v>9738</v>
      </c>
      <c r="F1025" s="35">
        <v>2085253.01</v>
      </c>
    </row>
    <row r="1026" spans="1:6" x14ac:dyDescent="0.3">
      <c r="A1026" t="s">
        <v>39</v>
      </c>
      <c r="B1026">
        <v>2023</v>
      </c>
      <c r="C1026" t="s">
        <v>14</v>
      </c>
      <c r="D1026" s="35">
        <v>5679455.0499999998</v>
      </c>
      <c r="E1026" s="35">
        <v>180356</v>
      </c>
      <c r="F1026" s="35">
        <v>3365209.53</v>
      </c>
    </row>
    <row r="1027" spans="1:6" x14ac:dyDescent="0.3">
      <c r="A1027" t="s">
        <v>39</v>
      </c>
      <c r="B1027">
        <v>2023</v>
      </c>
      <c r="C1027" t="s">
        <v>7</v>
      </c>
      <c r="D1027" s="35">
        <v>28212693.370000001</v>
      </c>
      <c r="E1027" s="35">
        <v>9951</v>
      </c>
      <c r="F1027" s="35">
        <v>28191376.710000001</v>
      </c>
    </row>
    <row r="1028" spans="1:6" x14ac:dyDescent="0.3">
      <c r="A1028" t="s">
        <v>39</v>
      </c>
      <c r="B1028">
        <v>2023</v>
      </c>
      <c r="C1028" t="s">
        <v>11</v>
      </c>
      <c r="D1028" s="35">
        <v>38812189.330000013</v>
      </c>
      <c r="E1028" s="35">
        <v>30687</v>
      </c>
      <c r="F1028" s="35">
        <v>32890082.68</v>
      </c>
    </row>
    <row r="1029" spans="1:6" x14ac:dyDescent="0.3">
      <c r="A1029" t="s">
        <v>39</v>
      </c>
      <c r="B1029">
        <v>2023</v>
      </c>
      <c r="C1029" t="s">
        <v>3</v>
      </c>
      <c r="D1029" s="35">
        <v>39310207.25</v>
      </c>
      <c r="E1029" s="35">
        <v>111535</v>
      </c>
      <c r="F1029" s="35">
        <v>38038105.060000002</v>
      </c>
    </row>
    <row r="1030" spans="1:6" x14ac:dyDescent="0.3">
      <c r="A1030" t="s">
        <v>39</v>
      </c>
      <c r="B1030">
        <v>2023</v>
      </c>
      <c r="C1030" t="s">
        <v>12</v>
      </c>
      <c r="D1030" s="35">
        <v>11351392.109999999</v>
      </c>
      <c r="E1030" s="35">
        <v>260591</v>
      </c>
      <c r="F1030" s="35">
        <v>7919842.3899999987</v>
      </c>
    </row>
    <row r="1031" spans="1:6" x14ac:dyDescent="0.3">
      <c r="A1031" t="s">
        <v>39</v>
      </c>
      <c r="B1031">
        <v>2023</v>
      </c>
      <c r="C1031" t="s">
        <v>2</v>
      </c>
      <c r="D1031" s="35">
        <v>47540660.500000007</v>
      </c>
      <c r="E1031" s="35">
        <v>739930</v>
      </c>
      <c r="F1031" s="35">
        <v>39293587.659999996</v>
      </c>
    </row>
    <row r="1032" spans="1:6" x14ac:dyDescent="0.3">
      <c r="A1032" t="s">
        <v>39</v>
      </c>
      <c r="B1032">
        <v>2023</v>
      </c>
      <c r="C1032" t="s">
        <v>5</v>
      </c>
      <c r="D1032" s="35">
        <v>22478278.010000002</v>
      </c>
      <c r="E1032" s="35">
        <v>10044</v>
      </c>
      <c r="F1032" s="35">
        <v>21953504.300000001</v>
      </c>
    </row>
    <row r="1033" spans="1:6" x14ac:dyDescent="0.3">
      <c r="A1033" t="s">
        <v>39</v>
      </c>
      <c r="B1033">
        <v>2023</v>
      </c>
      <c r="C1033" t="s">
        <v>17</v>
      </c>
      <c r="D1033" s="35">
        <v>1213799.53</v>
      </c>
      <c r="E1033" s="35">
        <v>41914</v>
      </c>
      <c r="F1033" s="35">
        <v>918757.25</v>
      </c>
    </row>
    <row r="1034" spans="1:6" x14ac:dyDescent="0.3">
      <c r="A1034" t="s">
        <v>39</v>
      </c>
      <c r="B1034">
        <v>2023</v>
      </c>
      <c r="C1034" t="s">
        <v>9</v>
      </c>
      <c r="D1034" s="35">
        <v>14323418.060000001</v>
      </c>
      <c r="E1034" s="35">
        <v>310641</v>
      </c>
      <c r="F1034" s="35">
        <v>5921285.0599999996</v>
      </c>
    </row>
    <row r="1035" spans="1:6" x14ac:dyDescent="0.3">
      <c r="A1035" t="s">
        <v>39</v>
      </c>
      <c r="B1035">
        <v>2023</v>
      </c>
      <c r="C1035" t="s">
        <v>8</v>
      </c>
      <c r="D1035" s="35">
        <v>2841986.67</v>
      </c>
      <c r="E1035" s="35">
        <v>758</v>
      </c>
      <c r="F1035" s="35">
        <v>2841986.67</v>
      </c>
    </row>
    <row r="1036" spans="1:6" x14ac:dyDescent="0.3">
      <c r="A1036" t="s">
        <v>39</v>
      </c>
      <c r="B1036">
        <v>2023</v>
      </c>
      <c r="C1036" t="s">
        <v>6</v>
      </c>
      <c r="D1036" s="35">
        <v>23761818.649999991</v>
      </c>
      <c r="E1036" s="35">
        <v>383858</v>
      </c>
      <c r="F1036" s="35">
        <v>20835803.66</v>
      </c>
    </row>
    <row r="1037" spans="1:6" x14ac:dyDescent="0.3">
      <c r="A1037" t="s">
        <v>39</v>
      </c>
      <c r="B1037">
        <v>2023</v>
      </c>
      <c r="C1037" t="s">
        <v>15</v>
      </c>
      <c r="D1037" s="35">
        <v>2905918.3800000008</v>
      </c>
      <c r="E1037" s="35">
        <v>71506</v>
      </c>
      <c r="F1037" s="35">
        <v>1611107.14</v>
      </c>
    </row>
    <row r="1038" spans="1:6" x14ac:dyDescent="0.3">
      <c r="A1038" t="s">
        <v>39</v>
      </c>
      <c r="B1038">
        <v>2023</v>
      </c>
      <c r="C1038" t="s">
        <v>18</v>
      </c>
      <c r="D1038" s="35">
        <v>1804639.92</v>
      </c>
      <c r="E1038" s="35">
        <v>10106</v>
      </c>
      <c r="F1038" s="35">
        <v>1206143.47</v>
      </c>
    </row>
    <row r="1039" spans="1:6" x14ac:dyDescent="0.3">
      <c r="A1039" t="s">
        <v>39</v>
      </c>
      <c r="B1039">
        <v>2024</v>
      </c>
      <c r="C1039" t="s">
        <v>10</v>
      </c>
      <c r="D1039" s="35">
        <v>5071699.6899999985</v>
      </c>
      <c r="E1039" s="35">
        <v>334885</v>
      </c>
      <c r="F1039" s="35">
        <v>2033156.52</v>
      </c>
    </row>
    <row r="1040" spans="1:6" x14ac:dyDescent="0.3">
      <c r="A1040" t="s">
        <v>39</v>
      </c>
      <c r="B1040">
        <v>2024</v>
      </c>
      <c r="C1040" t="s">
        <v>4</v>
      </c>
      <c r="D1040" s="35">
        <v>43131123.080000013</v>
      </c>
      <c r="E1040" s="35">
        <v>122749</v>
      </c>
      <c r="F1040" s="35">
        <v>42828189.760000013</v>
      </c>
    </row>
    <row r="1041" spans="1:6" x14ac:dyDescent="0.3">
      <c r="A1041" t="s">
        <v>39</v>
      </c>
      <c r="B1041">
        <v>2024</v>
      </c>
      <c r="C1041" t="s">
        <v>13</v>
      </c>
      <c r="D1041" s="35">
        <v>5071709.7100000018</v>
      </c>
      <c r="E1041" s="35">
        <v>98417</v>
      </c>
      <c r="F1041" s="35">
        <v>3874726.18</v>
      </c>
    </row>
    <row r="1042" spans="1:6" x14ac:dyDescent="0.3">
      <c r="A1042" t="s">
        <v>39</v>
      </c>
      <c r="B1042">
        <v>2024</v>
      </c>
      <c r="C1042" t="s">
        <v>16</v>
      </c>
      <c r="D1042" s="35">
        <v>1331807.1499999999</v>
      </c>
      <c r="E1042" s="35">
        <v>7750</v>
      </c>
      <c r="F1042" s="35">
        <v>1253884.97</v>
      </c>
    </row>
    <row r="1043" spans="1:6" x14ac:dyDescent="0.3">
      <c r="A1043" t="s">
        <v>39</v>
      </c>
      <c r="B1043">
        <v>2024</v>
      </c>
      <c r="C1043" t="s">
        <v>14</v>
      </c>
      <c r="D1043" s="35">
        <v>3885437.5300000012</v>
      </c>
      <c r="E1043" s="35">
        <v>155352</v>
      </c>
      <c r="F1043" s="35">
        <v>1882909.12</v>
      </c>
    </row>
    <row r="1044" spans="1:6" x14ac:dyDescent="0.3">
      <c r="A1044" t="s">
        <v>39</v>
      </c>
      <c r="B1044">
        <v>2024</v>
      </c>
      <c r="C1044" t="s">
        <v>7</v>
      </c>
      <c r="D1044" s="35">
        <v>23987696.059999999</v>
      </c>
      <c r="E1044" s="35">
        <v>7983</v>
      </c>
      <c r="F1044" s="35">
        <v>23971443.579999998</v>
      </c>
    </row>
    <row r="1045" spans="1:6" x14ac:dyDescent="0.3">
      <c r="A1045" t="s">
        <v>39</v>
      </c>
      <c r="B1045">
        <v>2024</v>
      </c>
      <c r="C1045" t="s">
        <v>11</v>
      </c>
      <c r="D1045" s="35">
        <v>39451164.770000003</v>
      </c>
      <c r="E1045" s="35">
        <v>19874</v>
      </c>
      <c r="F1045" s="35">
        <v>38016631.380000003</v>
      </c>
    </row>
    <row r="1046" spans="1:6" x14ac:dyDescent="0.3">
      <c r="A1046" t="s">
        <v>39</v>
      </c>
      <c r="B1046">
        <v>2024</v>
      </c>
      <c r="C1046" t="s">
        <v>3</v>
      </c>
      <c r="D1046" s="35">
        <v>33436490.809999991</v>
      </c>
      <c r="E1046" s="35">
        <v>93027</v>
      </c>
      <c r="F1046" s="35">
        <v>32222876.68</v>
      </c>
    </row>
    <row r="1047" spans="1:6" x14ac:dyDescent="0.3">
      <c r="A1047" t="s">
        <v>39</v>
      </c>
      <c r="B1047">
        <v>2024</v>
      </c>
      <c r="C1047" t="s">
        <v>12</v>
      </c>
      <c r="D1047" s="35">
        <v>10449222.08</v>
      </c>
      <c r="E1047" s="35">
        <v>225745</v>
      </c>
      <c r="F1047" s="35">
        <v>7224458.8899999987</v>
      </c>
    </row>
    <row r="1048" spans="1:6" x14ac:dyDescent="0.3">
      <c r="A1048" t="s">
        <v>39</v>
      </c>
      <c r="B1048">
        <v>2024</v>
      </c>
      <c r="C1048" t="s">
        <v>2</v>
      </c>
      <c r="D1048" s="35">
        <v>46142755.229999989</v>
      </c>
      <c r="E1048" s="35">
        <v>651613</v>
      </c>
      <c r="F1048" s="35">
        <v>38046583.450000003</v>
      </c>
    </row>
    <row r="1049" spans="1:6" x14ac:dyDescent="0.3">
      <c r="A1049" t="s">
        <v>39</v>
      </c>
      <c r="B1049">
        <v>2024</v>
      </c>
      <c r="C1049" t="s">
        <v>5</v>
      </c>
      <c r="D1049" s="35">
        <v>27452651.32</v>
      </c>
      <c r="E1049" s="35">
        <v>8416</v>
      </c>
      <c r="F1049" s="35">
        <v>26858183.469999999</v>
      </c>
    </row>
    <row r="1050" spans="1:6" x14ac:dyDescent="0.3">
      <c r="A1050" t="s">
        <v>39</v>
      </c>
      <c r="B1050">
        <v>2024</v>
      </c>
      <c r="C1050" t="s">
        <v>17</v>
      </c>
      <c r="D1050" s="35">
        <v>1470007.08</v>
      </c>
      <c r="E1050" s="35">
        <v>37227</v>
      </c>
      <c r="F1050" s="35">
        <v>1106529.8700000001</v>
      </c>
    </row>
    <row r="1051" spans="1:6" x14ac:dyDescent="0.3">
      <c r="A1051" t="s">
        <v>39</v>
      </c>
      <c r="B1051">
        <v>2024</v>
      </c>
      <c r="C1051" t="s">
        <v>9</v>
      </c>
      <c r="D1051" s="35">
        <v>13238123.359999999</v>
      </c>
      <c r="E1051" s="35">
        <v>266816</v>
      </c>
      <c r="F1051" s="35">
        <v>6197245.7799999993</v>
      </c>
    </row>
    <row r="1052" spans="1:6" x14ac:dyDescent="0.3">
      <c r="A1052" t="s">
        <v>39</v>
      </c>
      <c r="B1052">
        <v>2024</v>
      </c>
      <c r="C1052" t="s">
        <v>8</v>
      </c>
      <c r="D1052" s="35">
        <v>1976585.02</v>
      </c>
      <c r="E1052" s="35">
        <v>619</v>
      </c>
      <c r="F1052" s="35">
        <v>1976585.02</v>
      </c>
    </row>
    <row r="1053" spans="1:6" x14ac:dyDescent="0.3">
      <c r="A1053" t="s">
        <v>39</v>
      </c>
      <c r="B1053">
        <v>2024</v>
      </c>
      <c r="C1053" t="s">
        <v>6</v>
      </c>
      <c r="D1053" s="35">
        <v>15567583.57</v>
      </c>
      <c r="E1053" s="35">
        <v>317078</v>
      </c>
      <c r="F1053" s="35">
        <v>12361299.17999999</v>
      </c>
    </row>
    <row r="1054" spans="1:6" x14ac:dyDescent="0.3">
      <c r="A1054" t="s">
        <v>39</v>
      </c>
      <c r="B1054">
        <v>2024</v>
      </c>
      <c r="C1054" t="s">
        <v>15</v>
      </c>
      <c r="D1054" s="35">
        <v>2379936.4700000002</v>
      </c>
      <c r="E1054" s="35">
        <v>54184</v>
      </c>
      <c r="F1054" s="35">
        <v>1416055.07</v>
      </c>
    </row>
    <row r="1055" spans="1:6" x14ac:dyDescent="0.3">
      <c r="A1055" t="s">
        <v>39</v>
      </c>
      <c r="B1055">
        <v>2024</v>
      </c>
      <c r="C1055" t="s">
        <v>18</v>
      </c>
      <c r="D1055" s="35">
        <v>1072330.3899999999</v>
      </c>
      <c r="E1055" s="35">
        <v>8404</v>
      </c>
      <c r="F1055" s="35">
        <v>854273.77000000014</v>
      </c>
    </row>
    <row r="1056" spans="1:6" x14ac:dyDescent="0.3">
      <c r="A1056" t="s">
        <v>39</v>
      </c>
      <c r="B1056">
        <v>2025</v>
      </c>
      <c r="C1056" t="s">
        <v>10</v>
      </c>
      <c r="D1056" s="35">
        <v>4366080.129999999</v>
      </c>
      <c r="E1056" s="35">
        <v>309015</v>
      </c>
      <c r="F1056" s="35">
        <v>1493951.36</v>
      </c>
    </row>
    <row r="1057" spans="1:6" x14ac:dyDescent="0.3">
      <c r="A1057" t="s">
        <v>39</v>
      </c>
      <c r="B1057">
        <v>2025</v>
      </c>
      <c r="C1057" t="s">
        <v>4</v>
      </c>
      <c r="D1057" s="35">
        <v>39335247.560000002</v>
      </c>
      <c r="E1057" s="35">
        <v>131834</v>
      </c>
      <c r="F1057" s="35">
        <v>39073432.469999999</v>
      </c>
    </row>
    <row r="1058" spans="1:6" x14ac:dyDescent="0.3">
      <c r="A1058" t="s">
        <v>39</v>
      </c>
      <c r="B1058">
        <v>2025</v>
      </c>
      <c r="C1058" t="s">
        <v>13</v>
      </c>
      <c r="D1058" s="35">
        <v>4556764.2699999996</v>
      </c>
      <c r="E1058" s="35">
        <v>89074</v>
      </c>
      <c r="F1058" s="35">
        <v>3500360.9</v>
      </c>
    </row>
    <row r="1059" spans="1:6" x14ac:dyDescent="0.3">
      <c r="A1059" t="s">
        <v>39</v>
      </c>
      <c r="B1059">
        <v>2025</v>
      </c>
      <c r="C1059" t="s">
        <v>16</v>
      </c>
      <c r="D1059" s="35">
        <v>1054787.6000000001</v>
      </c>
      <c r="E1059" s="35">
        <v>7747</v>
      </c>
      <c r="F1059" s="35">
        <v>958171.45</v>
      </c>
    </row>
    <row r="1060" spans="1:6" x14ac:dyDescent="0.3">
      <c r="A1060" t="s">
        <v>39</v>
      </c>
      <c r="B1060">
        <v>2025</v>
      </c>
      <c r="C1060" t="s">
        <v>14</v>
      </c>
      <c r="D1060" s="35">
        <v>4496043.62</v>
      </c>
      <c r="E1060" s="35">
        <v>150254</v>
      </c>
      <c r="F1060" s="35">
        <v>1911503.37</v>
      </c>
    </row>
    <row r="1061" spans="1:6" x14ac:dyDescent="0.3">
      <c r="A1061" t="s">
        <v>39</v>
      </c>
      <c r="B1061">
        <v>2025</v>
      </c>
      <c r="C1061" t="s">
        <v>7</v>
      </c>
      <c r="D1061" s="35">
        <v>23519584.870000001</v>
      </c>
      <c r="E1061" s="35">
        <v>7593</v>
      </c>
      <c r="F1061" s="35">
        <v>23498956.48</v>
      </c>
    </row>
    <row r="1062" spans="1:6" x14ac:dyDescent="0.3">
      <c r="A1062" t="s">
        <v>39</v>
      </c>
      <c r="B1062">
        <v>2025</v>
      </c>
      <c r="C1062" t="s">
        <v>11</v>
      </c>
      <c r="D1062" s="35">
        <v>44132966.960000008</v>
      </c>
      <c r="E1062" s="35">
        <v>21640</v>
      </c>
      <c r="F1062" s="35">
        <v>43788748.229999997</v>
      </c>
    </row>
    <row r="1063" spans="1:6" x14ac:dyDescent="0.3">
      <c r="A1063" t="s">
        <v>39</v>
      </c>
      <c r="B1063">
        <v>2025</v>
      </c>
      <c r="C1063" t="s">
        <v>3</v>
      </c>
      <c r="D1063" s="35">
        <v>29320415.550000001</v>
      </c>
      <c r="E1063" s="35">
        <v>94093</v>
      </c>
      <c r="F1063" s="35">
        <v>27991137.360000011</v>
      </c>
    </row>
    <row r="1064" spans="1:6" x14ac:dyDescent="0.3">
      <c r="A1064" t="s">
        <v>39</v>
      </c>
      <c r="B1064">
        <v>2025</v>
      </c>
      <c r="C1064" t="s">
        <v>12</v>
      </c>
      <c r="D1064" s="35">
        <v>10012215.66</v>
      </c>
      <c r="E1064" s="35">
        <v>205731</v>
      </c>
      <c r="F1064" s="35">
        <v>6974225.1399999997</v>
      </c>
    </row>
    <row r="1065" spans="1:6" x14ac:dyDescent="0.3">
      <c r="A1065" t="s">
        <v>39</v>
      </c>
      <c r="B1065">
        <v>2025</v>
      </c>
      <c r="C1065" t="s">
        <v>2</v>
      </c>
      <c r="D1065" s="35">
        <v>53764421.190000013</v>
      </c>
      <c r="E1065" s="35">
        <v>625691</v>
      </c>
      <c r="F1065" s="35">
        <v>46216210.229999997</v>
      </c>
    </row>
    <row r="1066" spans="1:6" x14ac:dyDescent="0.3">
      <c r="A1066" t="s">
        <v>39</v>
      </c>
      <c r="B1066">
        <v>2025</v>
      </c>
      <c r="C1066" t="s">
        <v>5</v>
      </c>
      <c r="D1066" s="35">
        <v>23772710.75</v>
      </c>
      <c r="E1066" s="35">
        <v>8495</v>
      </c>
      <c r="F1066" s="35">
        <v>23149242.600000001</v>
      </c>
    </row>
    <row r="1067" spans="1:6" x14ac:dyDescent="0.3">
      <c r="A1067" t="s">
        <v>39</v>
      </c>
      <c r="B1067">
        <v>2025</v>
      </c>
      <c r="C1067" t="s">
        <v>17</v>
      </c>
      <c r="D1067" s="35">
        <v>1287564.8500000001</v>
      </c>
      <c r="E1067" s="35">
        <v>36945</v>
      </c>
      <c r="F1067" s="35">
        <v>992252.28000000014</v>
      </c>
    </row>
    <row r="1068" spans="1:6" x14ac:dyDescent="0.3">
      <c r="A1068" t="s">
        <v>39</v>
      </c>
      <c r="B1068">
        <v>2025</v>
      </c>
      <c r="C1068" t="s">
        <v>9</v>
      </c>
      <c r="D1068" s="35">
        <v>15006557.609999999</v>
      </c>
      <c r="E1068" s="35">
        <v>270143</v>
      </c>
      <c r="F1068" s="35">
        <v>8405283.4299999997</v>
      </c>
    </row>
    <row r="1069" spans="1:6" x14ac:dyDescent="0.3">
      <c r="A1069" t="s">
        <v>39</v>
      </c>
      <c r="B1069">
        <v>2025</v>
      </c>
      <c r="C1069" t="s">
        <v>8</v>
      </c>
      <c r="D1069" s="35">
        <v>594926.47</v>
      </c>
      <c r="E1069" s="35">
        <v>519</v>
      </c>
      <c r="F1069" s="35">
        <v>594926.47</v>
      </c>
    </row>
    <row r="1070" spans="1:6" x14ac:dyDescent="0.3">
      <c r="A1070" t="s">
        <v>39</v>
      </c>
      <c r="B1070">
        <v>2025</v>
      </c>
      <c r="C1070" t="s">
        <v>6</v>
      </c>
      <c r="D1070" s="35">
        <v>14217158.539999999</v>
      </c>
      <c r="E1070" s="35">
        <v>290041</v>
      </c>
      <c r="F1070" s="35">
        <v>11108493.82</v>
      </c>
    </row>
    <row r="1071" spans="1:6" x14ac:dyDescent="0.3">
      <c r="A1071" t="s">
        <v>39</v>
      </c>
      <c r="B1071">
        <v>2025</v>
      </c>
      <c r="C1071" t="s">
        <v>15</v>
      </c>
      <c r="D1071" s="35">
        <v>2213224.88</v>
      </c>
      <c r="E1071" s="35">
        <v>44543</v>
      </c>
      <c r="F1071" s="35">
        <v>1300740.17</v>
      </c>
    </row>
    <row r="1072" spans="1:6" x14ac:dyDescent="0.3">
      <c r="A1072" t="s">
        <v>39</v>
      </c>
      <c r="B1072">
        <v>2025</v>
      </c>
      <c r="C1072" t="s">
        <v>18</v>
      </c>
      <c r="D1072" s="35">
        <v>1412717.33</v>
      </c>
      <c r="E1072" s="35">
        <v>9037</v>
      </c>
      <c r="F1072" s="35">
        <v>997911.36999999988</v>
      </c>
    </row>
    <row r="1073" spans="1:6" x14ac:dyDescent="0.3">
      <c r="A1073" t="s">
        <v>40</v>
      </c>
      <c r="B1073">
        <v>2019</v>
      </c>
      <c r="C1073" t="s">
        <v>10</v>
      </c>
      <c r="D1073" s="35">
        <v>99309252.020000011</v>
      </c>
      <c r="E1073" s="35">
        <v>3812980</v>
      </c>
      <c r="F1073" s="35">
        <v>77155223.979999989</v>
      </c>
    </row>
    <row r="1074" spans="1:6" x14ac:dyDescent="0.3">
      <c r="A1074" t="s">
        <v>40</v>
      </c>
      <c r="B1074">
        <v>2019</v>
      </c>
      <c r="C1074" t="s">
        <v>4</v>
      </c>
      <c r="D1074" s="35">
        <v>230731002.97</v>
      </c>
      <c r="E1074" s="35">
        <v>966516</v>
      </c>
      <c r="F1074" s="35">
        <v>228386110.56999999</v>
      </c>
    </row>
    <row r="1075" spans="1:6" x14ac:dyDescent="0.3">
      <c r="A1075" t="s">
        <v>40</v>
      </c>
      <c r="B1075">
        <v>2019</v>
      </c>
      <c r="C1075" t="s">
        <v>13</v>
      </c>
      <c r="D1075" s="35">
        <v>174883413.38</v>
      </c>
      <c r="E1075" s="35">
        <v>996230</v>
      </c>
      <c r="F1075" s="35">
        <v>159974160.72</v>
      </c>
    </row>
    <row r="1076" spans="1:6" x14ac:dyDescent="0.3">
      <c r="A1076" t="s">
        <v>40</v>
      </c>
      <c r="B1076">
        <v>2019</v>
      </c>
      <c r="C1076" t="s">
        <v>16</v>
      </c>
      <c r="D1076" s="35">
        <v>28600163.109999999</v>
      </c>
      <c r="E1076" s="35">
        <v>152765</v>
      </c>
      <c r="F1076" s="35">
        <v>26116467.32</v>
      </c>
    </row>
    <row r="1077" spans="1:6" x14ac:dyDescent="0.3">
      <c r="A1077" t="s">
        <v>40</v>
      </c>
      <c r="B1077">
        <v>2019</v>
      </c>
      <c r="C1077" t="s">
        <v>14</v>
      </c>
      <c r="D1077" s="35">
        <v>64297000.450000003</v>
      </c>
      <c r="E1077" s="35">
        <v>1431390</v>
      </c>
      <c r="F1077" s="35">
        <v>46588607.93999999</v>
      </c>
    </row>
    <row r="1078" spans="1:6" x14ac:dyDescent="0.3">
      <c r="A1078" t="s">
        <v>40</v>
      </c>
      <c r="B1078">
        <v>2019</v>
      </c>
      <c r="C1078" t="s">
        <v>7</v>
      </c>
      <c r="D1078" s="35">
        <v>322889831.6400001</v>
      </c>
      <c r="E1078" s="35">
        <v>148403</v>
      </c>
      <c r="F1078" s="35">
        <v>321851808.32999998</v>
      </c>
    </row>
    <row r="1079" spans="1:6" x14ac:dyDescent="0.3">
      <c r="A1079" t="s">
        <v>40</v>
      </c>
      <c r="B1079">
        <v>2019</v>
      </c>
      <c r="C1079" t="s">
        <v>11</v>
      </c>
      <c r="D1079" s="35">
        <v>151331086.05000001</v>
      </c>
      <c r="E1079" s="35">
        <v>167180</v>
      </c>
      <c r="F1079" s="35">
        <v>145359976.86000001</v>
      </c>
    </row>
    <row r="1080" spans="1:6" x14ac:dyDescent="0.3">
      <c r="A1080" t="s">
        <v>40</v>
      </c>
      <c r="B1080">
        <v>2019</v>
      </c>
      <c r="C1080" t="s">
        <v>3</v>
      </c>
      <c r="D1080" s="35">
        <v>228283313.19999999</v>
      </c>
      <c r="E1080" s="35">
        <v>1292840</v>
      </c>
      <c r="F1080" s="35">
        <v>214795216.12999991</v>
      </c>
    </row>
    <row r="1081" spans="1:6" x14ac:dyDescent="0.3">
      <c r="A1081" t="s">
        <v>40</v>
      </c>
      <c r="B1081">
        <v>2019</v>
      </c>
      <c r="C1081" t="s">
        <v>12</v>
      </c>
      <c r="D1081" s="35">
        <v>175528178.68000001</v>
      </c>
      <c r="E1081" s="35">
        <v>3580918</v>
      </c>
      <c r="F1081" s="35">
        <v>121375203.97</v>
      </c>
    </row>
    <row r="1082" spans="1:6" x14ac:dyDescent="0.3">
      <c r="A1082" t="s">
        <v>40</v>
      </c>
      <c r="B1082">
        <v>2019</v>
      </c>
      <c r="C1082" t="s">
        <v>2</v>
      </c>
      <c r="D1082" s="35">
        <v>587943976.32999992</v>
      </c>
      <c r="E1082" s="35">
        <v>6076605</v>
      </c>
      <c r="F1082" s="35">
        <v>499482238.22000003</v>
      </c>
    </row>
    <row r="1083" spans="1:6" x14ac:dyDescent="0.3">
      <c r="A1083" t="s">
        <v>40</v>
      </c>
      <c r="B1083">
        <v>2019</v>
      </c>
      <c r="C1083" t="s">
        <v>5</v>
      </c>
      <c r="D1083" s="35">
        <v>254539183.63999999</v>
      </c>
      <c r="E1083" s="35">
        <v>143186</v>
      </c>
      <c r="F1083" s="35">
        <v>246858372.0399999</v>
      </c>
    </row>
    <row r="1084" spans="1:6" x14ac:dyDescent="0.3">
      <c r="A1084" t="s">
        <v>40</v>
      </c>
      <c r="B1084">
        <v>2019</v>
      </c>
      <c r="C1084" t="s">
        <v>17</v>
      </c>
      <c r="D1084" s="35">
        <v>17057053.43</v>
      </c>
      <c r="E1084" s="35">
        <v>435985</v>
      </c>
      <c r="F1084" s="35">
        <v>1613179.52</v>
      </c>
    </row>
    <row r="1085" spans="1:6" x14ac:dyDescent="0.3">
      <c r="A1085" t="s">
        <v>40</v>
      </c>
      <c r="B1085">
        <v>2019</v>
      </c>
      <c r="C1085" t="s">
        <v>9</v>
      </c>
      <c r="D1085" s="35">
        <v>48860322.479999997</v>
      </c>
      <c r="E1085" s="35">
        <v>2041394</v>
      </c>
      <c r="F1085" s="35">
        <v>25790948.5</v>
      </c>
    </row>
    <row r="1086" spans="1:6" x14ac:dyDescent="0.3">
      <c r="A1086" t="s">
        <v>40</v>
      </c>
      <c r="B1086">
        <v>2019</v>
      </c>
      <c r="C1086" t="s">
        <v>8</v>
      </c>
      <c r="D1086" s="35">
        <v>154928541.55000001</v>
      </c>
      <c r="E1086" s="35">
        <v>14031</v>
      </c>
      <c r="F1086" s="35">
        <v>154928541.55000001</v>
      </c>
    </row>
    <row r="1087" spans="1:6" x14ac:dyDescent="0.3">
      <c r="A1087" t="s">
        <v>40</v>
      </c>
      <c r="B1087">
        <v>2019</v>
      </c>
      <c r="C1087" t="s">
        <v>6</v>
      </c>
      <c r="D1087" s="35">
        <v>285187864.86999989</v>
      </c>
      <c r="E1087" s="35">
        <v>4177599</v>
      </c>
      <c r="F1087" s="35">
        <v>255411265.25999999</v>
      </c>
    </row>
    <row r="1088" spans="1:6" x14ac:dyDescent="0.3">
      <c r="A1088" t="s">
        <v>40</v>
      </c>
      <c r="B1088">
        <v>2019</v>
      </c>
      <c r="C1088" t="s">
        <v>15</v>
      </c>
      <c r="D1088" s="35">
        <v>128751558.78</v>
      </c>
      <c r="E1088" s="35">
        <v>1803171</v>
      </c>
      <c r="F1088" s="35">
        <v>96112666.640000001</v>
      </c>
    </row>
    <row r="1089" spans="1:6" x14ac:dyDescent="0.3">
      <c r="A1089" t="s">
        <v>40</v>
      </c>
      <c r="B1089">
        <v>2019</v>
      </c>
      <c r="C1089" t="s">
        <v>18</v>
      </c>
      <c r="D1089" s="35">
        <v>15972335.83</v>
      </c>
      <c r="E1089" s="35">
        <v>116141</v>
      </c>
      <c r="F1089" s="35">
        <v>9780493.8599999994</v>
      </c>
    </row>
    <row r="1090" spans="1:6" x14ac:dyDescent="0.3">
      <c r="A1090" t="s">
        <v>40</v>
      </c>
      <c r="B1090">
        <v>2020</v>
      </c>
      <c r="C1090" t="s">
        <v>10</v>
      </c>
      <c r="D1090" s="35">
        <v>117187886.61</v>
      </c>
      <c r="E1090" s="35">
        <v>3770840</v>
      </c>
      <c r="F1090" s="35">
        <v>91627530.199999973</v>
      </c>
    </row>
    <row r="1091" spans="1:6" x14ac:dyDescent="0.3">
      <c r="A1091" t="s">
        <v>40</v>
      </c>
      <c r="B1091">
        <v>2020</v>
      </c>
      <c r="C1091" t="s">
        <v>4</v>
      </c>
      <c r="D1091" s="35">
        <v>266270780.34999999</v>
      </c>
      <c r="E1091" s="35">
        <v>992830</v>
      </c>
      <c r="F1091" s="35">
        <v>263070869.87</v>
      </c>
    </row>
    <row r="1092" spans="1:6" x14ac:dyDescent="0.3">
      <c r="A1092" t="s">
        <v>40</v>
      </c>
      <c r="B1092">
        <v>2020</v>
      </c>
      <c r="C1092" t="s">
        <v>13</v>
      </c>
      <c r="D1092" s="35">
        <v>176383682.93000001</v>
      </c>
      <c r="E1092" s="35">
        <v>1056463</v>
      </c>
      <c r="F1092" s="35">
        <v>163342248.72999999</v>
      </c>
    </row>
    <row r="1093" spans="1:6" x14ac:dyDescent="0.3">
      <c r="A1093" t="s">
        <v>40</v>
      </c>
      <c r="B1093">
        <v>2020</v>
      </c>
      <c r="C1093" t="s">
        <v>16</v>
      </c>
      <c r="D1093" s="35">
        <v>31717404.030000001</v>
      </c>
      <c r="E1093" s="35">
        <v>173038</v>
      </c>
      <c r="F1093" s="35">
        <v>29141831.370000001</v>
      </c>
    </row>
    <row r="1094" spans="1:6" x14ac:dyDescent="0.3">
      <c r="A1094" t="s">
        <v>40</v>
      </c>
      <c r="B1094">
        <v>2020</v>
      </c>
      <c r="C1094" t="s">
        <v>14</v>
      </c>
      <c r="D1094" s="35">
        <v>76057205.420000002</v>
      </c>
      <c r="E1094" s="35">
        <v>1406800</v>
      </c>
      <c r="F1094" s="35">
        <v>54566600.329999991</v>
      </c>
    </row>
    <row r="1095" spans="1:6" x14ac:dyDescent="0.3">
      <c r="A1095" t="s">
        <v>40</v>
      </c>
      <c r="B1095">
        <v>2020</v>
      </c>
      <c r="C1095" t="s">
        <v>7</v>
      </c>
      <c r="D1095" s="35">
        <v>331805740.88999999</v>
      </c>
      <c r="E1095" s="35">
        <v>136045</v>
      </c>
      <c r="F1095" s="35">
        <v>329599914.23000008</v>
      </c>
    </row>
    <row r="1096" spans="1:6" x14ac:dyDescent="0.3">
      <c r="A1096" t="s">
        <v>40</v>
      </c>
      <c r="B1096">
        <v>2020</v>
      </c>
      <c r="C1096" t="s">
        <v>11</v>
      </c>
      <c r="D1096" s="35">
        <v>162968457.38</v>
      </c>
      <c r="E1096" s="35">
        <v>177175</v>
      </c>
      <c r="F1096" s="35">
        <v>155221179.18000001</v>
      </c>
    </row>
    <row r="1097" spans="1:6" x14ac:dyDescent="0.3">
      <c r="A1097" t="s">
        <v>40</v>
      </c>
      <c r="B1097">
        <v>2020</v>
      </c>
      <c r="C1097" t="s">
        <v>3</v>
      </c>
      <c r="D1097" s="35">
        <v>277401622.48000002</v>
      </c>
      <c r="E1097" s="35">
        <v>1102248</v>
      </c>
      <c r="F1097" s="35">
        <v>262991626.82000011</v>
      </c>
    </row>
    <row r="1098" spans="1:6" x14ac:dyDescent="0.3">
      <c r="A1098" t="s">
        <v>40</v>
      </c>
      <c r="B1098">
        <v>2020</v>
      </c>
      <c r="C1098" t="s">
        <v>12</v>
      </c>
      <c r="D1098" s="35">
        <v>141430335.22</v>
      </c>
      <c r="E1098" s="35">
        <v>2881771</v>
      </c>
      <c r="F1098" s="35">
        <v>86273310.420000002</v>
      </c>
    </row>
    <row r="1099" spans="1:6" x14ac:dyDescent="0.3">
      <c r="A1099" t="s">
        <v>40</v>
      </c>
      <c r="B1099">
        <v>2020</v>
      </c>
      <c r="C1099" t="s">
        <v>2</v>
      </c>
      <c r="D1099" s="35">
        <v>632335097.99000013</v>
      </c>
      <c r="E1099" s="35">
        <v>6312988</v>
      </c>
      <c r="F1099" s="35">
        <v>530155190.07999998</v>
      </c>
    </row>
    <row r="1100" spans="1:6" x14ac:dyDescent="0.3">
      <c r="A1100" t="s">
        <v>40</v>
      </c>
      <c r="B1100">
        <v>2020</v>
      </c>
      <c r="C1100" t="s">
        <v>5</v>
      </c>
      <c r="D1100" s="35">
        <v>285750404.39999998</v>
      </c>
      <c r="E1100" s="35">
        <v>142128</v>
      </c>
      <c r="F1100" s="35">
        <v>277930071.94</v>
      </c>
    </row>
    <row r="1101" spans="1:6" x14ac:dyDescent="0.3">
      <c r="A1101" t="s">
        <v>40</v>
      </c>
      <c r="B1101">
        <v>2020</v>
      </c>
      <c r="C1101" t="s">
        <v>17</v>
      </c>
      <c r="D1101" s="35">
        <v>14497843.08</v>
      </c>
      <c r="E1101" s="35">
        <v>393369</v>
      </c>
      <c r="F1101" s="35">
        <v>1680983.71</v>
      </c>
    </row>
    <row r="1102" spans="1:6" x14ac:dyDescent="0.3">
      <c r="A1102" t="s">
        <v>40</v>
      </c>
      <c r="B1102">
        <v>2020</v>
      </c>
      <c r="C1102" t="s">
        <v>9</v>
      </c>
      <c r="D1102" s="35">
        <v>49806351.300000019</v>
      </c>
      <c r="E1102" s="35">
        <v>2022049</v>
      </c>
      <c r="F1102" s="35">
        <v>26307864.140000001</v>
      </c>
    </row>
    <row r="1103" spans="1:6" x14ac:dyDescent="0.3">
      <c r="A1103" t="s">
        <v>40</v>
      </c>
      <c r="B1103">
        <v>2020</v>
      </c>
      <c r="C1103" t="s">
        <v>8</v>
      </c>
      <c r="D1103" s="35">
        <v>206457719.75999999</v>
      </c>
      <c r="E1103" s="35">
        <v>16256</v>
      </c>
      <c r="F1103" s="35">
        <v>206131977</v>
      </c>
    </row>
    <row r="1104" spans="1:6" x14ac:dyDescent="0.3">
      <c r="A1104" t="s">
        <v>40</v>
      </c>
      <c r="B1104">
        <v>2020</v>
      </c>
      <c r="C1104" t="s">
        <v>6</v>
      </c>
      <c r="D1104" s="35">
        <v>282756893.55999988</v>
      </c>
      <c r="E1104" s="35">
        <v>4133764</v>
      </c>
      <c r="F1104" s="35">
        <v>249942248.88</v>
      </c>
    </row>
    <row r="1105" spans="1:6" x14ac:dyDescent="0.3">
      <c r="A1105" t="s">
        <v>40</v>
      </c>
      <c r="B1105">
        <v>2020</v>
      </c>
      <c r="C1105" t="s">
        <v>15</v>
      </c>
      <c r="D1105" s="35">
        <v>85624294.670000032</v>
      </c>
      <c r="E1105" s="35">
        <v>1149587</v>
      </c>
      <c r="F1105" s="35">
        <v>58914232.180000007</v>
      </c>
    </row>
    <row r="1106" spans="1:6" x14ac:dyDescent="0.3">
      <c r="A1106" t="s">
        <v>40</v>
      </c>
      <c r="B1106">
        <v>2020</v>
      </c>
      <c r="C1106" t="s">
        <v>18</v>
      </c>
      <c r="D1106" s="35">
        <v>18637940.100000009</v>
      </c>
      <c r="E1106" s="35">
        <v>131044</v>
      </c>
      <c r="F1106" s="35">
        <v>10012810.4</v>
      </c>
    </row>
    <row r="1107" spans="1:6" x14ac:dyDescent="0.3">
      <c r="A1107" t="s">
        <v>40</v>
      </c>
      <c r="B1107">
        <v>2021</v>
      </c>
      <c r="C1107" t="s">
        <v>10</v>
      </c>
      <c r="D1107" s="35">
        <v>137953495.50999999</v>
      </c>
      <c r="E1107" s="35">
        <v>3565311</v>
      </c>
      <c r="F1107" s="35">
        <v>108881393.2</v>
      </c>
    </row>
    <row r="1108" spans="1:6" x14ac:dyDescent="0.3">
      <c r="A1108" t="s">
        <v>40</v>
      </c>
      <c r="B1108">
        <v>2021</v>
      </c>
      <c r="C1108" t="s">
        <v>4</v>
      </c>
      <c r="D1108" s="35">
        <v>314080811.63999999</v>
      </c>
      <c r="E1108" s="35">
        <v>1019787</v>
      </c>
      <c r="F1108" s="35">
        <v>308829518.60000002</v>
      </c>
    </row>
    <row r="1109" spans="1:6" x14ac:dyDescent="0.3">
      <c r="A1109" t="s">
        <v>40</v>
      </c>
      <c r="B1109">
        <v>2021</v>
      </c>
      <c r="C1109" t="s">
        <v>13</v>
      </c>
      <c r="D1109" s="35">
        <v>183863488.25999999</v>
      </c>
      <c r="E1109" s="35">
        <v>1239912</v>
      </c>
      <c r="F1109" s="35">
        <v>166626694.88</v>
      </c>
    </row>
    <row r="1110" spans="1:6" x14ac:dyDescent="0.3">
      <c r="A1110" t="s">
        <v>40</v>
      </c>
      <c r="B1110">
        <v>2021</v>
      </c>
      <c r="C1110" t="s">
        <v>16</v>
      </c>
      <c r="D1110" s="35">
        <v>36087395.609999999</v>
      </c>
      <c r="E1110" s="35">
        <v>197279</v>
      </c>
      <c r="F1110" s="35">
        <v>32131092.829999998</v>
      </c>
    </row>
    <row r="1111" spans="1:6" x14ac:dyDescent="0.3">
      <c r="A1111" t="s">
        <v>40</v>
      </c>
      <c r="B1111">
        <v>2021</v>
      </c>
      <c r="C1111" t="s">
        <v>14</v>
      </c>
      <c r="D1111" s="35">
        <v>82928182.699999988</v>
      </c>
      <c r="E1111" s="35">
        <v>1651463</v>
      </c>
      <c r="F1111" s="35">
        <v>56571031.789999999</v>
      </c>
    </row>
    <row r="1112" spans="1:6" x14ac:dyDescent="0.3">
      <c r="A1112" t="s">
        <v>40</v>
      </c>
      <c r="B1112">
        <v>2021</v>
      </c>
      <c r="C1112" t="s">
        <v>7</v>
      </c>
      <c r="D1112" s="35">
        <v>315214428.20999998</v>
      </c>
      <c r="E1112" s="35">
        <v>123881</v>
      </c>
      <c r="F1112" s="35">
        <v>308660719.92000002</v>
      </c>
    </row>
    <row r="1113" spans="1:6" x14ac:dyDescent="0.3">
      <c r="A1113" t="s">
        <v>40</v>
      </c>
      <c r="B1113">
        <v>2021</v>
      </c>
      <c r="C1113" t="s">
        <v>11</v>
      </c>
      <c r="D1113" s="35">
        <v>173444954.81999999</v>
      </c>
      <c r="E1113" s="35">
        <v>219858</v>
      </c>
      <c r="F1113" s="35">
        <v>166598300.47999999</v>
      </c>
    </row>
    <row r="1114" spans="1:6" x14ac:dyDescent="0.3">
      <c r="A1114" t="s">
        <v>40</v>
      </c>
      <c r="B1114">
        <v>2021</v>
      </c>
      <c r="C1114" t="s">
        <v>3</v>
      </c>
      <c r="D1114" s="35">
        <v>360911123.14999998</v>
      </c>
      <c r="E1114" s="35">
        <v>1363554</v>
      </c>
      <c r="F1114" s="35">
        <v>344205041.83999997</v>
      </c>
    </row>
    <row r="1115" spans="1:6" x14ac:dyDescent="0.3">
      <c r="A1115" t="s">
        <v>40</v>
      </c>
      <c r="B1115">
        <v>2021</v>
      </c>
      <c r="C1115" t="s">
        <v>12</v>
      </c>
      <c r="D1115" s="35">
        <v>143886549.38</v>
      </c>
      <c r="E1115" s="35">
        <v>3466203</v>
      </c>
      <c r="F1115" s="35">
        <v>83238243.289999992</v>
      </c>
    </row>
    <row r="1116" spans="1:6" x14ac:dyDescent="0.3">
      <c r="A1116" t="s">
        <v>40</v>
      </c>
      <c r="B1116">
        <v>2021</v>
      </c>
      <c r="C1116" t="s">
        <v>2</v>
      </c>
      <c r="D1116" s="35">
        <v>738062634.56999993</v>
      </c>
      <c r="E1116" s="35">
        <v>6741098</v>
      </c>
      <c r="F1116" s="35">
        <v>631843724.83000004</v>
      </c>
    </row>
    <row r="1117" spans="1:6" x14ac:dyDescent="0.3">
      <c r="A1117" t="s">
        <v>40</v>
      </c>
      <c r="B1117">
        <v>2021</v>
      </c>
      <c r="C1117" t="s">
        <v>5</v>
      </c>
      <c r="D1117" s="35">
        <v>307797174.88</v>
      </c>
      <c r="E1117" s="35">
        <v>150012</v>
      </c>
      <c r="F1117" s="35">
        <v>295998235.05999988</v>
      </c>
    </row>
    <row r="1118" spans="1:6" x14ac:dyDescent="0.3">
      <c r="A1118" t="s">
        <v>40</v>
      </c>
      <c r="B1118">
        <v>2021</v>
      </c>
      <c r="C1118" t="s">
        <v>17</v>
      </c>
      <c r="D1118" s="35">
        <v>12057796.310000001</v>
      </c>
      <c r="E1118" s="35">
        <v>406036</v>
      </c>
      <c r="F1118" s="35">
        <v>1843731.62</v>
      </c>
    </row>
    <row r="1119" spans="1:6" x14ac:dyDescent="0.3">
      <c r="A1119" t="s">
        <v>40</v>
      </c>
      <c r="B1119">
        <v>2021</v>
      </c>
      <c r="C1119" t="s">
        <v>9</v>
      </c>
      <c r="D1119" s="35">
        <v>56749370.220000014</v>
      </c>
      <c r="E1119" s="35">
        <v>2277616</v>
      </c>
      <c r="F1119" s="35">
        <v>29492382.949999999</v>
      </c>
    </row>
    <row r="1120" spans="1:6" x14ac:dyDescent="0.3">
      <c r="A1120" t="s">
        <v>40</v>
      </c>
      <c r="B1120">
        <v>2021</v>
      </c>
      <c r="C1120" t="s">
        <v>8</v>
      </c>
      <c r="D1120" s="35">
        <v>231828021.50999999</v>
      </c>
      <c r="E1120" s="35">
        <v>14678</v>
      </c>
      <c r="F1120" s="35">
        <v>231578760.90000001</v>
      </c>
    </row>
    <row r="1121" spans="1:6" x14ac:dyDescent="0.3">
      <c r="A1121" t="s">
        <v>40</v>
      </c>
      <c r="B1121">
        <v>2021</v>
      </c>
      <c r="C1121" t="s">
        <v>6</v>
      </c>
      <c r="D1121" s="35">
        <v>297179195.80000001</v>
      </c>
      <c r="E1121" s="35">
        <v>4437598</v>
      </c>
      <c r="F1121" s="35">
        <v>253026818.78</v>
      </c>
    </row>
    <row r="1122" spans="1:6" x14ac:dyDescent="0.3">
      <c r="A1122" t="s">
        <v>40</v>
      </c>
      <c r="B1122">
        <v>2021</v>
      </c>
      <c r="C1122" t="s">
        <v>15</v>
      </c>
      <c r="D1122" s="35">
        <v>68174502.100000009</v>
      </c>
      <c r="E1122" s="35">
        <v>1052653</v>
      </c>
      <c r="F1122" s="35">
        <v>41677638.210000023</v>
      </c>
    </row>
    <row r="1123" spans="1:6" x14ac:dyDescent="0.3">
      <c r="A1123" t="s">
        <v>40</v>
      </c>
      <c r="B1123">
        <v>2021</v>
      </c>
      <c r="C1123" t="s">
        <v>18</v>
      </c>
      <c r="D1123" s="35">
        <v>19024987.609999999</v>
      </c>
      <c r="E1123" s="35">
        <v>136428</v>
      </c>
      <c r="F1123" s="35">
        <v>7685472.9899999993</v>
      </c>
    </row>
    <row r="1124" spans="1:6" x14ac:dyDescent="0.3">
      <c r="A1124" t="s">
        <v>40</v>
      </c>
      <c r="B1124">
        <v>2022</v>
      </c>
      <c r="C1124" t="s">
        <v>10</v>
      </c>
      <c r="D1124" s="35">
        <v>150839402.50999999</v>
      </c>
      <c r="E1124" s="35">
        <v>3524344</v>
      </c>
      <c r="F1124" s="35">
        <v>124465037.09999999</v>
      </c>
    </row>
    <row r="1125" spans="1:6" x14ac:dyDescent="0.3">
      <c r="A1125" t="s">
        <v>40</v>
      </c>
      <c r="B1125">
        <v>2022</v>
      </c>
      <c r="C1125" t="s">
        <v>4</v>
      </c>
      <c r="D1125" s="35">
        <v>364579079.13999999</v>
      </c>
      <c r="E1125" s="35">
        <v>1070202</v>
      </c>
      <c r="F1125" s="35">
        <v>361186068.61000007</v>
      </c>
    </row>
    <row r="1126" spans="1:6" x14ac:dyDescent="0.3">
      <c r="A1126" t="s">
        <v>40</v>
      </c>
      <c r="B1126">
        <v>2022</v>
      </c>
      <c r="C1126" t="s">
        <v>13</v>
      </c>
      <c r="D1126" s="35">
        <v>196101997.66</v>
      </c>
      <c r="E1126" s="35">
        <v>1357571</v>
      </c>
      <c r="F1126" s="35">
        <v>176714781.06999999</v>
      </c>
    </row>
    <row r="1127" spans="1:6" x14ac:dyDescent="0.3">
      <c r="A1127" t="s">
        <v>40</v>
      </c>
      <c r="B1127">
        <v>2022</v>
      </c>
      <c r="C1127" t="s">
        <v>16</v>
      </c>
      <c r="D1127" s="35">
        <v>37737616.049999997</v>
      </c>
      <c r="E1127" s="35">
        <v>196299</v>
      </c>
      <c r="F1127" s="35">
        <v>33791030.159999996</v>
      </c>
    </row>
    <row r="1128" spans="1:6" x14ac:dyDescent="0.3">
      <c r="A1128" t="s">
        <v>40</v>
      </c>
      <c r="B1128">
        <v>2022</v>
      </c>
      <c r="C1128" t="s">
        <v>14</v>
      </c>
      <c r="D1128" s="35">
        <v>87934900.340000004</v>
      </c>
      <c r="E1128" s="35">
        <v>1732306</v>
      </c>
      <c r="F1128" s="35">
        <v>65729614.789999992</v>
      </c>
    </row>
    <row r="1129" spans="1:6" x14ac:dyDescent="0.3">
      <c r="A1129" t="s">
        <v>40</v>
      </c>
      <c r="B1129">
        <v>2022</v>
      </c>
      <c r="C1129" t="s">
        <v>7</v>
      </c>
      <c r="D1129" s="35">
        <v>323684910.47000009</v>
      </c>
      <c r="E1129" s="35">
        <v>116587</v>
      </c>
      <c r="F1129" s="35">
        <v>319545507.80000001</v>
      </c>
    </row>
    <row r="1130" spans="1:6" x14ac:dyDescent="0.3">
      <c r="A1130" t="s">
        <v>40</v>
      </c>
      <c r="B1130">
        <v>2022</v>
      </c>
      <c r="C1130" t="s">
        <v>11</v>
      </c>
      <c r="D1130" s="35">
        <v>169782152.28999999</v>
      </c>
      <c r="E1130" s="35">
        <v>268414</v>
      </c>
      <c r="F1130" s="35">
        <v>165028023.06</v>
      </c>
    </row>
    <row r="1131" spans="1:6" x14ac:dyDescent="0.3">
      <c r="A1131" t="s">
        <v>40</v>
      </c>
      <c r="B1131">
        <v>2022</v>
      </c>
      <c r="C1131" t="s">
        <v>3</v>
      </c>
      <c r="D1131" s="35">
        <v>455797043.19999999</v>
      </c>
      <c r="E1131" s="35">
        <v>1512711</v>
      </c>
      <c r="F1131" s="35">
        <v>436017733.54999989</v>
      </c>
    </row>
    <row r="1132" spans="1:6" x14ac:dyDescent="0.3">
      <c r="A1132" t="s">
        <v>40</v>
      </c>
      <c r="B1132">
        <v>2022</v>
      </c>
      <c r="C1132" t="s">
        <v>12</v>
      </c>
      <c r="D1132" s="35">
        <v>164300809.84</v>
      </c>
      <c r="E1132" s="35">
        <v>4156098</v>
      </c>
      <c r="F1132" s="35">
        <v>85964121.150000006</v>
      </c>
    </row>
    <row r="1133" spans="1:6" x14ac:dyDescent="0.3">
      <c r="A1133" t="s">
        <v>40</v>
      </c>
      <c r="B1133">
        <v>2022</v>
      </c>
      <c r="C1133" t="s">
        <v>2</v>
      </c>
      <c r="D1133" s="35">
        <v>817498237.71000028</v>
      </c>
      <c r="E1133" s="35">
        <v>6986428</v>
      </c>
      <c r="F1133" s="35">
        <v>727917701.47000003</v>
      </c>
    </row>
    <row r="1134" spans="1:6" x14ac:dyDescent="0.3">
      <c r="A1134" t="s">
        <v>40</v>
      </c>
      <c r="B1134">
        <v>2022</v>
      </c>
      <c r="C1134" t="s">
        <v>5</v>
      </c>
      <c r="D1134" s="35">
        <v>313399463.13999999</v>
      </c>
      <c r="E1134" s="35">
        <v>146363</v>
      </c>
      <c r="F1134" s="35">
        <v>301196368.74000001</v>
      </c>
    </row>
    <row r="1135" spans="1:6" x14ac:dyDescent="0.3">
      <c r="A1135" t="s">
        <v>40</v>
      </c>
      <c r="B1135">
        <v>2022</v>
      </c>
      <c r="C1135" t="s">
        <v>17</v>
      </c>
      <c r="D1135" s="35">
        <v>9903987.7699999996</v>
      </c>
      <c r="E1135" s="35">
        <v>448148</v>
      </c>
      <c r="F1135" s="35">
        <v>1738362.05</v>
      </c>
    </row>
    <row r="1136" spans="1:6" x14ac:dyDescent="0.3">
      <c r="A1136" t="s">
        <v>40</v>
      </c>
      <c r="B1136">
        <v>2022</v>
      </c>
      <c r="C1136" t="s">
        <v>9</v>
      </c>
      <c r="D1136" s="35">
        <v>60074722.330000013</v>
      </c>
      <c r="E1136" s="35">
        <v>2468269</v>
      </c>
      <c r="F1136" s="35">
        <v>33520323.079999998</v>
      </c>
    </row>
    <row r="1137" spans="1:6" x14ac:dyDescent="0.3">
      <c r="A1137" t="s">
        <v>40</v>
      </c>
      <c r="B1137">
        <v>2022</v>
      </c>
      <c r="C1137" t="s">
        <v>8</v>
      </c>
      <c r="D1137" s="35">
        <v>275217617.88999999</v>
      </c>
      <c r="E1137" s="35">
        <v>15320</v>
      </c>
      <c r="F1137" s="35">
        <v>273759336.30000007</v>
      </c>
    </row>
    <row r="1138" spans="1:6" x14ac:dyDescent="0.3">
      <c r="A1138" t="s">
        <v>40</v>
      </c>
      <c r="B1138">
        <v>2022</v>
      </c>
      <c r="C1138" t="s">
        <v>6</v>
      </c>
      <c r="D1138" s="35">
        <v>315319461.98999989</v>
      </c>
      <c r="E1138" s="35">
        <v>4477894</v>
      </c>
      <c r="F1138" s="35">
        <v>273475160.76999998</v>
      </c>
    </row>
    <row r="1139" spans="1:6" x14ac:dyDescent="0.3">
      <c r="A1139" t="s">
        <v>40</v>
      </c>
      <c r="B1139">
        <v>2022</v>
      </c>
      <c r="C1139" t="s">
        <v>15</v>
      </c>
      <c r="D1139" s="35">
        <v>58891147.350000001</v>
      </c>
      <c r="E1139" s="35">
        <v>993741</v>
      </c>
      <c r="F1139" s="35">
        <v>35292270.899999999</v>
      </c>
    </row>
    <row r="1140" spans="1:6" x14ac:dyDescent="0.3">
      <c r="A1140" t="s">
        <v>40</v>
      </c>
      <c r="B1140">
        <v>2022</v>
      </c>
      <c r="C1140" t="s">
        <v>18</v>
      </c>
      <c r="D1140" s="35">
        <v>14717793.75</v>
      </c>
      <c r="E1140" s="35">
        <v>129714</v>
      </c>
      <c r="F1140" s="35">
        <v>8172767.5699999984</v>
      </c>
    </row>
    <row r="1141" spans="1:6" x14ac:dyDescent="0.3">
      <c r="A1141" t="s">
        <v>40</v>
      </c>
      <c r="B1141">
        <v>2023</v>
      </c>
      <c r="C1141" t="s">
        <v>10</v>
      </c>
      <c r="D1141" s="35">
        <v>163419752.13999999</v>
      </c>
      <c r="E1141" s="35">
        <v>3483349</v>
      </c>
      <c r="F1141" s="35">
        <v>125661930.44</v>
      </c>
    </row>
    <row r="1142" spans="1:6" x14ac:dyDescent="0.3">
      <c r="A1142" t="s">
        <v>40</v>
      </c>
      <c r="B1142">
        <v>2023</v>
      </c>
      <c r="C1142" t="s">
        <v>4</v>
      </c>
      <c r="D1142" s="35">
        <v>385309932.28000009</v>
      </c>
      <c r="E1142" s="35">
        <v>1061211</v>
      </c>
      <c r="F1142" s="35">
        <v>381468428.42000008</v>
      </c>
    </row>
    <row r="1143" spans="1:6" x14ac:dyDescent="0.3">
      <c r="A1143" t="s">
        <v>40</v>
      </c>
      <c r="B1143">
        <v>2023</v>
      </c>
      <c r="C1143" t="s">
        <v>13</v>
      </c>
      <c r="D1143" s="35">
        <v>183421843.43000001</v>
      </c>
      <c r="E1143" s="35">
        <v>1232499</v>
      </c>
      <c r="F1143" s="35">
        <v>167698064.52000001</v>
      </c>
    </row>
    <row r="1144" spans="1:6" x14ac:dyDescent="0.3">
      <c r="A1144" t="s">
        <v>40</v>
      </c>
      <c r="B1144">
        <v>2023</v>
      </c>
      <c r="C1144" t="s">
        <v>16</v>
      </c>
      <c r="D1144" s="35">
        <v>39839258.439999998</v>
      </c>
      <c r="E1144" s="35">
        <v>197300</v>
      </c>
      <c r="F1144" s="35">
        <v>36769563.650000013</v>
      </c>
    </row>
    <row r="1145" spans="1:6" x14ac:dyDescent="0.3">
      <c r="A1145" t="s">
        <v>40</v>
      </c>
      <c r="B1145">
        <v>2023</v>
      </c>
      <c r="C1145" t="s">
        <v>14</v>
      </c>
      <c r="D1145" s="35">
        <v>94239394.760000005</v>
      </c>
      <c r="E1145" s="35">
        <v>1645373</v>
      </c>
      <c r="F1145" s="35">
        <v>75043842.62999998</v>
      </c>
    </row>
    <row r="1146" spans="1:6" x14ac:dyDescent="0.3">
      <c r="A1146" t="s">
        <v>40</v>
      </c>
      <c r="B1146">
        <v>2023</v>
      </c>
      <c r="C1146" t="s">
        <v>7</v>
      </c>
      <c r="D1146" s="35">
        <v>301581840.68000001</v>
      </c>
      <c r="E1146" s="35">
        <v>101869</v>
      </c>
      <c r="F1146" s="35">
        <v>297375576.57999998</v>
      </c>
    </row>
    <row r="1147" spans="1:6" x14ac:dyDescent="0.3">
      <c r="A1147" t="s">
        <v>40</v>
      </c>
      <c r="B1147">
        <v>2023</v>
      </c>
      <c r="C1147" t="s">
        <v>11</v>
      </c>
      <c r="D1147" s="35">
        <v>177822033.31000009</v>
      </c>
      <c r="E1147" s="35">
        <v>236957</v>
      </c>
      <c r="F1147" s="35">
        <v>172545027.97</v>
      </c>
    </row>
    <row r="1148" spans="1:6" x14ac:dyDescent="0.3">
      <c r="A1148" t="s">
        <v>40</v>
      </c>
      <c r="B1148">
        <v>2023</v>
      </c>
      <c r="C1148" t="s">
        <v>3</v>
      </c>
      <c r="D1148" s="35">
        <v>550924869.68999994</v>
      </c>
      <c r="E1148" s="35">
        <v>1503299</v>
      </c>
      <c r="F1148" s="35">
        <v>530853217.70999998</v>
      </c>
    </row>
    <row r="1149" spans="1:6" x14ac:dyDescent="0.3">
      <c r="A1149" t="s">
        <v>40</v>
      </c>
      <c r="B1149">
        <v>2023</v>
      </c>
      <c r="C1149" t="s">
        <v>12</v>
      </c>
      <c r="D1149" s="35">
        <v>158927745.41</v>
      </c>
      <c r="E1149" s="35">
        <v>4150916</v>
      </c>
      <c r="F1149" s="35">
        <v>83823433.829999968</v>
      </c>
    </row>
    <row r="1150" spans="1:6" x14ac:dyDescent="0.3">
      <c r="A1150" t="s">
        <v>40</v>
      </c>
      <c r="B1150">
        <v>2023</v>
      </c>
      <c r="C1150" t="s">
        <v>2</v>
      </c>
      <c r="D1150" s="35">
        <v>856278841.65000021</v>
      </c>
      <c r="E1150" s="35">
        <v>6613894</v>
      </c>
      <c r="F1150" s="35">
        <v>755128994.36000013</v>
      </c>
    </row>
    <row r="1151" spans="1:6" x14ac:dyDescent="0.3">
      <c r="A1151" t="s">
        <v>40</v>
      </c>
      <c r="B1151">
        <v>2023</v>
      </c>
      <c r="C1151" t="s">
        <v>5</v>
      </c>
      <c r="D1151" s="35">
        <v>329791199.26999998</v>
      </c>
      <c r="E1151" s="35">
        <v>151898</v>
      </c>
      <c r="F1151" s="35">
        <v>319913189.57999998</v>
      </c>
    </row>
    <row r="1152" spans="1:6" x14ac:dyDescent="0.3">
      <c r="A1152" t="s">
        <v>40</v>
      </c>
      <c r="B1152">
        <v>2023</v>
      </c>
      <c r="C1152" t="s">
        <v>17</v>
      </c>
      <c r="D1152" s="35">
        <v>9215134.5299999993</v>
      </c>
      <c r="E1152" s="35">
        <v>444591</v>
      </c>
      <c r="F1152" s="35">
        <v>2258006.41</v>
      </c>
    </row>
    <row r="1153" spans="1:6" x14ac:dyDescent="0.3">
      <c r="A1153" t="s">
        <v>40</v>
      </c>
      <c r="B1153">
        <v>2023</v>
      </c>
      <c r="C1153" t="s">
        <v>9</v>
      </c>
      <c r="D1153" s="35">
        <v>55169674.420000002</v>
      </c>
      <c r="E1153" s="35">
        <v>2213513</v>
      </c>
      <c r="F1153" s="35">
        <v>33723220.439999998</v>
      </c>
    </row>
    <row r="1154" spans="1:6" x14ac:dyDescent="0.3">
      <c r="A1154" t="s">
        <v>40</v>
      </c>
      <c r="B1154">
        <v>2023</v>
      </c>
      <c r="C1154" t="s">
        <v>8</v>
      </c>
      <c r="D1154" s="35">
        <v>294372195.94000012</v>
      </c>
      <c r="E1154" s="35">
        <v>15371</v>
      </c>
      <c r="F1154" s="35">
        <v>292776343.51999998</v>
      </c>
    </row>
    <row r="1155" spans="1:6" x14ac:dyDescent="0.3">
      <c r="A1155" t="s">
        <v>40</v>
      </c>
      <c r="B1155">
        <v>2023</v>
      </c>
      <c r="C1155" t="s">
        <v>6</v>
      </c>
      <c r="D1155" s="35">
        <v>297018923.44999999</v>
      </c>
      <c r="E1155" s="35">
        <v>4217034</v>
      </c>
      <c r="F1155" s="35">
        <v>261917582.75999999</v>
      </c>
    </row>
    <row r="1156" spans="1:6" x14ac:dyDescent="0.3">
      <c r="A1156" t="s">
        <v>40</v>
      </c>
      <c r="B1156">
        <v>2023</v>
      </c>
      <c r="C1156" t="s">
        <v>15</v>
      </c>
      <c r="D1156" s="35">
        <v>48338207.450000003</v>
      </c>
      <c r="E1156" s="35">
        <v>819186</v>
      </c>
      <c r="F1156" s="35">
        <v>28946649.559999999</v>
      </c>
    </row>
    <row r="1157" spans="1:6" x14ac:dyDescent="0.3">
      <c r="A1157" t="s">
        <v>40</v>
      </c>
      <c r="B1157">
        <v>2023</v>
      </c>
      <c r="C1157" t="s">
        <v>18</v>
      </c>
      <c r="D1157" s="35">
        <v>14254704.039999999</v>
      </c>
      <c r="E1157" s="35">
        <v>84068</v>
      </c>
      <c r="F1157" s="35">
        <v>9159929.3300000019</v>
      </c>
    </row>
    <row r="1158" spans="1:6" x14ac:dyDescent="0.3">
      <c r="A1158" t="s">
        <v>40</v>
      </c>
      <c r="B1158">
        <v>2024</v>
      </c>
      <c r="C1158" t="s">
        <v>10</v>
      </c>
      <c r="D1158" s="35">
        <v>146131684.11000001</v>
      </c>
      <c r="E1158" s="35">
        <v>2698751</v>
      </c>
      <c r="F1158" s="35">
        <v>115883802.20999999</v>
      </c>
    </row>
    <row r="1159" spans="1:6" x14ac:dyDescent="0.3">
      <c r="A1159" t="s">
        <v>40</v>
      </c>
      <c r="B1159">
        <v>2024</v>
      </c>
      <c r="C1159" t="s">
        <v>4</v>
      </c>
      <c r="D1159" s="35">
        <v>264827732.46000001</v>
      </c>
      <c r="E1159" s="35">
        <v>873170</v>
      </c>
      <c r="F1159" s="35">
        <v>260912377.05000001</v>
      </c>
    </row>
    <row r="1160" spans="1:6" x14ac:dyDescent="0.3">
      <c r="A1160" t="s">
        <v>40</v>
      </c>
      <c r="B1160">
        <v>2024</v>
      </c>
      <c r="C1160" t="s">
        <v>13</v>
      </c>
      <c r="D1160" s="35">
        <v>163280459.02000001</v>
      </c>
      <c r="E1160" s="35">
        <v>861986</v>
      </c>
      <c r="F1160" s="35">
        <v>152740063.19</v>
      </c>
    </row>
    <row r="1161" spans="1:6" x14ac:dyDescent="0.3">
      <c r="A1161" t="s">
        <v>40</v>
      </c>
      <c r="B1161">
        <v>2024</v>
      </c>
      <c r="C1161" t="s">
        <v>16</v>
      </c>
      <c r="D1161" s="35">
        <v>33986026.900000013</v>
      </c>
      <c r="E1161" s="35">
        <v>156713</v>
      </c>
      <c r="F1161" s="35">
        <v>31504016.16</v>
      </c>
    </row>
    <row r="1162" spans="1:6" x14ac:dyDescent="0.3">
      <c r="A1162" t="s">
        <v>40</v>
      </c>
      <c r="B1162">
        <v>2024</v>
      </c>
      <c r="C1162" t="s">
        <v>14</v>
      </c>
      <c r="D1162" s="35">
        <v>89317656.64000003</v>
      </c>
      <c r="E1162" s="35">
        <v>1351571</v>
      </c>
      <c r="F1162" s="35">
        <v>74148127.210000008</v>
      </c>
    </row>
    <row r="1163" spans="1:6" x14ac:dyDescent="0.3">
      <c r="A1163" t="s">
        <v>40</v>
      </c>
      <c r="B1163">
        <v>2024</v>
      </c>
      <c r="C1163" t="s">
        <v>7</v>
      </c>
      <c r="D1163" s="35">
        <v>227312986.61000001</v>
      </c>
      <c r="E1163" s="35">
        <v>73040</v>
      </c>
      <c r="F1163" s="35">
        <v>226169870.08999991</v>
      </c>
    </row>
    <row r="1164" spans="1:6" x14ac:dyDescent="0.3">
      <c r="A1164" t="s">
        <v>40</v>
      </c>
      <c r="B1164">
        <v>2024</v>
      </c>
      <c r="C1164" t="s">
        <v>11</v>
      </c>
      <c r="D1164" s="35">
        <v>154899537.25999999</v>
      </c>
      <c r="E1164" s="35">
        <v>183042</v>
      </c>
      <c r="F1164" s="35">
        <v>151790175.91</v>
      </c>
    </row>
    <row r="1165" spans="1:6" x14ac:dyDescent="0.3">
      <c r="A1165" t="s">
        <v>40</v>
      </c>
      <c r="B1165">
        <v>2024</v>
      </c>
      <c r="C1165" t="s">
        <v>3</v>
      </c>
      <c r="D1165" s="35">
        <v>492847807.82999998</v>
      </c>
      <c r="E1165" s="35">
        <v>1304882</v>
      </c>
      <c r="F1165" s="35">
        <v>472922061.92000002</v>
      </c>
    </row>
    <row r="1166" spans="1:6" x14ac:dyDescent="0.3">
      <c r="A1166" t="s">
        <v>40</v>
      </c>
      <c r="B1166">
        <v>2024</v>
      </c>
      <c r="C1166" t="s">
        <v>12</v>
      </c>
      <c r="D1166" s="35">
        <v>109445371</v>
      </c>
      <c r="E1166" s="35">
        <v>3334324</v>
      </c>
      <c r="F1166" s="35">
        <v>59552099.990000002</v>
      </c>
    </row>
    <row r="1167" spans="1:6" x14ac:dyDescent="0.3">
      <c r="A1167" t="s">
        <v>40</v>
      </c>
      <c r="B1167">
        <v>2024</v>
      </c>
      <c r="C1167" t="s">
        <v>2</v>
      </c>
      <c r="D1167" s="35">
        <v>711631645.57999992</v>
      </c>
      <c r="E1167" s="35">
        <v>5632875</v>
      </c>
      <c r="F1167" s="35">
        <v>625319223.40999997</v>
      </c>
    </row>
    <row r="1168" spans="1:6" x14ac:dyDescent="0.3">
      <c r="A1168" t="s">
        <v>40</v>
      </c>
      <c r="B1168">
        <v>2024</v>
      </c>
      <c r="C1168" t="s">
        <v>5</v>
      </c>
      <c r="D1168" s="35">
        <v>282224162.75999999</v>
      </c>
      <c r="E1168" s="35">
        <v>132635</v>
      </c>
      <c r="F1168" s="35">
        <v>274282352.98000002</v>
      </c>
    </row>
    <row r="1169" spans="1:6" x14ac:dyDescent="0.3">
      <c r="A1169" t="s">
        <v>40</v>
      </c>
      <c r="B1169">
        <v>2024</v>
      </c>
      <c r="C1169" t="s">
        <v>17</v>
      </c>
      <c r="D1169" s="35">
        <v>7929432.46</v>
      </c>
      <c r="E1169" s="35">
        <v>345053</v>
      </c>
      <c r="F1169" s="35">
        <v>2416426.46</v>
      </c>
    </row>
    <row r="1170" spans="1:6" x14ac:dyDescent="0.3">
      <c r="A1170" t="s">
        <v>40</v>
      </c>
      <c r="B1170">
        <v>2024</v>
      </c>
      <c r="C1170" t="s">
        <v>9</v>
      </c>
      <c r="D1170" s="35">
        <v>44417681.480000012</v>
      </c>
      <c r="E1170" s="35">
        <v>1715313</v>
      </c>
      <c r="F1170" s="35">
        <v>25990626.879999999</v>
      </c>
    </row>
    <row r="1171" spans="1:6" x14ac:dyDescent="0.3">
      <c r="A1171" t="s">
        <v>40</v>
      </c>
      <c r="B1171">
        <v>2024</v>
      </c>
      <c r="C1171" t="s">
        <v>8</v>
      </c>
      <c r="D1171" s="35">
        <v>279672963.17999989</v>
      </c>
      <c r="E1171" s="35">
        <v>13972</v>
      </c>
      <c r="F1171" s="35">
        <v>278180374.17000002</v>
      </c>
    </row>
    <row r="1172" spans="1:6" x14ac:dyDescent="0.3">
      <c r="A1172" t="s">
        <v>40</v>
      </c>
      <c r="B1172">
        <v>2024</v>
      </c>
      <c r="C1172" t="s">
        <v>6</v>
      </c>
      <c r="D1172" s="35">
        <v>212615038.94</v>
      </c>
      <c r="E1172" s="35">
        <v>3375730</v>
      </c>
      <c r="F1172" s="35">
        <v>178739164.93000001</v>
      </c>
    </row>
    <row r="1173" spans="1:6" x14ac:dyDescent="0.3">
      <c r="A1173" t="s">
        <v>40</v>
      </c>
      <c r="B1173">
        <v>2024</v>
      </c>
      <c r="C1173" t="s">
        <v>15</v>
      </c>
      <c r="D1173" s="35">
        <v>32439951.629999999</v>
      </c>
      <c r="E1173" s="35">
        <v>619209</v>
      </c>
      <c r="F1173" s="35">
        <v>14749451.529999999</v>
      </c>
    </row>
    <row r="1174" spans="1:6" x14ac:dyDescent="0.3">
      <c r="A1174" t="s">
        <v>40</v>
      </c>
      <c r="B1174">
        <v>2024</v>
      </c>
      <c r="C1174" t="s">
        <v>18</v>
      </c>
      <c r="D1174" s="35">
        <v>13780244.9</v>
      </c>
      <c r="E1174" s="35">
        <v>73509</v>
      </c>
      <c r="F1174" s="35">
        <v>9599243.8200000003</v>
      </c>
    </row>
    <row r="1175" spans="1:6" x14ac:dyDescent="0.3">
      <c r="A1175" t="s">
        <v>40</v>
      </c>
      <c r="B1175">
        <v>2025</v>
      </c>
      <c r="C1175" t="s">
        <v>10</v>
      </c>
      <c r="D1175" s="35">
        <v>144954283.68000001</v>
      </c>
      <c r="E1175" s="35">
        <v>2417223</v>
      </c>
      <c r="F1175" s="35">
        <v>120538427.84</v>
      </c>
    </row>
    <row r="1176" spans="1:6" x14ac:dyDescent="0.3">
      <c r="A1176" t="s">
        <v>40</v>
      </c>
      <c r="B1176">
        <v>2025</v>
      </c>
      <c r="C1176" t="s">
        <v>4</v>
      </c>
      <c r="D1176" s="35">
        <v>251942186.03999999</v>
      </c>
      <c r="E1176" s="35">
        <v>791468</v>
      </c>
      <c r="F1176" s="35">
        <v>248644257.24000001</v>
      </c>
    </row>
    <row r="1177" spans="1:6" x14ac:dyDescent="0.3">
      <c r="A1177" t="s">
        <v>40</v>
      </c>
      <c r="B1177">
        <v>2025</v>
      </c>
      <c r="C1177" t="s">
        <v>13</v>
      </c>
      <c r="D1177" s="35">
        <v>183432091.62</v>
      </c>
      <c r="E1177" s="35">
        <v>821228</v>
      </c>
      <c r="F1177" s="35">
        <v>173498821.22999999</v>
      </c>
    </row>
    <row r="1178" spans="1:6" x14ac:dyDescent="0.3">
      <c r="A1178" t="s">
        <v>40</v>
      </c>
      <c r="B1178">
        <v>2025</v>
      </c>
      <c r="C1178" t="s">
        <v>16</v>
      </c>
      <c r="D1178" s="35">
        <v>39235648.390000001</v>
      </c>
      <c r="E1178" s="35">
        <v>149047</v>
      </c>
      <c r="F1178" s="35">
        <v>36536588.450000003</v>
      </c>
    </row>
    <row r="1179" spans="1:6" x14ac:dyDescent="0.3">
      <c r="A1179" t="s">
        <v>40</v>
      </c>
      <c r="B1179">
        <v>2025</v>
      </c>
      <c r="C1179" t="s">
        <v>14</v>
      </c>
      <c r="D1179" s="35">
        <v>83286285.629999995</v>
      </c>
      <c r="E1179" s="35">
        <v>1288619</v>
      </c>
      <c r="F1179" s="35">
        <v>69326718.370000005</v>
      </c>
    </row>
    <row r="1180" spans="1:6" x14ac:dyDescent="0.3">
      <c r="A1180" t="s">
        <v>40</v>
      </c>
      <c r="B1180">
        <v>2025</v>
      </c>
      <c r="C1180" t="s">
        <v>7</v>
      </c>
      <c r="D1180" s="35">
        <v>187528927.88</v>
      </c>
      <c r="E1180" s="35">
        <v>58083</v>
      </c>
      <c r="F1180" s="35">
        <v>186591298.78999999</v>
      </c>
    </row>
    <row r="1181" spans="1:6" x14ac:dyDescent="0.3">
      <c r="A1181" t="s">
        <v>40</v>
      </c>
      <c r="B1181">
        <v>2025</v>
      </c>
      <c r="C1181" t="s">
        <v>11</v>
      </c>
      <c r="D1181" s="35">
        <v>136833319.83000001</v>
      </c>
      <c r="E1181" s="35">
        <v>181069</v>
      </c>
      <c r="F1181" s="35">
        <v>132508731.29000001</v>
      </c>
    </row>
    <row r="1182" spans="1:6" x14ac:dyDescent="0.3">
      <c r="A1182" t="s">
        <v>40</v>
      </c>
      <c r="B1182">
        <v>2025</v>
      </c>
      <c r="C1182" t="s">
        <v>3</v>
      </c>
      <c r="D1182" s="35">
        <v>527110365.14999998</v>
      </c>
      <c r="E1182" s="35">
        <v>1243610</v>
      </c>
      <c r="F1182" s="35">
        <v>511118682.24999988</v>
      </c>
    </row>
    <row r="1183" spans="1:6" x14ac:dyDescent="0.3">
      <c r="A1183" t="s">
        <v>40</v>
      </c>
      <c r="B1183">
        <v>2025</v>
      </c>
      <c r="C1183" t="s">
        <v>12</v>
      </c>
      <c r="D1183" s="35">
        <v>86378831.410000011</v>
      </c>
      <c r="E1183" s="35">
        <v>3009218</v>
      </c>
      <c r="F1183" s="35">
        <v>42565145.18</v>
      </c>
    </row>
    <row r="1184" spans="1:6" x14ac:dyDescent="0.3">
      <c r="A1184" t="s">
        <v>40</v>
      </c>
      <c r="B1184">
        <v>2025</v>
      </c>
      <c r="C1184" t="s">
        <v>2</v>
      </c>
      <c r="D1184" s="35">
        <v>708488226.02999997</v>
      </c>
      <c r="E1184" s="35">
        <v>5390334</v>
      </c>
      <c r="F1184" s="35">
        <v>629545231.76999998</v>
      </c>
    </row>
    <row r="1185" spans="1:6" x14ac:dyDescent="0.3">
      <c r="A1185" t="s">
        <v>40</v>
      </c>
      <c r="B1185">
        <v>2025</v>
      </c>
      <c r="C1185" t="s">
        <v>5</v>
      </c>
      <c r="D1185" s="35">
        <v>300889410.00999987</v>
      </c>
      <c r="E1185" s="35">
        <v>137171</v>
      </c>
      <c r="F1185" s="35">
        <v>291765920.91000003</v>
      </c>
    </row>
    <row r="1186" spans="1:6" x14ac:dyDescent="0.3">
      <c r="A1186" t="s">
        <v>40</v>
      </c>
      <c r="B1186">
        <v>2025</v>
      </c>
      <c r="C1186" t="s">
        <v>17</v>
      </c>
      <c r="D1186" s="35">
        <v>6637894.7100000009</v>
      </c>
      <c r="E1186" s="35">
        <v>319998</v>
      </c>
      <c r="F1186" s="35">
        <v>2418566.73</v>
      </c>
    </row>
    <row r="1187" spans="1:6" x14ac:dyDescent="0.3">
      <c r="A1187" t="s">
        <v>40</v>
      </c>
      <c r="B1187">
        <v>2025</v>
      </c>
      <c r="C1187" t="s">
        <v>9</v>
      </c>
      <c r="D1187" s="35">
        <v>42270128.070000008</v>
      </c>
      <c r="E1187" s="35">
        <v>1570496</v>
      </c>
      <c r="F1187" s="35">
        <v>26339292.160000011</v>
      </c>
    </row>
    <row r="1188" spans="1:6" x14ac:dyDescent="0.3">
      <c r="A1188" t="s">
        <v>40</v>
      </c>
      <c r="B1188">
        <v>2025</v>
      </c>
      <c r="C1188" t="s">
        <v>8</v>
      </c>
      <c r="D1188" s="35">
        <v>303912558.19</v>
      </c>
      <c r="E1188" s="35">
        <v>13788</v>
      </c>
      <c r="F1188" s="35">
        <v>303294610.88999993</v>
      </c>
    </row>
    <row r="1189" spans="1:6" x14ac:dyDescent="0.3">
      <c r="A1189" t="s">
        <v>40</v>
      </c>
      <c r="B1189">
        <v>2025</v>
      </c>
      <c r="C1189" t="s">
        <v>6</v>
      </c>
      <c r="D1189" s="35">
        <v>202756299.78</v>
      </c>
      <c r="E1189" s="35">
        <v>3139938</v>
      </c>
      <c r="F1189" s="35">
        <v>168936840.74000001</v>
      </c>
    </row>
    <row r="1190" spans="1:6" x14ac:dyDescent="0.3">
      <c r="A1190" t="s">
        <v>40</v>
      </c>
      <c r="B1190">
        <v>2025</v>
      </c>
      <c r="C1190" t="s">
        <v>15</v>
      </c>
      <c r="D1190" s="35">
        <v>37407195.350000009</v>
      </c>
      <c r="E1190" s="35">
        <v>508640</v>
      </c>
      <c r="F1190" s="35">
        <v>24724064.239999998</v>
      </c>
    </row>
    <row r="1191" spans="1:6" x14ac:dyDescent="0.3">
      <c r="A1191" t="s">
        <v>40</v>
      </c>
      <c r="B1191">
        <v>2025</v>
      </c>
      <c r="C1191" t="s">
        <v>18</v>
      </c>
      <c r="D1191" s="35">
        <v>11882619.689999999</v>
      </c>
      <c r="E1191" s="35">
        <v>71995</v>
      </c>
      <c r="F1191" s="35">
        <v>7897909.8399999999</v>
      </c>
    </row>
    <row r="1192" spans="1:6" x14ac:dyDescent="0.3">
      <c r="A1192" t="s">
        <v>41</v>
      </c>
      <c r="B1192">
        <v>2019</v>
      </c>
      <c r="C1192" t="s">
        <v>10</v>
      </c>
      <c r="D1192" s="35">
        <v>49890067.760000013</v>
      </c>
      <c r="E1192" s="35">
        <v>2049045</v>
      </c>
      <c r="F1192" s="35">
        <v>31231200.449999992</v>
      </c>
    </row>
    <row r="1193" spans="1:6" x14ac:dyDescent="0.3">
      <c r="A1193" t="s">
        <v>41</v>
      </c>
      <c r="B1193">
        <v>2019</v>
      </c>
      <c r="C1193" t="s">
        <v>4</v>
      </c>
      <c r="D1193" s="35">
        <v>98384050.390000001</v>
      </c>
      <c r="E1193" s="35">
        <v>461949</v>
      </c>
      <c r="F1193" s="35">
        <v>96530761.669999987</v>
      </c>
    </row>
    <row r="1194" spans="1:6" x14ac:dyDescent="0.3">
      <c r="A1194" t="s">
        <v>41</v>
      </c>
      <c r="B1194">
        <v>2019</v>
      </c>
      <c r="C1194" t="s">
        <v>13</v>
      </c>
      <c r="D1194" s="35">
        <v>55488085.509999998</v>
      </c>
      <c r="E1194" s="35">
        <v>541399</v>
      </c>
      <c r="F1194" s="35">
        <v>41527721.119999997</v>
      </c>
    </row>
    <row r="1195" spans="1:6" x14ac:dyDescent="0.3">
      <c r="A1195" t="s">
        <v>41</v>
      </c>
      <c r="B1195">
        <v>2019</v>
      </c>
      <c r="C1195" t="s">
        <v>16</v>
      </c>
      <c r="D1195" s="35">
        <v>16536312.529999999</v>
      </c>
      <c r="E1195" s="35">
        <v>71022</v>
      </c>
      <c r="F1195" s="35">
        <v>14385840.859999999</v>
      </c>
    </row>
    <row r="1196" spans="1:6" x14ac:dyDescent="0.3">
      <c r="A1196" t="s">
        <v>41</v>
      </c>
      <c r="B1196">
        <v>2019</v>
      </c>
      <c r="C1196" t="s">
        <v>14</v>
      </c>
      <c r="D1196" s="35">
        <v>25683075.399999991</v>
      </c>
      <c r="E1196" s="35">
        <v>853258</v>
      </c>
      <c r="F1196" s="35">
        <v>18263523.52</v>
      </c>
    </row>
    <row r="1197" spans="1:6" x14ac:dyDescent="0.3">
      <c r="A1197" t="s">
        <v>41</v>
      </c>
      <c r="B1197">
        <v>2019</v>
      </c>
      <c r="C1197" t="s">
        <v>7</v>
      </c>
      <c r="D1197" s="35">
        <v>103148307.79000001</v>
      </c>
      <c r="E1197" s="35">
        <v>50315</v>
      </c>
      <c r="F1197" s="35">
        <v>102773329.91</v>
      </c>
    </row>
    <row r="1198" spans="1:6" x14ac:dyDescent="0.3">
      <c r="A1198" t="s">
        <v>41</v>
      </c>
      <c r="B1198">
        <v>2019</v>
      </c>
      <c r="C1198" t="s">
        <v>11</v>
      </c>
      <c r="D1198" s="35">
        <v>53819171.829999998</v>
      </c>
      <c r="E1198" s="35">
        <v>123162</v>
      </c>
      <c r="F1198" s="35">
        <v>52879718.529999986</v>
      </c>
    </row>
    <row r="1199" spans="1:6" x14ac:dyDescent="0.3">
      <c r="A1199" t="s">
        <v>41</v>
      </c>
      <c r="B1199">
        <v>2019</v>
      </c>
      <c r="C1199" t="s">
        <v>3</v>
      </c>
      <c r="D1199" s="35">
        <v>95394210.859999985</v>
      </c>
      <c r="E1199" s="35">
        <v>903652</v>
      </c>
      <c r="F1199" s="35">
        <v>86034611.589999989</v>
      </c>
    </row>
    <row r="1200" spans="1:6" x14ac:dyDescent="0.3">
      <c r="A1200" t="s">
        <v>41</v>
      </c>
      <c r="B1200">
        <v>2019</v>
      </c>
      <c r="C1200" t="s">
        <v>12</v>
      </c>
      <c r="D1200" s="35">
        <v>86905695.560000017</v>
      </c>
      <c r="E1200" s="35">
        <v>2256126</v>
      </c>
      <c r="F1200" s="35">
        <v>47094218.890000001</v>
      </c>
    </row>
    <row r="1201" spans="1:6" x14ac:dyDescent="0.3">
      <c r="A1201" t="s">
        <v>41</v>
      </c>
      <c r="B1201">
        <v>2019</v>
      </c>
      <c r="C1201" t="s">
        <v>2</v>
      </c>
      <c r="D1201" s="35">
        <v>302139527.17000008</v>
      </c>
      <c r="E1201" s="35">
        <v>3612512</v>
      </c>
      <c r="F1201" s="35">
        <v>222718886.08999991</v>
      </c>
    </row>
    <row r="1202" spans="1:6" x14ac:dyDescent="0.3">
      <c r="A1202" t="s">
        <v>41</v>
      </c>
      <c r="B1202">
        <v>2019</v>
      </c>
      <c r="C1202" t="s">
        <v>5</v>
      </c>
      <c r="D1202" s="35">
        <v>77037301.659999996</v>
      </c>
      <c r="E1202" s="35">
        <v>64755</v>
      </c>
      <c r="F1202" s="35">
        <v>73195973.719999984</v>
      </c>
    </row>
    <row r="1203" spans="1:6" x14ac:dyDescent="0.3">
      <c r="A1203" t="s">
        <v>41</v>
      </c>
      <c r="B1203">
        <v>2019</v>
      </c>
      <c r="C1203" t="s">
        <v>17</v>
      </c>
      <c r="D1203" s="35">
        <v>3184702.4900000012</v>
      </c>
      <c r="E1203" s="35">
        <v>271648</v>
      </c>
      <c r="F1203" s="35">
        <v>677157.88</v>
      </c>
    </row>
    <row r="1204" spans="1:6" x14ac:dyDescent="0.3">
      <c r="A1204" t="s">
        <v>41</v>
      </c>
      <c r="B1204">
        <v>2019</v>
      </c>
      <c r="C1204" t="s">
        <v>9</v>
      </c>
      <c r="D1204" s="35">
        <v>26985700.579999998</v>
      </c>
      <c r="E1204" s="35">
        <v>1442766</v>
      </c>
      <c r="F1204" s="35">
        <v>11117054.27</v>
      </c>
    </row>
    <row r="1205" spans="1:6" x14ac:dyDescent="0.3">
      <c r="A1205" t="s">
        <v>41</v>
      </c>
      <c r="B1205">
        <v>2019</v>
      </c>
      <c r="C1205" t="s">
        <v>8</v>
      </c>
      <c r="D1205" s="35">
        <v>52637125.460000001</v>
      </c>
      <c r="E1205" s="35">
        <v>4353</v>
      </c>
      <c r="F1205" s="35">
        <v>52637125.460000001</v>
      </c>
    </row>
    <row r="1206" spans="1:6" x14ac:dyDescent="0.3">
      <c r="A1206" t="s">
        <v>41</v>
      </c>
      <c r="B1206">
        <v>2019</v>
      </c>
      <c r="C1206" t="s">
        <v>6</v>
      </c>
      <c r="D1206" s="35">
        <v>153749476.30000001</v>
      </c>
      <c r="E1206" s="35">
        <v>2591725</v>
      </c>
      <c r="F1206" s="35">
        <v>129972769.76000001</v>
      </c>
    </row>
    <row r="1207" spans="1:6" x14ac:dyDescent="0.3">
      <c r="A1207" t="s">
        <v>41</v>
      </c>
      <c r="B1207">
        <v>2019</v>
      </c>
      <c r="C1207" t="s">
        <v>15</v>
      </c>
      <c r="D1207" s="35">
        <v>45640358.780000009</v>
      </c>
      <c r="E1207" s="35">
        <v>1091709</v>
      </c>
      <c r="F1207" s="35">
        <v>28882782.52</v>
      </c>
    </row>
    <row r="1208" spans="1:6" x14ac:dyDescent="0.3">
      <c r="A1208" t="s">
        <v>41</v>
      </c>
      <c r="B1208">
        <v>2019</v>
      </c>
      <c r="C1208" t="s">
        <v>18</v>
      </c>
      <c r="D1208" s="35">
        <v>9364035.7400000021</v>
      </c>
      <c r="E1208" s="35">
        <v>96320</v>
      </c>
      <c r="F1208" s="35">
        <v>8684530.0900000017</v>
      </c>
    </row>
    <row r="1209" spans="1:6" x14ac:dyDescent="0.3">
      <c r="A1209" t="s">
        <v>41</v>
      </c>
      <c r="B1209">
        <v>2020</v>
      </c>
      <c r="C1209" t="s">
        <v>10</v>
      </c>
      <c r="D1209" s="35">
        <v>58354451.570000008</v>
      </c>
      <c r="E1209" s="35">
        <v>2047425</v>
      </c>
      <c r="F1209" s="35">
        <v>37639578.880000003</v>
      </c>
    </row>
    <row r="1210" spans="1:6" x14ac:dyDescent="0.3">
      <c r="A1210" t="s">
        <v>41</v>
      </c>
      <c r="B1210">
        <v>2020</v>
      </c>
      <c r="C1210" t="s">
        <v>4</v>
      </c>
      <c r="D1210" s="35">
        <v>114232979.90000001</v>
      </c>
      <c r="E1210" s="35">
        <v>476228</v>
      </c>
      <c r="F1210" s="35">
        <v>112141312.84</v>
      </c>
    </row>
    <row r="1211" spans="1:6" x14ac:dyDescent="0.3">
      <c r="A1211" t="s">
        <v>41</v>
      </c>
      <c r="B1211">
        <v>2020</v>
      </c>
      <c r="C1211" t="s">
        <v>13</v>
      </c>
      <c r="D1211" s="35">
        <v>52778710.719999976</v>
      </c>
      <c r="E1211" s="35">
        <v>555279</v>
      </c>
      <c r="F1211" s="35">
        <v>42292874.929999992</v>
      </c>
    </row>
    <row r="1212" spans="1:6" x14ac:dyDescent="0.3">
      <c r="A1212" t="s">
        <v>41</v>
      </c>
      <c r="B1212">
        <v>2020</v>
      </c>
      <c r="C1212" t="s">
        <v>16</v>
      </c>
      <c r="D1212" s="35">
        <v>17246498.52</v>
      </c>
      <c r="E1212" s="35">
        <v>72286</v>
      </c>
      <c r="F1212" s="35">
        <v>14891695.689999999</v>
      </c>
    </row>
    <row r="1213" spans="1:6" x14ac:dyDescent="0.3">
      <c r="A1213" t="s">
        <v>41</v>
      </c>
      <c r="B1213">
        <v>2020</v>
      </c>
      <c r="C1213" t="s">
        <v>14</v>
      </c>
      <c r="D1213" s="35">
        <v>30092949.239999998</v>
      </c>
      <c r="E1213" s="35">
        <v>832662</v>
      </c>
      <c r="F1213" s="35">
        <v>19854609.710000001</v>
      </c>
    </row>
    <row r="1214" spans="1:6" x14ac:dyDescent="0.3">
      <c r="A1214" t="s">
        <v>41</v>
      </c>
      <c r="B1214">
        <v>2020</v>
      </c>
      <c r="C1214" t="s">
        <v>7</v>
      </c>
      <c r="D1214" s="35">
        <v>110297605.61</v>
      </c>
      <c r="E1214" s="35">
        <v>46955</v>
      </c>
      <c r="F1214" s="35">
        <v>109832857.68000001</v>
      </c>
    </row>
    <row r="1215" spans="1:6" x14ac:dyDescent="0.3">
      <c r="A1215" t="s">
        <v>41</v>
      </c>
      <c r="B1215">
        <v>2020</v>
      </c>
      <c r="C1215" t="s">
        <v>11</v>
      </c>
      <c r="D1215" s="35">
        <v>55550883.489999987</v>
      </c>
      <c r="E1215" s="35">
        <v>121752</v>
      </c>
      <c r="F1215" s="35">
        <v>54604358.970000014</v>
      </c>
    </row>
    <row r="1216" spans="1:6" x14ac:dyDescent="0.3">
      <c r="A1216" t="s">
        <v>41</v>
      </c>
      <c r="B1216">
        <v>2020</v>
      </c>
      <c r="C1216" t="s">
        <v>3</v>
      </c>
      <c r="D1216" s="35">
        <v>122546786.09</v>
      </c>
      <c r="E1216" s="35">
        <v>759908</v>
      </c>
      <c r="F1216" s="35">
        <v>114173688.36</v>
      </c>
    </row>
    <row r="1217" spans="1:6" x14ac:dyDescent="0.3">
      <c r="A1217" t="s">
        <v>41</v>
      </c>
      <c r="B1217">
        <v>2020</v>
      </c>
      <c r="C1217" t="s">
        <v>12</v>
      </c>
      <c r="D1217" s="35">
        <v>60562095.029999986</v>
      </c>
      <c r="E1217" s="35">
        <v>1758855</v>
      </c>
      <c r="F1217" s="35">
        <v>36526951.239999987</v>
      </c>
    </row>
    <row r="1218" spans="1:6" x14ac:dyDescent="0.3">
      <c r="A1218" t="s">
        <v>41</v>
      </c>
      <c r="B1218">
        <v>2020</v>
      </c>
      <c r="C1218" t="s">
        <v>2</v>
      </c>
      <c r="D1218" s="35">
        <v>311140598.69999999</v>
      </c>
      <c r="E1218" s="35">
        <v>3605387</v>
      </c>
      <c r="F1218" s="35">
        <v>239740466.38999999</v>
      </c>
    </row>
    <row r="1219" spans="1:6" x14ac:dyDescent="0.3">
      <c r="A1219" t="s">
        <v>41</v>
      </c>
      <c r="B1219">
        <v>2020</v>
      </c>
      <c r="C1219" t="s">
        <v>5</v>
      </c>
      <c r="D1219" s="35">
        <v>77780957.290000021</v>
      </c>
      <c r="E1219" s="35">
        <v>64190</v>
      </c>
      <c r="F1219" s="35">
        <v>74066413.850000009</v>
      </c>
    </row>
    <row r="1220" spans="1:6" x14ac:dyDescent="0.3">
      <c r="A1220" t="s">
        <v>41</v>
      </c>
      <c r="B1220">
        <v>2020</v>
      </c>
      <c r="C1220" t="s">
        <v>17</v>
      </c>
      <c r="D1220" s="35">
        <v>3345341.540000001</v>
      </c>
      <c r="E1220" s="35">
        <v>266411</v>
      </c>
      <c r="F1220" s="35">
        <v>628646.12</v>
      </c>
    </row>
    <row r="1221" spans="1:6" x14ac:dyDescent="0.3">
      <c r="A1221" t="s">
        <v>41</v>
      </c>
      <c r="B1221">
        <v>2020</v>
      </c>
      <c r="C1221" t="s">
        <v>9</v>
      </c>
      <c r="D1221" s="35">
        <v>26620176.00999999</v>
      </c>
      <c r="E1221" s="35">
        <v>1275639</v>
      </c>
      <c r="F1221" s="35">
        <v>11092552.27</v>
      </c>
    </row>
    <row r="1222" spans="1:6" x14ac:dyDescent="0.3">
      <c r="A1222" t="s">
        <v>41</v>
      </c>
      <c r="B1222">
        <v>2020</v>
      </c>
      <c r="C1222" t="s">
        <v>8</v>
      </c>
      <c r="D1222" s="35">
        <v>72905886.320000023</v>
      </c>
      <c r="E1222" s="35">
        <v>5215</v>
      </c>
      <c r="F1222" s="35">
        <v>72905886.320000023</v>
      </c>
    </row>
    <row r="1223" spans="1:6" x14ac:dyDescent="0.3">
      <c r="A1223" t="s">
        <v>41</v>
      </c>
      <c r="B1223">
        <v>2020</v>
      </c>
      <c r="C1223" t="s">
        <v>6</v>
      </c>
      <c r="D1223" s="35">
        <v>146928389.13999999</v>
      </c>
      <c r="E1223" s="35">
        <v>2482294</v>
      </c>
      <c r="F1223" s="35">
        <v>123074315.16</v>
      </c>
    </row>
    <row r="1224" spans="1:6" x14ac:dyDescent="0.3">
      <c r="A1224" t="s">
        <v>41</v>
      </c>
      <c r="B1224">
        <v>2020</v>
      </c>
      <c r="C1224" t="s">
        <v>15</v>
      </c>
      <c r="D1224" s="35">
        <v>31668546.239999991</v>
      </c>
      <c r="E1224" s="35">
        <v>776285</v>
      </c>
      <c r="F1224" s="35">
        <v>18063251.219999999</v>
      </c>
    </row>
    <row r="1225" spans="1:6" x14ac:dyDescent="0.3">
      <c r="A1225" t="s">
        <v>41</v>
      </c>
      <c r="B1225">
        <v>2020</v>
      </c>
      <c r="C1225" t="s">
        <v>18</v>
      </c>
      <c r="D1225" s="35">
        <v>9903807.6499999985</v>
      </c>
      <c r="E1225" s="35">
        <v>96489</v>
      </c>
      <c r="F1225" s="35">
        <v>9247409.2899999991</v>
      </c>
    </row>
    <row r="1226" spans="1:6" x14ac:dyDescent="0.3">
      <c r="A1226" t="s">
        <v>41</v>
      </c>
      <c r="B1226">
        <v>2021</v>
      </c>
      <c r="C1226" t="s">
        <v>10</v>
      </c>
      <c r="D1226" s="35">
        <v>61284766.460000008</v>
      </c>
      <c r="E1226" s="35">
        <v>2135805</v>
      </c>
      <c r="F1226" s="35">
        <v>40560898.260000013</v>
      </c>
    </row>
    <row r="1227" spans="1:6" x14ac:dyDescent="0.3">
      <c r="A1227" t="s">
        <v>41</v>
      </c>
      <c r="B1227">
        <v>2021</v>
      </c>
      <c r="C1227" t="s">
        <v>4</v>
      </c>
      <c r="D1227" s="35">
        <v>126336271.20999999</v>
      </c>
      <c r="E1227" s="35">
        <v>499968</v>
      </c>
      <c r="F1227" s="35">
        <v>123673380.48999999</v>
      </c>
    </row>
    <row r="1228" spans="1:6" x14ac:dyDescent="0.3">
      <c r="A1228" t="s">
        <v>41</v>
      </c>
      <c r="B1228">
        <v>2021</v>
      </c>
      <c r="C1228" t="s">
        <v>13</v>
      </c>
      <c r="D1228" s="35">
        <v>56303784.169999987</v>
      </c>
      <c r="E1228" s="35">
        <v>617728</v>
      </c>
      <c r="F1228" s="35">
        <v>46629389.620000012</v>
      </c>
    </row>
    <row r="1229" spans="1:6" x14ac:dyDescent="0.3">
      <c r="A1229" t="s">
        <v>41</v>
      </c>
      <c r="B1229">
        <v>2021</v>
      </c>
      <c r="C1229" t="s">
        <v>16</v>
      </c>
      <c r="D1229" s="35">
        <v>18551698.850000001</v>
      </c>
      <c r="E1229" s="35">
        <v>82041</v>
      </c>
      <c r="F1229" s="35">
        <v>15995402.98</v>
      </c>
    </row>
    <row r="1230" spans="1:6" x14ac:dyDescent="0.3">
      <c r="A1230" t="s">
        <v>41</v>
      </c>
      <c r="B1230">
        <v>2021</v>
      </c>
      <c r="C1230" t="s">
        <v>14</v>
      </c>
      <c r="D1230" s="35">
        <v>34119797.799999997</v>
      </c>
      <c r="E1230" s="35">
        <v>952026</v>
      </c>
      <c r="F1230" s="35">
        <v>23217146.31000001</v>
      </c>
    </row>
    <row r="1231" spans="1:6" x14ac:dyDescent="0.3">
      <c r="A1231" t="s">
        <v>41</v>
      </c>
      <c r="B1231">
        <v>2021</v>
      </c>
      <c r="C1231" t="s">
        <v>7</v>
      </c>
      <c r="D1231" s="35">
        <v>111943161.70999999</v>
      </c>
      <c r="E1231" s="35">
        <v>45454</v>
      </c>
      <c r="F1231" s="35">
        <v>111088933.84999999</v>
      </c>
    </row>
    <row r="1232" spans="1:6" x14ac:dyDescent="0.3">
      <c r="A1232" t="s">
        <v>41</v>
      </c>
      <c r="B1232">
        <v>2021</v>
      </c>
      <c r="C1232" t="s">
        <v>11</v>
      </c>
      <c r="D1232" s="35">
        <v>58282726.780000001</v>
      </c>
      <c r="E1232" s="35">
        <v>123322</v>
      </c>
      <c r="F1232" s="35">
        <v>57261254.329999998</v>
      </c>
    </row>
    <row r="1233" spans="1:6" x14ac:dyDescent="0.3">
      <c r="A1233" t="s">
        <v>41</v>
      </c>
      <c r="B1233">
        <v>2021</v>
      </c>
      <c r="C1233" t="s">
        <v>3</v>
      </c>
      <c r="D1233" s="35">
        <v>156959201.68000001</v>
      </c>
      <c r="E1233" s="35">
        <v>906930</v>
      </c>
      <c r="F1233" s="35">
        <v>148034590.06999999</v>
      </c>
    </row>
    <row r="1234" spans="1:6" x14ac:dyDescent="0.3">
      <c r="A1234" t="s">
        <v>41</v>
      </c>
      <c r="B1234">
        <v>2021</v>
      </c>
      <c r="C1234" t="s">
        <v>12</v>
      </c>
      <c r="D1234" s="35">
        <v>56597488.109999999</v>
      </c>
      <c r="E1234" s="35">
        <v>2021876</v>
      </c>
      <c r="F1234" s="35">
        <v>30601117.629999999</v>
      </c>
    </row>
    <row r="1235" spans="1:6" x14ac:dyDescent="0.3">
      <c r="A1235" t="s">
        <v>41</v>
      </c>
      <c r="B1235">
        <v>2021</v>
      </c>
      <c r="C1235" t="s">
        <v>2</v>
      </c>
      <c r="D1235" s="35">
        <v>328432990.97000003</v>
      </c>
      <c r="E1235" s="35">
        <v>3700050</v>
      </c>
      <c r="F1235" s="35">
        <v>257147964.66</v>
      </c>
    </row>
    <row r="1236" spans="1:6" x14ac:dyDescent="0.3">
      <c r="A1236" t="s">
        <v>41</v>
      </c>
      <c r="B1236">
        <v>2021</v>
      </c>
      <c r="C1236" t="s">
        <v>5</v>
      </c>
      <c r="D1236" s="35">
        <v>86163619.300000012</v>
      </c>
      <c r="E1236" s="35">
        <v>64356</v>
      </c>
      <c r="F1236" s="35">
        <v>83032912.329999998</v>
      </c>
    </row>
    <row r="1237" spans="1:6" x14ac:dyDescent="0.3">
      <c r="A1237" t="s">
        <v>41</v>
      </c>
      <c r="B1237">
        <v>2021</v>
      </c>
      <c r="C1237" t="s">
        <v>17</v>
      </c>
      <c r="D1237" s="35">
        <v>3256673.2199999988</v>
      </c>
      <c r="E1237" s="35">
        <v>270142</v>
      </c>
      <c r="F1237" s="35">
        <v>790934.9</v>
      </c>
    </row>
    <row r="1238" spans="1:6" x14ac:dyDescent="0.3">
      <c r="A1238" t="s">
        <v>41</v>
      </c>
      <c r="B1238">
        <v>2021</v>
      </c>
      <c r="C1238" t="s">
        <v>9</v>
      </c>
      <c r="D1238" s="35">
        <v>25625049.75</v>
      </c>
      <c r="E1238" s="35">
        <v>1308369</v>
      </c>
      <c r="F1238" s="35">
        <v>10956919.83</v>
      </c>
    </row>
    <row r="1239" spans="1:6" x14ac:dyDescent="0.3">
      <c r="A1239" t="s">
        <v>41</v>
      </c>
      <c r="B1239">
        <v>2021</v>
      </c>
      <c r="C1239" t="s">
        <v>8</v>
      </c>
      <c r="D1239" s="35">
        <v>86804139.289999992</v>
      </c>
      <c r="E1239" s="35">
        <v>6025</v>
      </c>
      <c r="F1239" s="35">
        <v>86728650.569999993</v>
      </c>
    </row>
    <row r="1240" spans="1:6" x14ac:dyDescent="0.3">
      <c r="A1240" t="s">
        <v>41</v>
      </c>
      <c r="B1240">
        <v>2021</v>
      </c>
      <c r="C1240" t="s">
        <v>6</v>
      </c>
      <c r="D1240" s="35">
        <v>149110205.86000001</v>
      </c>
      <c r="E1240" s="35">
        <v>2613453</v>
      </c>
      <c r="F1240" s="35">
        <v>121430508.94</v>
      </c>
    </row>
    <row r="1241" spans="1:6" x14ac:dyDescent="0.3">
      <c r="A1241" t="s">
        <v>41</v>
      </c>
      <c r="B1241">
        <v>2021</v>
      </c>
      <c r="C1241" t="s">
        <v>15</v>
      </c>
      <c r="D1241" s="35">
        <v>27818638.25</v>
      </c>
      <c r="E1241" s="35">
        <v>725051</v>
      </c>
      <c r="F1241" s="35">
        <v>14430571.050000001</v>
      </c>
    </row>
    <row r="1242" spans="1:6" x14ac:dyDescent="0.3">
      <c r="A1242" t="s">
        <v>41</v>
      </c>
      <c r="B1242">
        <v>2021</v>
      </c>
      <c r="C1242" t="s">
        <v>18</v>
      </c>
      <c r="D1242" s="35">
        <v>8604869.0600000005</v>
      </c>
      <c r="E1242" s="35">
        <v>93190</v>
      </c>
      <c r="F1242" s="35">
        <v>7985187.0600000015</v>
      </c>
    </row>
    <row r="1243" spans="1:6" x14ac:dyDescent="0.3">
      <c r="A1243" t="s">
        <v>41</v>
      </c>
      <c r="B1243">
        <v>2022</v>
      </c>
      <c r="C1243" t="s">
        <v>10</v>
      </c>
      <c r="D1243" s="35">
        <v>68588688.439999983</v>
      </c>
      <c r="E1243" s="35">
        <v>2421525</v>
      </c>
      <c r="F1243" s="35">
        <v>47183273.540000007</v>
      </c>
    </row>
    <row r="1244" spans="1:6" x14ac:dyDescent="0.3">
      <c r="A1244" t="s">
        <v>41</v>
      </c>
      <c r="B1244">
        <v>2022</v>
      </c>
      <c r="C1244" t="s">
        <v>4</v>
      </c>
      <c r="D1244" s="35">
        <v>136311689.43000001</v>
      </c>
      <c r="E1244" s="35">
        <v>559471</v>
      </c>
      <c r="F1244" s="35">
        <v>133415095.58</v>
      </c>
    </row>
    <row r="1245" spans="1:6" x14ac:dyDescent="0.3">
      <c r="A1245" t="s">
        <v>41</v>
      </c>
      <c r="B1245">
        <v>2022</v>
      </c>
      <c r="C1245" t="s">
        <v>13</v>
      </c>
      <c r="D1245" s="35">
        <v>58264889.119999997</v>
      </c>
      <c r="E1245" s="35">
        <v>688922</v>
      </c>
      <c r="F1245" s="35">
        <v>48739045.470000014</v>
      </c>
    </row>
    <row r="1246" spans="1:6" x14ac:dyDescent="0.3">
      <c r="A1246" t="s">
        <v>41</v>
      </c>
      <c r="B1246">
        <v>2022</v>
      </c>
      <c r="C1246" t="s">
        <v>16</v>
      </c>
      <c r="D1246" s="35">
        <v>18533819.289999999</v>
      </c>
      <c r="E1246" s="35">
        <v>87006</v>
      </c>
      <c r="F1246" s="35">
        <v>16051216.67</v>
      </c>
    </row>
    <row r="1247" spans="1:6" x14ac:dyDescent="0.3">
      <c r="A1247" t="s">
        <v>41</v>
      </c>
      <c r="B1247">
        <v>2022</v>
      </c>
      <c r="C1247" t="s">
        <v>14</v>
      </c>
      <c r="D1247" s="35">
        <v>35261363.630000003</v>
      </c>
      <c r="E1247" s="35">
        <v>1069027</v>
      </c>
      <c r="F1247" s="35">
        <v>24005625.640000001</v>
      </c>
    </row>
    <row r="1248" spans="1:6" x14ac:dyDescent="0.3">
      <c r="A1248" t="s">
        <v>41</v>
      </c>
      <c r="B1248">
        <v>2022</v>
      </c>
      <c r="C1248" t="s">
        <v>7</v>
      </c>
      <c r="D1248" s="35">
        <v>109398252.09999999</v>
      </c>
      <c r="E1248" s="35">
        <v>42687</v>
      </c>
      <c r="F1248" s="35">
        <v>108760772.39</v>
      </c>
    </row>
    <row r="1249" spans="1:6" x14ac:dyDescent="0.3">
      <c r="A1249" t="s">
        <v>41</v>
      </c>
      <c r="B1249">
        <v>2022</v>
      </c>
      <c r="C1249" t="s">
        <v>11</v>
      </c>
      <c r="D1249" s="35">
        <v>55429536.099999987</v>
      </c>
      <c r="E1249" s="35">
        <v>96577</v>
      </c>
      <c r="F1249" s="35">
        <v>54061410.939999998</v>
      </c>
    </row>
    <row r="1250" spans="1:6" x14ac:dyDescent="0.3">
      <c r="A1250" t="s">
        <v>41</v>
      </c>
      <c r="B1250">
        <v>2022</v>
      </c>
      <c r="C1250" t="s">
        <v>3</v>
      </c>
      <c r="D1250" s="35">
        <v>181550237.62</v>
      </c>
      <c r="E1250" s="35">
        <v>970401</v>
      </c>
      <c r="F1250" s="35">
        <v>172265580.84</v>
      </c>
    </row>
    <row r="1251" spans="1:6" x14ac:dyDescent="0.3">
      <c r="A1251" t="s">
        <v>41</v>
      </c>
      <c r="B1251">
        <v>2022</v>
      </c>
      <c r="C1251" t="s">
        <v>12</v>
      </c>
      <c r="D1251" s="35">
        <v>61575320.790000007</v>
      </c>
      <c r="E1251" s="35">
        <v>2366399</v>
      </c>
      <c r="F1251" s="35">
        <v>26129576</v>
      </c>
    </row>
    <row r="1252" spans="1:6" x14ac:dyDescent="0.3">
      <c r="A1252" t="s">
        <v>41</v>
      </c>
      <c r="B1252">
        <v>2022</v>
      </c>
      <c r="C1252" t="s">
        <v>2</v>
      </c>
      <c r="D1252" s="35">
        <v>340632530.54000002</v>
      </c>
      <c r="E1252" s="35">
        <v>3855947</v>
      </c>
      <c r="F1252" s="35">
        <v>275637529.06</v>
      </c>
    </row>
    <row r="1253" spans="1:6" x14ac:dyDescent="0.3">
      <c r="A1253" t="s">
        <v>41</v>
      </c>
      <c r="B1253">
        <v>2022</v>
      </c>
      <c r="C1253" t="s">
        <v>5</v>
      </c>
      <c r="D1253" s="35">
        <v>95489824.879999965</v>
      </c>
      <c r="E1253" s="35">
        <v>65529</v>
      </c>
      <c r="F1253" s="35">
        <v>92988057.49000001</v>
      </c>
    </row>
    <row r="1254" spans="1:6" x14ac:dyDescent="0.3">
      <c r="A1254" t="s">
        <v>41</v>
      </c>
      <c r="B1254">
        <v>2022</v>
      </c>
      <c r="C1254" t="s">
        <v>17</v>
      </c>
      <c r="D1254" s="35">
        <v>3245805.7699999991</v>
      </c>
      <c r="E1254" s="35">
        <v>269206</v>
      </c>
      <c r="F1254" s="35">
        <v>900717.5199999999</v>
      </c>
    </row>
    <row r="1255" spans="1:6" x14ac:dyDescent="0.3">
      <c r="A1255" t="s">
        <v>41</v>
      </c>
      <c r="B1255">
        <v>2022</v>
      </c>
      <c r="C1255" t="s">
        <v>9</v>
      </c>
      <c r="D1255" s="35">
        <v>23616771.399999991</v>
      </c>
      <c r="E1255" s="35">
        <v>1334586</v>
      </c>
      <c r="F1255" s="35">
        <v>9239337.7399999965</v>
      </c>
    </row>
    <row r="1256" spans="1:6" x14ac:dyDescent="0.3">
      <c r="A1256" t="s">
        <v>41</v>
      </c>
      <c r="B1256">
        <v>2022</v>
      </c>
      <c r="C1256" t="s">
        <v>8</v>
      </c>
      <c r="D1256" s="35">
        <v>108837254.54000001</v>
      </c>
      <c r="E1256" s="35">
        <v>7061</v>
      </c>
      <c r="F1256" s="35">
        <v>108660979.87</v>
      </c>
    </row>
    <row r="1257" spans="1:6" x14ac:dyDescent="0.3">
      <c r="A1257" t="s">
        <v>41</v>
      </c>
      <c r="B1257">
        <v>2022</v>
      </c>
      <c r="C1257" t="s">
        <v>6</v>
      </c>
      <c r="D1257" s="35">
        <v>147543154.59999999</v>
      </c>
      <c r="E1257" s="35">
        <v>2717725</v>
      </c>
      <c r="F1257" s="35">
        <v>119254504.23</v>
      </c>
    </row>
    <row r="1258" spans="1:6" x14ac:dyDescent="0.3">
      <c r="A1258" t="s">
        <v>41</v>
      </c>
      <c r="B1258">
        <v>2022</v>
      </c>
      <c r="C1258" t="s">
        <v>15</v>
      </c>
      <c r="D1258" s="35">
        <v>22628522.579999991</v>
      </c>
      <c r="E1258" s="35">
        <v>638816</v>
      </c>
      <c r="F1258" s="35">
        <v>12451497.74</v>
      </c>
    </row>
    <row r="1259" spans="1:6" x14ac:dyDescent="0.3">
      <c r="A1259" t="s">
        <v>41</v>
      </c>
      <c r="B1259">
        <v>2022</v>
      </c>
      <c r="C1259" t="s">
        <v>18</v>
      </c>
      <c r="D1259" s="35">
        <v>6184056.7300000004</v>
      </c>
      <c r="E1259" s="35">
        <v>72937</v>
      </c>
      <c r="F1259" s="35">
        <v>5481594.0999999996</v>
      </c>
    </row>
    <row r="1260" spans="1:6" x14ac:dyDescent="0.3">
      <c r="A1260" t="s">
        <v>41</v>
      </c>
      <c r="B1260">
        <v>2023</v>
      </c>
      <c r="C1260" t="s">
        <v>10</v>
      </c>
      <c r="D1260" s="35">
        <v>73354698.879999995</v>
      </c>
      <c r="E1260" s="35">
        <v>2384071</v>
      </c>
      <c r="F1260" s="35">
        <v>53740415.36999999</v>
      </c>
    </row>
    <row r="1261" spans="1:6" x14ac:dyDescent="0.3">
      <c r="A1261" t="s">
        <v>41</v>
      </c>
      <c r="B1261">
        <v>2023</v>
      </c>
      <c r="C1261" t="s">
        <v>4</v>
      </c>
      <c r="D1261" s="35">
        <v>158510974.87</v>
      </c>
      <c r="E1261" s="35">
        <v>578950</v>
      </c>
      <c r="F1261" s="35">
        <v>155621745.38999999</v>
      </c>
    </row>
    <row r="1262" spans="1:6" x14ac:dyDescent="0.3">
      <c r="A1262" t="s">
        <v>41</v>
      </c>
      <c r="B1262">
        <v>2023</v>
      </c>
      <c r="C1262" t="s">
        <v>13</v>
      </c>
      <c r="D1262" s="35">
        <v>56108304.909999996</v>
      </c>
      <c r="E1262" s="35">
        <v>697048</v>
      </c>
      <c r="F1262" s="35">
        <v>48258855.900000013</v>
      </c>
    </row>
    <row r="1263" spans="1:6" x14ac:dyDescent="0.3">
      <c r="A1263" t="s">
        <v>41</v>
      </c>
      <c r="B1263">
        <v>2023</v>
      </c>
      <c r="C1263" t="s">
        <v>16</v>
      </c>
      <c r="D1263" s="35">
        <v>18463074.34999999</v>
      </c>
      <c r="E1263" s="35">
        <v>87466</v>
      </c>
      <c r="F1263" s="35">
        <v>16633822.68</v>
      </c>
    </row>
    <row r="1264" spans="1:6" x14ac:dyDescent="0.3">
      <c r="A1264" t="s">
        <v>41</v>
      </c>
      <c r="B1264">
        <v>2023</v>
      </c>
      <c r="C1264" t="s">
        <v>14</v>
      </c>
      <c r="D1264" s="35">
        <v>37404126.489999987</v>
      </c>
      <c r="E1264" s="35">
        <v>1106356</v>
      </c>
      <c r="F1264" s="35">
        <v>24832135.68</v>
      </c>
    </row>
    <row r="1265" spans="1:6" x14ac:dyDescent="0.3">
      <c r="A1265" t="s">
        <v>41</v>
      </c>
      <c r="B1265">
        <v>2023</v>
      </c>
      <c r="C1265" t="s">
        <v>7</v>
      </c>
      <c r="D1265" s="35">
        <v>109063587.14</v>
      </c>
      <c r="E1265" s="35">
        <v>39524</v>
      </c>
      <c r="F1265" s="35">
        <v>108385378.53</v>
      </c>
    </row>
    <row r="1266" spans="1:6" x14ac:dyDescent="0.3">
      <c r="A1266" t="s">
        <v>41</v>
      </c>
      <c r="B1266">
        <v>2023</v>
      </c>
      <c r="C1266" t="s">
        <v>11</v>
      </c>
      <c r="D1266" s="35">
        <v>59294211.180000007</v>
      </c>
      <c r="E1266" s="35">
        <v>96720</v>
      </c>
      <c r="F1266" s="35">
        <v>58012689.32</v>
      </c>
    </row>
    <row r="1267" spans="1:6" x14ac:dyDescent="0.3">
      <c r="A1267" t="s">
        <v>41</v>
      </c>
      <c r="B1267">
        <v>2023</v>
      </c>
      <c r="C1267" t="s">
        <v>3</v>
      </c>
      <c r="D1267" s="35">
        <v>218321732.06</v>
      </c>
      <c r="E1267" s="35">
        <v>1037132</v>
      </c>
      <c r="F1267" s="35">
        <v>209414202.83000001</v>
      </c>
    </row>
    <row r="1268" spans="1:6" x14ac:dyDescent="0.3">
      <c r="A1268" t="s">
        <v>41</v>
      </c>
      <c r="B1268">
        <v>2023</v>
      </c>
      <c r="C1268" t="s">
        <v>12</v>
      </c>
      <c r="D1268" s="35">
        <v>50797246.549999997</v>
      </c>
      <c r="E1268" s="35">
        <v>2562656</v>
      </c>
      <c r="F1268" s="35">
        <v>24189480.420000002</v>
      </c>
    </row>
    <row r="1269" spans="1:6" x14ac:dyDescent="0.3">
      <c r="A1269" t="s">
        <v>41</v>
      </c>
      <c r="B1269">
        <v>2023</v>
      </c>
      <c r="C1269" t="s">
        <v>2</v>
      </c>
      <c r="D1269" s="35">
        <v>358145855.29000002</v>
      </c>
      <c r="E1269" s="35">
        <v>3849208</v>
      </c>
      <c r="F1269" s="35">
        <v>289865395.00999999</v>
      </c>
    </row>
    <row r="1270" spans="1:6" x14ac:dyDescent="0.3">
      <c r="A1270" t="s">
        <v>41</v>
      </c>
      <c r="B1270">
        <v>2023</v>
      </c>
      <c r="C1270" t="s">
        <v>5</v>
      </c>
      <c r="D1270" s="35">
        <v>106593656.09</v>
      </c>
      <c r="E1270" s="35">
        <v>67325</v>
      </c>
      <c r="F1270" s="35">
        <v>104419671.09</v>
      </c>
    </row>
    <row r="1271" spans="1:6" x14ac:dyDescent="0.3">
      <c r="A1271" t="s">
        <v>41</v>
      </c>
      <c r="B1271">
        <v>2023</v>
      </c>
      <c r="C1271" t="s">
        <v>17</v>
      </c>
      <c r="D1271" s="35">
        <v>3385657.52</v>
      </c>
      <c r="E1271" s="35">
        <v>270837</v>
      </c>
      <c r="F1271" s="35">
        <v>1223395.1299999999</v>
      </c>
    </row>
    <row r="1272" spans="1:6" x14ac:dyDescent="0.3">
      <c r="A1272" t="s">
        <v>41</v>
      </c>
      <c r="B1272">
        <v>2023</v>
      </c>
      <c r="C1272" t="s">
        <v>9</v>
      </c>
      <c r="D1272" s="35">
        <v>22440848.100000001</v>
      </c>
      <c r="E1272" s="35">
        <v>1302406</v>
      </c>
      <c r="F1272" s="35">
        <v>9283268.7699999996</v>
      </c>
    </row>
    <row r="1273" spans="1:6" x14ac:dyDescent="0.3">
      <c r="A1273" t="s">
        <v>41</v>
      </c>
      <c r="B1273">
        <v>2023</v>
      </c>
      <c r="C1273" t="s">
        <v>8</v>
      </c>
      <c r="D1273" s="35">
        <v>116639393.77</v>
      </c>
      <c r="E1273" s="35">
        <v>7154</v>
      </c>
      <c r="F1273" s="35">
        <v>116562902.89</v>
      </c>
    </row>
    <row r="1274" spans="1:6" x14ac:dyDescent="0.3">
      <c r="A1274" t="s">
        <v>41</v>
      </c>
      <c r="B1274">
        <v>2023</v>
      </c>
      <c r="C1274" t="s">
        <v>6</v>
      </c>
      <c r="D1274" s="35">
        <v>143710734.68000001</v>
      </c>
      <c r="E1274" s="35">
        <v>2768707</v>
      </c>
      <c r="F1274" s="35">
        <v>117367880.12</v>
      </c>
    </row>
    <row r="1275" spans="1:6" x14ac:dyDescent="0.3">
      <c r="A1275" t="s">
        <v>41</v>
      </c>
      <c r="B1275">
        <v>2023</v>
      </c>
      <c r="C1275" t="s">
        <v>15</v>
      </c>
      <c r="D1275" s="35">
        <v>15789432.07</v>
      </c>
      <c r="E1275" s="35">
        <v>486737</v>
      </c>
      <c r="F1275" s="35">
        <v>8646000.6899999995</v>
      </c>
    </row>
    <row r="1276" spans="1:6" x14ac:dyDescent="0.3">
      <c r="A1276" t="s">
        <v>41</v>
      </c>
      <c r="B1276">
        <v>2023</v>
      </c>
      <c r="C1276" t="s">
        <v>18</v>
      </c>
      <c r="D1276" s="35">
        <v>5897498.129999998</v>
      </c>
      <c r="E1276" s="35">
        <v>51565</v>
      </c>
      <c r="F1276" s="35">
        <v>5330245.379999999</v>
      </c>
    </row>
    <row r="1277" spans="1:6" x14ac:dyDescent="0.3">
      <c r="A1277" t="s">
        <v>41</v>
      </c>
      <c r="B1277">
        <v>2024</v>
      </c>
      <c r="C1277" t="s">
        <v>10</v>
      </c>
      <c r="D1277" s="35">
        <v>64786903</v>
      </c>
      <c r="E1277" s="35">
        <v>1947993</v>
      </c>
      <c r="F1277" s="35">
        <v>48118618.659999996</v>
      </c>
    </row>
    <row r="1278" spans="1:6" x14ac:dyDescent="0.3">
      <c r="A1278" t="s">
        <v>41</v>
      </c>
      <c r="B1278">
        <v>2024</v>
      </c>
      <c r="C1278" t="s">
        <v>4</v>
      </c>
      <c r="D1278" s="35">
        <v>116988359.87</v>
      </c>
      <c r="E1278" s="35">
        <v>482336</v>
      </c>
      <c r="F1278" s="35">
        <v>114321954.25</v>
      </c>
    </row>
    <row r="1279" spans="1:6" x14ac:dyDescent="0.3">
      <c r="A1279" t="s">
        <v>41</v>
      </c>
      <c r="B1279">
        <v>2024</v>
      </c>
      <c r="C1279" t="s">
        <v>13</v>
      </c>
      <c r="D1279" s="35">
        <v>52955703.099999987</v>
      </c>
      <c r="E1279" s="35">
        <v>527056</v>
      </c>
      <c r="F1279" s="35">
        <v>46380235.340000004</v>
      </c>
    </row>
    <row r="1280" spans="1:6" x14ac:dyDescent="0.3">
      <c r="A1280" t="s">
        <v>41</v>
      </c>
      <c r="B1280">
        <v>2024</v>
      </c>
      <c r="C1280" t="s">
        <v>16</v>
      </c>
      <c r="D1280" s="35">
        <v>19467633.719999999</v>
      </c>
      <c r="E1280" s="35">
        <v>75220</v>
      </c>
      <c r="F1280" s="35">
        <v>17540194.100000001</v>
      </c>
    </row>
    <row r="1281" spans="1:6" x14ac:dyDescent="0.3">
      <c r="A1281" t="s">
        <v>41</v>
      </c>
      <c r="B1281">
        <v>2024</v>
      </c>
      <c r="C1281" t="s">
        <v>14</v>
      </c>
      <c r="D1281" s="35">
        <v>34508948.630000003</v>
      </c>
      <c r="E1281" s="35">
        <v>922681</v>
      </c>
      <c r="F1281" s="35">
        <v>25419820.210000001</v>
      </c>
    </row>
    <row r="1282" spans="1:6" x14ac:dyDescent="0.3">
      <c r="A1282" t="s">
        <v>41</v>
      </c>
      <c r="B1282">
        <v>2024</v>
      </c>
      <c r="C1282" t="s">
        <v>7</v>
      </c>
      <c r="D1282" s="35">
        <v>84244826.679999992</v>
      </c>
      <c r="E1282" s="35">
        <v>28968</v>
      </c>
      <c r="F1282" s="35">
        <v>83991313.329999998</v>
      </c>
    </row>
    <row r="1283" spans="1:6" x14ac:dyDescent="0.3">
      <c r="A1283" t="s">
        <v>41</v>
      </c>
      <c r="B1283">
        <v>2024</v>
      </c>
      <c r="C1283" t="s">
        <v>11</v>
      </c>
      <c r="D1283" s="35">
        <v>47342021.349999987</v>
      </c>
      <c r="E1283" s="35">
        <v>80606</v>
      </c>
      <c r="F1283" s="35">
        <v>46383281.310000002</v>
      </c>
    </row>
    <row r="1284" spans="1:6" x14ac:dyDescent="0.3">
      <c r="A1284" t="s">
        <v>41</v>
      </c>
      <c r="B1284">
        <v>2024</v>
      </c>
      <c r="C1284" t="s">
        <v>3</v>
      </c>
      <c r="D1284" s="35">
        <v>207596496.91999999</v>
      </c>
      <c r="E1284" s="35">
        <v>883151</v>
      </c>
      <c r="F1284" s="35">
        <v>199327130.62</v>
      </c>
    </row>
    <row r="1285" spans="1:6" x14ac:dyDescent="0.3">
      <c r="A1285" t="s">
        <v>41</v>
      </c>
      <c r="B1285">
        <v>2024</v>
      </c>
      <c r="C1285" t="s">
        <v>12</v>
      </c>
      <c r="D1285" s="35">
        <v>41796493.760000013</v>
      </c>
      <c r="E1285" s="35">
        <v>2084563</v>
      </c>
      <c r="F1285" s="35">
        <v>18845663.760000002</v>
      </c>
    </row>
    <row r="1286" spans="1:6" x14ac:dyDescent="0.3">
      <c r="A1286" t="s">
        <v>41</v>
      </c>
      <c r="B1286">
        <v>2024</v>
      </c>
      <c r="C1286" t="s">
        <v>2</v>
      </c>
      <c r="D1286" s="35">
        <v>319551034.41000009</v>
      </c>
      <c r="E1286" s="35">
        <v>3326958</v>
      </c>
      <c r="F1286" s="35">
        <v>270721269.30000001</v>
      </c>
    </row>
    <row r="1287" spans="1:6" x14ac:dyDescent="0.3">
      <c r="A1287" t="s">
        <v>41</v>
      </c>
      <c r="B1287">
        <v>2024</v>
      </c>
      <c r="C1287" t="s">
        <v>5</v>
      </c>
      <c r="D1287" s="35">
        <v>71616698.5</v>
      </c>
      <c r="E1287" s="35">
        <v>52007</v>
      </c>
      <c r="F1287" s="35">
        <v>70169812.599999994</v>
      </c>
    </row>
    <row r="1288" spans="1:6" x14ac:dyDescent="0.3">
      <c r="A1288" t="s">
        <v>41</v>
      </c>
      <c r="B1288">
        <v>2024</v>
      </c>
      <c r="C1288" t="s">
        <v>17</v>
      </c>
      <c r="D1288" s="35">
        <v>2932674.74</v>
      </c>
      <c r="E1288" s="35">
        <v>223874</v>
      </c>
      <c r="F1288" s="35">
        <v>1201385.33</v>
      </c>
    </row>
    <row r="1289" spans="1:6" x14ac:dyDescent="0.3">
      <c r="A1289" t="s">
        <v>41</v>
      </c>
      <c r="B1289">
        <v>2024</v>
      </c>
      <c r="C1289" t="s">
        <v>9</v>
      </c>
      <c r="D1289" s="35">
        <v>17520052.52</v>
      </c>
      <c r="E1289" s="35">
        <v>1009005</v>
      </c>
      <c r="F1289" s="35">
        <v>6709039.3399999999</v>
      </c>
    </row>
    <row r="1290" spans="1:6" x14ac:dyDescent="0.3">
      <c r="A1290" t="s">
        <v>41</v>
      </c>
      <c r="B1290">
        <v>2024</v>
      </c>
      <c r="C1290" t="s">
        <v>8</v>
      </c>
      <c r="D1290" s="35">
        <v>125751829.86</v>
      </c>
      <c r="E1290" s="35">
        <v>6751</v>
      </c>
      <c r="F1290" s="35">
        <v>125398789.76000001</v>
      </c>
    </row>
    <row r="1291" spans="1:6" x14ac:dyDescent="0.3">
      <c r="A1291" t="s">
        <v>41</v>
      </c>
      <c r="B1291">
        <v>2024</v>
      </c>
      <c r="C1291" t="s">
        <v>6</v>
      </c>
      <c r="D1291" s="35">
        <v>112051660.09999999</v>
      </c>
      <c r="E1291" s="35">
        <v>2453034</v>
      </c>
      <c r="F1291" s="35">
        <v>84953269.400000006</v>
      </c>
    </row>
    <row r="1292" spans="1:6" x14ac:dyDescent="0.3">
      <c r="A1292" t="s">
        <v>41</v>
      </c>
      <c r="B1292">
        <v>2024</v>
      </c>
      <c r="C1292" t="s">
        <v>15</v>
      </c>
      <c r="D1292" s="35">
        <v>11233778.77</v>
      </c>
      <c r="E1292" s="35">
        <v>305532</v>
      </c>
      <c r="F1292" s="35">
        <v>6177034.79</v>
      </c>
    </row>
    <row r="1293" spans="1:6" x14ac:dyDescent="0.3">
      <c r="A1293" t="s">
        <v>41</v>
      </c>
      <c r="B1293">
        <v>2024</v>
      </c>
      <c r="C1293" t="s">
        <v>18</v>
      </c>
      <c r="D1293" s="35">
        <v>4990185.1999999983</v>
      </c>
      <c r="E1293" s="35">
        <v>42772</v>
      </c>
      <c r="F1293" s="35">
        <v>4521459.5299999993</v>
      </c>
    </row>
    <row r="1294" spans="1:6" x14ac:dyDescent="0.3">
      <c r="A1294" t="s">
        <v>41</v>
      </c>
      <c r="B1294">
        <v>2025</v>
      </c>
      <c r="C1294" t="s">
        <v>10</v>
      </c>
      <c r="D1294" s="35">
        <v>64493481.990000002</v>
      </c>
      <c r="E1294" s="35">
        <v>1860011</v>
      </c>
      <c r="F1294" s="35">
        <v>48425401.700000003</v>
      </c>
    </row>
    <row r="1295" spans="1:6" x14ac:dyDescent="0.3">
      <c r="A1295" t="s">
        <v>41</v>
      </c>
      <c r="B1295">
        <v>2025</v>
      </c>
      <c r="C1295" t="s">
        <v>4</v>
      </c>
      <c r="D1295" s="35">
        <v>119480145.94</v>
      </c>
      <c r="E1295" s="35">
        <v>471365</v>
      </c>
      <c r="F1295" s="35">
        <v>116784064.02</v>
      </c>
    </row>
    <row r="1296" spans="1:6" x14ac:dyDescent="0.3">
      <c r="A1296" t="s">
        <v>41</v>
      </c>
      <c r="B1296">
        <v>2025</v>
      </c>
      <c r="C1296" t="s">
        <v>13</v>
      </c>
      <c r="D1296" s="35">
        <v>52051498.029999986</v>
      </c>
      <c r="E1296" s="35">
        <v>489229</v>
      </c>
      <c r="F1296" s="35">
        <v>45389296.760000013</v>
      </c>
    </row>
    <row r="1297" spans="1:6" x14ac:dyDescent="0.3">
      <c r="A1297" t="s">
        <v>41</v>
      </c>
      <c r="B1297">
        <v>2025</v>
      </c>
      <c r="C1297" t="s">
        <v>16</v>
      </c>
      <c r="D1297" s="35">
        <v>19904518.84</v>
      </c>
      <c r="E1297" s="35">
        <v>72993</v>
      </c>
      <c r="F1297" s="35">
        <v>18206907.329999998</v>
      </c>
    </row>
    <row r="1298" spans="1:6" x14ac:dyDescent="0.3">
      <c r="A1298" t="s">
        <v>41</v>
      </c>
      <c r="B1298">
        <v>2025</v>
      </c>
      <c r="C1298" t="s">
        <v>14</v>
      </c>
      <c r="D1298" s="35">
        <v>36747812.75</v>
      </c>
      <c r="E1298" s="35">
        <v>887600</v>
      </c>
      <c r="F1298" s="35">
        <v>28766132</v>
      </c>
    </row>
    <row r="1299" spans="1:6" x14ac:dyDescent="0.3">
      <c r="A1299" t="s">
        <v>41</v>
      </c>
      <c r="B1299">
        <v>2025</v>
      </c>
      <c r="C1299" t="s">
        <v>7</v>
      </c>
      <c r="D1299" s="35">
        <v>80385433.580000013</v>
      </c>
      <c r="E1299" s="35">
        <v>25842</v>
      </c>
      <c r="F1299" s="35">
        <v>80152846.860000014</v>
      </c>
    </row>
    <row r="1300" spans="1:6" x14ac:dyDescent="0.3">
      <c r="A1300" t="s">
        <v>41</v>
      </c>
      <c r="B1300">
        <v>2025</v>
      </c>
      <c r="C1300" t="s">
        <v>11</v>
      </c>
      <c r="D1300" s="35">
        <v>41721925.029999986</v>
      </c>
      <c r="E1300" s="35">
        <v>78846</v>
      </c>
      <c r="F1300" s="35">
        <v>40734707.559999987</v>
      </c>
    </row>
    <row r="1301" spans="1:6" x14ac:dyDescent="0.3">
      <c r="A1301" t="s">
        <v>41</v>
      </c>
      <c r="B1301">
        <v>2025</v>
      </c>
      <c r="C1301" t="s">
        <v>3</v>
      </c>
      <c r="D1301" s="35">
        <v>213506010.38</v>
      </c>
      <c r="E1301" s="35">
        <v>835242</v>
      </c>
      <c r="F1301" s="35">
        <v>206268519.1100001</v>
      </c>
    </row>
    <row r="1302" spans="1:6" x14ac:dyDescent="0.3">
      <c r="A1302" t="s">
        <v>41</v>
      </c>
      <c r="B1302">
        <v>2025</v>
      </c>
      <c r="C1302" t="s">
        <v>12</v>
      </c>
      <c r="D1302" s="35">
        <v>31010397.899999999</v>
      </c>
      <c r="E1302" s="35">
        <v>1839122</v>
      </c>
      <c r="F1302" s="35">
        <v>13047026.859999999</v>
      </c>
    </row>
    <row r="1303" spans="1:6" x14ac:dyDescent="0.3">
      <c r="A1303" t="s">
        <v>41</v>
      </c>
      <c r="B1303">
        <v>2025</v>
      </c>
      <c r="C1303" t="s">
        <v>2</v>
      </c>
      <c r="D1303" s="35">
        <v>333024706.44999999</v>
      </c>
      <c r="E1303" s="35">
        <v>3258072</v>
      </c>
      <c r="F1303" s="35">
        <v>289655463.00000012</v>
      </c>
    </row>
    <row r="1304" spans="1:6" x14ac:dyDescent="0.3">
      <c r="A1304" t="s">
        <v>41</v>
      </c>
      <c r="B1304">
        <v>2025</v>
      </c>
      <c r="C1304" t="s">
        <v>5</v>
      </c>
      <c r="D1304" s="35">
        <v>75485247.25999999</v>
      </c>
      <c r="E1304" s="35">
        <v>52945</v>
      </c>
      <c r="F1304" s="35">
        <v>74069664.370000005</v>
      </c>
    </row>
    <row r="1305" spans="1:6" x14ac:dyDescent="0.3">
      <c r="A1305" t="s">
        <v>41</v>
      </c>
      <c r="B1305">
        <v>2025</v>
      </c>
      <c r="C1305" t="s">
        <v>17</v>
      </c>
      <c r="D1305" s="35">
        <v>2744768.08</v>
      </c>
      <c r="E1305" s="35">
        <v>209543</v>
      </c>
      <c r="F1305" s="35">
        <v>1154686.5</v>
      </c>
    </row>
    <row r="1306" spans="1:6" x14ac:dyDescent="0.3">
      <c r="A1306" t="s">
        <v>41</v>
      </c>
      <c r="B1306">
        <v>2025</v>
      </c>
      <c r="C1306" t="s">
        <v>9</v>
      </c>
      <c r="D1306" s="35">
        <v>16454113.85</v>
      </c>
      <c r="E1306" s="35">
        <v>954452</v>
      </c>
      <c r="F1306" s="35">
        <v>6798481.5000000019</v>
      </c>
    </row>
    <row r="1307" spans="1:6" x14ac:dyDescent="0.3">
      <c r="A1307" t="s">
        <v>41</v>
      </c>
      <c r="B1307">
        <v>2025</v>
      </c>
      <c r="C1307" t="s">
        <v>8</v>
      </c>
      <c r="D1307" s="35">
        <v>102920109.59999999</v>
      </c>
      <c r="E1307" s="35">
        <v>5234</v>
      </c>
      <c r="F1307" s="35">
        <v>102852489.70999999</v>
      </c>
    </row>
    <row r="1308" spans="1:6" x14ac:dyDescent="0.3">
      <c r="A1308" t="s">
        <v>41</v>
      </c>
      <c r="B1308">
        <v>2025</v>
      </c>
      <c r="C1308" t="s">
        <v>6</v>
      </c>
      <c r="D1308" s="35">
        <v>102908076.78</v>
      </c>
      <c r="E1308" s="35">
        <v>2311752</v>
      </c>
      <c r="F1308" s="35">
        <v>77864330.75</v>
      </c>
    </row>
    <row r="1309" spans="1:6" x14ac:dyDescent="0.3">
      <c r="A1309" t="s">
        <v>41</v>
      </c>
      <c r="B1309">
        <v>2025</v>
      </c>
      <c r="C1309" t="s">
        <v>15</v>
      </c>
      <c r="D1309" s="35">
        <v>10319559.640000001</v>
      </c>
      <c r="E1309" s="35">
        <v>261316</v>
      </c>
      <c r="F1309" s="35">
        <v>5893218.209999999</v>
      </c>
    </row>
    <row r="1310" spans="1:6" x14ac:dyDescent="0.3">
      <c r="A1310" t="s">
        <v>41</v>
      </c>
      <c r="B1310">
        <v>2025</v>
      </c>
      <c r="C1310" t="s">
        <v>18</v>
      </c>
      <c r="D1310" s="35">
        <v>3667980.74</v>
      </c>
      <c r="E1310" s="35">
        <v>42059</v>
      </c>
      <c r="F1310" s="35">
        <v>3115296.53</v>
      </c>
    </row>
    <row r="1311" spans="1:6" x14ac:dyDescent="0.3">
      <c r="A1311" t="s">
        <v>42</v>
      </c>
      <c r="B1311">
        <v>2019</v>
      </c>
      <c r="C1311" t="s">
        <v>10</v>
      </c>
      <c r="D1311" s="35">
        <v>9032683.6800000016</v>
      </c>
      <c r="E1311" s="35">
        <v>471830</v>
      </c>
      <c r="F1311" s="35">
        <v>5936622.9500000002</v>
      </c>
    </row>
    <row r="1312" spans="1:6" x14ac:dyDescent="0.3">
      <c r="A1312" t="s">
        <v>42</v>
      </c>
      <c r="B1312">
        <v>2019</v>
      </c>
      <c r="C1312" t="s">
        <v>4</v>
      </c>
      <c r="D1312" s="35">
        <v>29529980.809999999</v>
      </c>
      <c r="E1312" s="35">
        <v>136376</v>
      </c>
      <c r="F1312" s="35">
        <v>29080673.63000001</v>
      </c>
    </row>
    <row r="1313" spans="1:6" x14ac:dyDescent="0.3">
      <c r="A1313" t="s">
        <v>42</v>
      </c>
      <c r="B1313">
        <v>2019</v>
      </c>
      <c r="C1313" t="s">
        <v>13</v>
      </c>
      <c r="D1313" s="35">
        <v>7743739.3399999989</v>
      </c>
      <c r="E1313" s="35">
        <v>107863</v>
      </c>
      <c r="F1313" s="35">
        <v>5443997.1599999992</v>
      </c>
    </row>
    <row r="1314" spans="1:6" x14ac:dyDescent="0.3">
      <c r="A1314" t="s">
        <v>42</v>
      </c>
      <c r="B1314">
        <v>2019</v>
      </c>
      <c r="C1314" t="s">
        <v>16</v>
      </c>
      <c r="D1314" s="35">
        <v>3416729.46</v>
      </c>
      <c r="E1314" s="35">
        <v>15838</v>
      </c>
      <c r="F1314" s="35">
        <v>2812725.13</v>
      </c>
    </row>
    <row r="1315" spans="1:6" x14ac:dyDescent="0.3">
      <c r="A1315" t="s">
        <v>42</v>
      </c>
      <c r="B1315">
        <v>2019</v>
      </c>
      <c r="C1315" t="s">
        <v>14</v>
      </c>
      <c r="D1315" s="35">
        <v>2546940.89</v>
      </c>
      <c r="E1315" s="35">
        <v>115145</v>
      </c>
      <c r="F1315" s="35">
        <v>1692129.33</v>
      </c>
    </row>
    <row r="1316" spans="1:6" x14ac:dyDescent="0.3">
      <c r="A1316" t="s">
        <v>42</v>
      </c>
      <c r="B1316">
        <v>2019</v>
      </c>
      <c r="C1316" t="s">
        <v>7</v>
      </c>
      <c r="D1316" s="35">
        <v>11389986.74</v>
      </c>
      <c r="E1316" s="35">
        <v>5997</v>
      </c>
      <c r="F1316" s="35">
        <v>11195018.890000001</v>
      </c>
    </row>
    <row r="1317" spans="1:6" x14ac:dyDescent="0.3">
      <c r="A1317" t="s">
        <v>42</v>
      </c>
      <c r="B1317">
        <v>2019</v>
      </c>
      <c r="C1317" t="s">
        <v>11</v>
      </c>
      <c r="D1317" s="35">
        <v>3566751.32</v>
      </c>
      <c r="E1317" s="35">
        <v>37525</v>
      </c>
      <c r="F1317" s="35">
        <v>3441408.69</v>
      </c>
    </row>
    <row r="1318" spans="1:6" x14ac:dyDescent="0.3">
      <c r="A1318" t="s">
        <v>42</v>
      </c>
      <c r="B1318">
        <v>2019</v>
      </c>
      <c r="C1318" t="s">
        <v>3</v>
      </c>
      <c r="D1318" s="35">
        <v>22193992.260000002</v>
      </c>
      <c r="E1318" s="35">
        <v>106048</v>
      </c>
      <c r="F1318" s="35">
        <v>20658493.25999999</v>
      </c>
    </row>
    <row r="1319" spans="1:6" x14ac:dyDescent="0.3">
      <c r="A1319" t="s">
        <v>42</v>
      </c>
      <c r="B1319">
        <v>2019</v>
      </c>
      <c r="C1319" t="s">
        <v>12</v>
      </c>
      <c r="D1319" s="35">
        <v>10809667.960000001</v>
      </c>
      <c r="E1319" s="35">
        <v>270803</v>
      </c>
      <c r="F1319" s="35">
        <v>4702821.1100000003</v>
      </c>
    </row>
    <row r="1320" spans="1:6" x14ac:dyDescent="0.3">
      <c r="A1320" t="s">
        <v>42</v>
      </c>
      <c r="B1320">
        <v>2019</v>
      </c>
      <c r="C1320" t="s">
        <v>2</v>
      </c>
      <c r="D1320" s="35">
        <v>35440420.849999987</v>
      </c>
      <c r="E1320" s="35">
        <v>332825</v>
      </c>
      <c r="F1320" s="35">
        <v>29170056.399999999</v>
      </c>
    </row>
    <row r="1321" spans="1:6" x14ac:dyDescent="0.3">
      <c r="A1321" t="s">
        <v>42</v>
      </c>
      <c r="B1321">
        <v>2019</v>
      </c>
      <c r="C1321" t="s">
        <v>5</v>
      </c>
      <c r="D1321" s="35">
        <v>17880900.829999998</v>
      </c>
      <c r="E1321" s="35">
        <v>10387</v>
      </c>
      <c r="F1321" s="35">
        <v>16879468.350000001</v>
      </c>
    </row>
    <row r="1322" spans="1:6" x14ac:dyDescent="0.3">
      <c r="A1322" t="s">
        <v>42</v>
      </c>
      <c r="B1322">
        <v>2019</v>
      </c>
      <c r="C1322" t="s">
        <v>17</v>
      </c>
      <c r="D1322" s="35">
        <v>621738.01000000013</v>
      </c>
      <c r="E1322" s="35">
        <v>60190</v>
      </c>
      <c r="F1322" s="35">
        <v>215673.09</v>
      </c>
    </row>
    <row r="1323" spans="1:6" x14ac:dyDescent="0.3">
      <c r="A1323" t="s">
        <v>42</v>
      </c>
      <c r="B1323">
        <v>2019</v>
      </c>
      <c r="C1323" t="s">
        <v>9</v>
      </c>
      <c r="D1323" s="35">
        <v>4597771.97</v>
      </c>
      <c r="E1323" s="35">
        <v>256997</v>
      </c>
      <c r="F1323" s="35">
        <v>1188633.8999999999</v>
      </c>
    </row>
    <row r="1324" spans="1:6" x14ac:dyDescent="0.3">
      <c r="A1324" t="s">
        <v>42</v>
      </c>
      <c r="B1324">
        <v>2019</v>
      </c>
      <c r="C1324" t="s">
        <v>8</v>
      </c>
      <c r="D1324" s="35">
        <v>408496.23</v>
      </c>
      <c r="E1324" s="35">
        <v>235</v>
      </c>
      <c r="F1324" s="35">
        <v>408496.23</v>
      </c>
    </row>
    <row r="1325" spans="1:6" x14ac:dyDescent="0.3">
      <c r="A1325" t="s">
        <v>42</v>
      </c>
      <c r="B1325">
        <v>2019</v>
      </c>
      <c r="C1325" t="s">
        <v>6</v>
      </c>
      <c r="D1325" s="35">
        <v>19994015.219999999</v>
      </c>
      <c r="E1325" s="35">
        <v>299065</v>
      </c>
      <c r="F1325" s="35">
        <v>14457284.619999999</v>
      </c>
    </row>
    <row r="1326" spans="1:6" x14ac:dyDescent="0.3">
      <c r="A1326" t="s">
        <v>42</v>
      </c>
      <c r="B1326">
        <v>2019</v>
      </c>
      <c r="C1326" t="s">
        <v>15</v>
      </c>
      <c r="D1326" s="35">
        <v>6219772.7400000002</v>
      </c>
      <c r="E1326" s="35">
        <v>223438</v>
      </c>
      <c r="F1326" s="35">
        <v>3583049.350000001</v>
      </c>
    </row>
    <row r="1327" spans="1:6" x14ac:dyDescent="0.3">
      <c r="A1327" t="s">
        <v>42</v>
      </c>
      <c r="B1327">
        <v>2019</v>
      </c>
      <c r="C1327" t="s">
        <v>18</v>
      </c>
      <c r="D1327" s="35">
        <v>1547851.43</v>
      </c>
      <c r="E1327" s="35">
        <v>22966</v>
      </c>
      <c r="F1327" s="35">
        <v>1045154.33</v>
      </c>
    </row>
    <row r="1328" spans="1:6" x14ac:dyDescent="0.3">
      <c r="A1328" t="s">
        <v>42</v>
      </c>
      <c r="B1328">
        <v>2020</v>
      </c>
      <c r="C1328" t="s">
        <v>10</v>
      </c>
      <c r="D1328" s="35">
        <v>11555067.119999999</v>
      </c>
      <c r="E1328" s="35">
        <v>488812</v>
      </c>
      <c r="F1328" s="35">
        <v>7660683.4499999993</v>
      </c>
    </row>
    <row r="1329" spans="1:6" x14ac:dyDescent="0.3">
      <c r="A1329" t="s">
        <v>42</v>
      </c>
      <c r="B1329">
        <v>2020</v>
      </c>
      <c r="C1329" t="s">
        <v>4</v>
      </c>
      <c r="D1329" s="35">
        <v>32184519.489999991</v>
      </c>
      <c r="E1329" s="35">
        <v>139876</v>
      </c>
      <c r="F1329" s="35">
        <v>31669750.75</v>
      </c>
    </row>
    <row r="1330" spans="1:6" x14ac:dyDescent="0.3">
      <c r="A1330" t="s">
        <v>42</v>
      </c>
      <c r="B1330">
        <v>2020</v>
      </c>
      <c r="C1330" t="s">
        <v>13</v>
      </c>
      <c r="D1330" s="35">
        <v>7721298.9699999988</v>
      </c>
      <c r="E1330" s="35">
        <v>119208</v>
      </c>
      <c r="F1330" s="35">
        <v>5024550.9099999992</v>
      </c>
    </row>
    <row r="1331" spans="1:6" x14ac:dyDescent="0.3">
      <c r="A1331" t="s">
        <v>42</v>
      </c>
      <c r="B1331">
        <v>2020</v>
      </c>
      <c r="C1331" t="s">
        <v>16</v>
      </c>
      <c r="D1331" s="35">
        <v>3641051.540000001</v>
      </c>
      <c r="E1331" s="35">
        <v>16563</v>
      </c>
      <c r="F1331" s="35">
        <v>3006136.62</v>
      </c>
    </row>
    <row r="1332" spans="1:6" x14ac:dyDescent="0.3">
      <c r="A1332" t="s">
        <v>42</v>
      </c>
      <c r="B1332">
        <v>2020</v>
      </c>
      <c r="C1332" t="s">
        <v>14</v>
      </c>
      <c r="D1332" s="35">
        <v>2908821.15</v>
      </c>
      <c r="E1332" s="35">
        <v>121877</v>
      </c>
      <c r="F1332" s="35">
        <v>1891513.36</v>
      </c>
    </row>
    <row r="1333" spans="1:6" x14ac:dyDescent="0.3">
      <c r="A1333" t="s">
        <v>42</v>
      </c>
      <c r="B1333">
        <v>2020</v>
      </c>
      <c r="C1333" t="s">
        <v>7</v>
      </c>
      <c r="D1333" s="35">
        <v>12518822.43</v>
      </c>
      <c r="E1333" s="35">
        <v>5939</v>
      </c>
      <c r="F1333" s="35">
        <v>12019051.140000001</v>
      </c>
    </row>
    <row r="1334" spans="1:6" x14ac:dyDescent="0.3">
      <c r="A1334" t="s">
        <v>42</v>
      </c>
      <c r="B1334">
        <v>2020</v>
      </c>
      <c r="C1334" t="s">
        <v>11</v>
      </c>
      <c r="D1334" s="35">
        <v>2393230.65</v>
      </c>
      <c r="E1334" s="35">
        <v>44962</v>
      </c>
      <c r="F1334" s="35">
        <v>2308572.1</v>
      </c>
    </row>
    <row r="1335" spans="1:6" x14ac:dyDescent="0.3">
      <c r="A1335" t="s">
        <v>42</v>
      </c>
      <c r="B1335">
        <v>2020</v>
      </c>
      <c r="C1335" t="s">
        <v>3</v>
      </c>
      <c r="D1335" s="35">
        <v>26853719.260000002</v>
      </c>
      <c r="E1335" s="35">
        <v>96812</v>
      </c>
      <c r="F1335" s="35">
        <v>25157005.190000009</v>
      </c>
    </row>
    <row r="1336" spans="1:6" x14ac:dyDescent="0.3">
      <c r="A1336" t="s">
        <v>42</v>
      </c>
      <c r="B1336">
        <v>2020</v>
      </c>
      <c r="C1336" t="s">
        <v>12</v>
      </c>
      <c r="D1336" s="35">
        <v>8372065.7499999991</v>
      </c>
      <c r="E1336" s="35">
        <v>222339</v>
      </c>
      <c r="F1336" s="35">
        <v>3118336.2599999988</v>
      </c>
    </row>
    <row r="1337" spans="1:6" x14ac:dyDescent="0.3">
      <c r="A1337" t="s">
        <v>42</v>
      </c>
      <c r="B1337">
        <v>2020</v>
      </c>
      <c r="C1337" t="s">
        <v>2</v>
      </c>
      <c r="D1337" s="35">
        <v>36802981.149999991</v>
      </c>
      <c r="E1337" s="35">
        <v>344382</v>
      </c>
      <c r="F1337" s="35">
        <v>30132017.879999999</v>
      </c>
    </row>
    <row r="1338" spans="1:6" x14ac:dyDescent="0.3">
      <c r="A1338" t="s">
        <v>42</v>
      </c>
      <c r="B1338">
        <v>2020</v>
      </c>
      <c r="C1338" t="s">
        <v>5</v>
      </c>
      <c r="D1338" s="35">
        <v>23038929.940000009</v>
      </c>
      <c r="E1338" s="35">
        <v>10808</v>
      </c>
      <c r="F1338" s="35">
        <v>22079427.02</v>
      </c>
    </row>
    <row r="1339" spans="1:6" x14ac:dyDescent="0.3">
      <c r="A1339" t="s">
        <v>42</v>
      </c>
      <c r="B1339">
        <v>2020</v>
      </c>
      <c r="C1339" t="s">
        <v>17</v>
      </c>
      <c r="D1339" s="35">
        <v>612345.11</v>
      </c>
      <c r="E1339" s="35">
        <v>56687</v>
      </c>
      <c r="F1339" s="35">
        <v>235360.6</v>
      </c>
    </row>
    <row r="1340" spans="1:6" x14ac:dyDescent="0.3">
      <c r="A1340" t="s">
        <v>42</v>
      </c>
      <c r="B1340">
        <v>2020</v>
      </c>
      <c r="C1340" t="s">
        <v>9</v>
      </c>
      <c r="D1340" s="35">
        <v>4338553.3600000003</v>
      </c>
      <c r="E1340" s="35">
        <v>224677</v>
      </c>
      <c r="F1340" s="35">
        <v>919432.24</v>
      </c>
    </row>
    <row r="1341" spans="1:6" x14ac:dyDescent="0.3">
      <c r="A1341" t="s">
        <v>42</v>
      </c>
      <c r="B1341">
        <v>2020</v>
      </c>
      <c r="C1341" t="s">
        <v>8</v>
      </c>
      <c r="D1341" s="35">
        <v>2260763.52</v>
      </c>
      <c r="E1341" s="35">
        <v>303</v>
      </c>
      <c r="F1341" s="35">
        <v>2260763.52</v>
      </c>
    </row>
    <row r="1342" spans="1:6" x14ac:dyDescent="0.3">
      <c r="A1342" t="s">
        <v>42</v>
      </c>
      <c r="B1342">
        <v>2020</v>
      </c>
      <c r="C1342" t="s">
        <v>6</v>
      </c>
      <c r="D1342" s="35">
        <v>18074680.149999999</v>
      </c>
      <c r="E1342" s="35">
        <v>263137</v>
      </c>
      <c r="F1342" s="35">
        <v>11764287.619999999</v>
      </c>
    </row>
    <row r="1343" spans="1:6" x14ac:dyDescent="0.3">
      <c r="A1343" t="s">
        <v>42</v>
      </c>
      <c r="B1343">
        <v>2020</v>
      </c>
      <c r="C1343" t="s">
        <v>15</v>
      </c>
      <c r="D1343" s="35">
        <v>3628091.74</v>
      </c>
      <c r="E1343" s="35">
        <v>172956</v>
      </c>
      <c r="F1343" s="35">
        <v>1345602.85</v>
      </c>
    </row>
    <row r="1344" spans="1:6" x14ac:dyDescent="0.3">
      <c r="A1344" t="s">
        <v>42</v>
      </c>
      <c r="B1344">
        <v>2020</v>
      </c>
      <c r="C1344" t="s">
        <v>18</v>
      </c>
      <c r="D1344" s="35">
        <v>1602487.31</v>
      </c>
      <c r="E1344" s="35">
        <v>22789</v>
      </c>
      <c r="F1344" s="35">
        <v>1017635.46</v>
      </c>
    </row>
    <row r="1345" spans="1:6" x14ac:dyDescent="0.3">
      <c r="A1345" t="s">
        <v>42</v>
      </c>
      <c r="B1345">
        <v>2021</v>
      </c>
      <c r="C1345" t="s">
        <v>10</v>
      </c>
      <c r="D1345" s="35">
        <v>14295290.23</v>
      </c>
      <c r="E1345" s="35">
        <v>468416</v>
      </c>
      <c r="F1345" s="35">
        <v>9827408.3199999984</v>
      </c>
    </row>
    <row r="1346" spans="1:6" x14ac:dyDescent="0.3">
      <c r="A1346" t="s">
        <v>42</v>
      </c>
      <c r="B1346">
        <v>2021</v>
      </c>
      <c r="C1346" t="s">
        <v>4</v>
      </c>
      <c r="D1346" s="35">
        <v>36442915.830000013</v>
      </c>
      <c r="E1346" s="35">
        <v>133794</v>
      </c>
      <c r="F1346" s="35">
        <v>35845455.920000009</v>
      </c>
    </row>
    <row r="1347" spans="1:6" x14ac:dyDescent="0.3">
      <c r="A1347" t="s">
        <v>42</v>
      </c>
      <c r="B1347">
        <v>2021</v>
      </c>
      <c r="C1347" t="s">
        <v>13</v>
      </c>
      <c r="D1347" s="35">
        <v>8870952.2000000011</v>
      </c>
      <c r="E1347" s="35">
        <v>146985</v>
      </c>
      <c r="F1347" s="35">
        <v>5612138.0100000007</v>
      </c>
    </row>
    <row r="1348" spans="1:6" x14ac:dyDescent="0.3">
      <c r="A1348" t="s">
        <v>42</v>
      </c>
      <c r="B1348">
        <v>2021</v>
      </c>
      <c r="C1348" t="s">
        <v>16</v>
      </c>
      <c r="D1348" s="35">
        <v>4226350.7</v>
      </c>
      <c r="E1348" s="35">
        <v>18007</v>
      </c>
      <c r="F1348" s="35">
        <v>3552656.59</v>
      </c>
    </row>
    <row r="1349" spans="1:6" x14ac:dyDescent="0.3">
      <c r="A1349" t="s">
        <v>42</v>
      </c>
      <c r="B1349">
        <v>2021</v>
      </c>
      <c r="C1349" t="s">
        <v>14</v>
      </c>
      <c r="D1349" s="35">
        <v>3531911.99</v>
      </c>
      <c r="E1349" s="35">
        <v>125275</v>
      </c>
      <c r="F1349" s="35">
        <v>2461338.06</v>
      </c>
    </row>
    <row r="1350" spans="1:6" x14ac:dyDescent="0.3">
      <c r="A1350" t="s">
        <v>42</v>
      </c>
      <c r="B1350">
        <v>2021</v>
      </c>
      <c r="C1350" t="s">
        <v>7</v>
      </c>
      <c r="D1350" s="35">
        <v>13566863.93</v>
      </c>
      <c r="E1350" s="35">
        <v>6214</v>
      </c>
      <c r="F1350" s="35">
        <v>12452219.24</v>
      </c>
    </row>
    <row r="1351" spans="1:6" x14ac:dyDescent="0.3">
      <c r="A1351" t="s">
        <v>42</v>
      </c>
      <c r="B1351">
        <v>2021</v>
      </c>
      <c r="C1351" t="s">
        <v>11</v>
      </c>
      <c r="D1351" s="35">
        <v>2904800.3</v>
      </c>
      <c r="E1351" s="35">
        <v>118997</v>
      </c>
      <c r="F1351" s="35">
        <v>2687395.07</v>
      </c>
    </row>
    <row r="1352" spans="1:6" x14ac:dyDescent="0.3">
      <c r="A1352" t="s">
        <v>42</v>
      </c>
      <c r="B1352">
        <v>2021</v>
      </c>
      <c r="C1352" t="s">
        <v>3</v>
      </c>
      <c r="D1352" s="35">
        <v>35469021.999999993</v>
      </c>
      <c r="E1352" s="35">
        <v>99546</v>
      </c>
      <c r="F1352" s="35">
        <v>33368650.420000002</v>
      </c>
    </row>
    <row r="1353" spans="1:6" x14ac:dyDescent="0.3">
      <c r="A1353" t="s">
        <v>42</v>
      </c>
      <c r="B1353">
        <v>2021</v>
      </c>
      <c r="C1353" t="s">
        <v>12</v>
      </c>
      <c r="D1353" s="35">
        <v>7884090.7299999986</v>
      </c>
      <c r="E1353" s="35">
        <v>204337</v>
      </c>
      <c r="F1353" s="35">
        <v>2791664.7499999991</v>
      </c>
    </row>
    <row r="1354" spans="1:6" x14ac:dyDescent="0.3">
      <c r="A1354" t="s">
        <v>42</v>
      </c>
      <c r="B1354">
        <v>2021</v>
      </c>
      <c r="C1354" t="s">
        <v>2</v>
      </c>
      <c r="D1354" s="35">
        <v>40225336</v>
      </c>
      <c r="E1354" s="35">
        <v>344190</v>
      </c>
      <c r="F1354" s="35">
        <v>33148927.270000011</v>
      </c>
    </row>
    <row r="1355" spans="1:6" x14ac:dyDescent="0.3">
      <c r="A1355" t="s">
        <v>42</v>
      </c>
      <c r="B1355">
        <v>2021</v>
      </c>
      <c r="C1355" t="s">
        <v>5</v>
      </c>
      <c r="D1355" s="35">
        <v>17547936.239999998</v>
      </c>
      <c r="E1355" s="35">
        <v>11536</v>
      </c>
      <c r="F1355" s="35">
        <v>16391881.550000001</v>
      </c>
    </row>
    <row r="1356" spans="1:6" x14ac:dyDescent="0.3">
      <c r="A1356" t="s">
        <v>42</v>
      </c>
      <c r="B1356">
        <v>2021</v>
      </c>
      <c r="C1356" t="s">
        <v>17</v>
      </c>
      <c r="D1356" s="35">
        <v>644828.08000000007</v>
      </c>
      <c r="E1356" s="35">
        <v>51927</v>
      </c>
      <c r="F1356" s="35">
        <v>284002.19</v>
      </c>
    </row>
    <row r="1357" spans="1:6" x14ac:dyDescent="0.3">
      <c r="A1357" t="s">
        <v>42</v>
      </c>
      <c r="B1357">
        <v>2021</v>
      </c>
      <c r="C1357" t="s">
        <v>9</v>
      </c>
      <c r="D1357" s="35">
        <v>3515629.870000001</v>
      </c>
      <c r="E1357" s="35">
        <v>219894</v>
      </c>
      <c r="F1357" s="35">
        <v>810375.28</v>
      </c>
    </row>
    <row r="1358" spans="1:6" x14ac:dyDescent="0.3">
      <c r="A1358" t="s">
        <v>42</v>
      </c>
      <c r="B1358">
        <v>2021</v>
      </c>
      <c r="C1358" t="s">
        <v>8</v>
      </c>
      <c r="D1358" s="35">
        <v>5852334.6200000001</v>
      </c>
      <c r="E1358" s="35">
        <v>303</v>
      </c>
      <c r="F1358" s="35">
        <v>5852334.6200000001</v>
      </c>
    </row>
    <row r="1359" spans="1:6" x14ac:dyDescent="0.3">
      <c r="A1359" t="s">
        <v>42</v>
      </c>
      <c r="B1359">
        <v>2021</v>
      </c>
      <c r="C1359" t="s">
        <v>6</v>
      </c>
      <c r="D1359" s="35">
        <v>15720798.09</v>
      </c>
      <c r="E1359" s="35">
        <v>236898</v>
      </c>
      <c r="F1359" s="35">
        <v>9040195.9200000018</v>
      </c>
    </row>
    <row r="1360" spans="1:6" x14ac:dyDescent="0.3">
      <c r="A1360" t="s">
        <v>42</v>
      </c>
      <c r="B1360">
        <v>2021</v>
      </c>
      <c r="C1360" t="s">
        <v>15</v>
      </c>
      <c r="D1360" s="35">
        <v>2833539.2600000012</v>
      </c>
      <c r="E1360" s="35">
        <v>144327</v>
      </c>
      <c r="F1360" s="35">
        <v>615611.14</v>
      </c>
    </row>
    <row r="1361" spans="1:6" x14ac:dyDescent="0.3">
      <c r="A1361" t="s">
        <v>42</v>
      </c>
      <c r="B1361">
        <v>2021</v>
      </c>
      <c r="C1361" t="s">
        <v>18</v>
      </c>
      <c r="D1361" s="35">
        <v>1308552.01</v>
      </c>
      <c r="E1361" s="35">
        <v>30373</v>
      </c>
      <c r="F1361" s="35">
        <v>767279.66999999993</v>
      </c>
    </row>
    <row r="1362" spans="1:6" x14ac:dyDescent="0.3">
      <c r="A1362" t="s">
        <v>42</v>
      </c>
      <c r="B1362">
        <v>2022</v>
      </c>
      <c r="C1362" t="s">
        <v>10</v>
      </c>
      <c r="D1362" s="35">
        <v>15777918.300000001</v>
      </c>
      <c r="E1362" s="35">
        <v>418534</v>
      </c>
      <c r="F1362" s="35">
        <v>11009071.91</v>
      </c>
    </row>
    <row r="1363" spans="1:6" x14ac:dyDescent="0.3">
      <c r="A1363" t="s">
        <v>42</v>
      </c>
      <c r="B1363">
        <v>2022</v>
      </c>
      <c r="C1363" t="s">
        <v>4</v>
      </c>
      <c r="D1363" s="35">
        <v>40434320.43</v>
      </c>
      <c r="E1363" s="35">
        <v>134382</v>
      </c>
      <c r="F1363" s="35">
        <v>39953114.849999987</v>
      </c>
    </row>
    <row r="1364" spans="1:6" x14ac:dyDescent="0.3">
      <c r="A1364" t="s">
        <v>42</v>
      </c>
      <c r="B1364">
        <v>2022</v>
      </c>
      <c r="C1364" t="s">
        <v>13</v>
      </c>
      <c r="D1364" s="35">
        <v>8713144.9900000002</v>
      </c>
      <c r="E1364" s="35">
        <v>135911</v>
      </c>
      <c r="F1364" s="35">
        <v>5679844.9899999984</v>
      </c>
    </row>
    <row r="1365" spans="1:6" x14ac:dyDescent="0.3">
      <c r="A1365" t="s">
        <v>42</v>
      </c>
      <c r="B1365">
        <v>2022</v>
      </c>
      <c r="C1365" t="s">
        <v>16</v>
      </c>
      <c r="D1365" s="35">
        <v>3861739.56</v>
      </c>
      <c r="E1365" s="35">
        <v>18093</v>
      </c>
      <c r="F1365" s="35">
        <v>3394228.64</v>
      </c>
    </row>
    <row r="1366" spans="1:6" x14ac:dyDescent="0.3">
      <c r="A1366" t="s">
        <v>42</v>
      </c>
      <c r="B1366">
        <v>2022</v>
      </c>
      <c r="C1366" t="s">
        <v>14</v>
      </c>
      <c r="D1366" s="35">
        <v>3916366.4</v>
      </c>
      <c r="E1366" s="35">
        <v>136424</v>
      </c>
      <c r="F1366" s="35">
        <v>2896275.97</v>
      </c>
    </row>
    <row r="1367" spans="1:6" x14ac:dyDescent="0.3">
      <c r="A1367" t="s">
        <v>42</v>
      </c>
      <c r="B1367">
        <v>2022</v>
      </c>
      <c r="C1367" t="s">
        <v>7</v>
      </c>
      <c r="D1367" s="35">
        <v>14417405.82</v>
      </c>
      <c r="E1367" s="35">
        <v>6590</v>
      </c>
      <c r="F1367" s="35">
        <v>13822564.82</v>
      </c>
    </row>
    <row r="1368" spans="1:6" x14ac:dyDescent="0.3">
      <c r="A1368" t="s">
        <v>42</v>
      </c>
      <c r="B1368">
        <v>2022</v>
      </c>
      <c r="C1368" t="s">
        <v>11</v>
      </c>
      <c r="D1368" s="35">
        <v>4806777.6099999994</v>
      </c>
      <c r="E1368" s="35">
        <v>133714</v>
      </c>
      <c r="F1368" s="35">
        <v>4634092.6100000003</v>
      </c>
    </row>
    <row r="1369" spans="1:6" x14ac:dyDescent="0.3">
      <c r="A1369" t="s">
        <v>42</v>
      </c>
      <c r="B1369">
        <v>2022</v>
      </c>
      <c r="C1369" t="s">
        <v>3</v>
      </c>
      <c r="D1369" s="35">
        <v>44783257.319999993</v>
      </c>
      <c r="E1369" s="35">
        <v>113763</v>
      </c>
      <c r="F1369" s="35">
        <v>42561261.179999992</v>
      </c>
    </row>
    <row r="1370" spans="1:6" x14ac:dyDescent="0.3">
      <c r="A1370" t="s">
        <v>42</v>
      </c>
      <c r="B1370">
        <v>2022</v>
      </c>
      <c r="C1370" t="s">
        <v>12</v>
      </c>
      <c r="D1370" s="35">
        <v>8597863.9999999981</v>
      </c>
      <c r="E1370" s="35">
        <v>247191</v>
      </c>
      <c r="F1370" s="35">
        <v>2845390.92</v>
      </c>
    </row>
    <row r="1371" spans="1:6" x14ac:dyDescent="0.3">
      <c r="A1371" t="s">
        <v>42</v>
      </c>
      <c r="B1371">
        <v>2022</v>
      </c>
      <c r="C1371" t="s">
        <v>2</v>
      </c>
      <c r="D1371" s="35">
        <v>42025718.289999999</v>
      </c>
      <c r="E1371" s="35">
        <v>345389</v>
      </c>
      <c r="F1371" s="35">
        <v>34968090.830000013</v>
      </c>
    </row>
    <row r="1372" spans="1:6" x14ac:dyDescent="0.3">
      <c r="A1372" t="s">
        <v>42</v>
      </c>
      <c r="B1372">
        <v>2022</v>
      </c>
      <c r="C1372" t="s">
        <v>5</v>
      </c>
      <c r="D1372" s="35">
        <v>16369999.51</v>
      </c>
      <c r="E1372" s="35">
        <v>10978</v>
      </c>
      <c r="F1372" s="35">
        <v>15338383.789999999</v>
      </c>
    </row>
    <row r="1373" spans="1:6" x14ac:dyDescent="0.3">
      <c r="A1373" t="s">
        <v>42</v>
      </c>
      <c r="B1373">
        <v>2022</v>
      </c>
      <c r="C1373" t="s">
        <v>17</v>
      </c>
      <c r="D1373" s="35">
        <v>610231.55999999994</v>
      </c>
      <c r="E1373" s="35">
        <v>37764</v>
      </c>
      <c r="F1373" s="35">
        <v>217899.16</v>
      </c>
    </row>
    <row r="1374" spans="1:6" x14ac:dyDescent="0.3">
      <c r="A1374" t="s">
        <v>42</v>
      </c>
      <c r="B1374">
        <v>2022</v>
      </c>
      <c r="C1374" t="s">
        <v>9</v>
      </c>
      <c r="D1374" s="35">
        <v>3176197.7200000011</v>
      </c>
      <c r="E1374" s="35">
        <v>262127</v>
      </c>
      <c r="F1374" s="35">
        <v>575273.74999999988</v>
      </c>
    </row>
    <row r="1375" spans="1:6" x14ac:dyDescent="0.3">
      <c r="A1375" t="s">
        <v>42</v>
      </c>
      <c r="B1375">
        <v>2022</v>
      </c>
      <c r="C1375" t="s">
        <v>8</v>
      </c>
      <c r="D1375" s="35">
        <v>5343545.38</v>
      </c>
      <c r="E1375" s="35">
        <v>279</v>
      </c>
      <c r="F1375" s="35">
        <v>5343545.38</v>
      </c>
    </row>
    <row r="1376" spans="1:6" x14ac:dyDescent="0.3">
      <c r="A1376" t="s">
        <v>42</v>
      </c>
      <c r="B1376">
        <v>2022</v>
      </c>
      <c r="C1376" t="s">
        <v>6</v>
      </c>
      <c r="D1376" s="35">
        <v>14889542.24</v>
      </c>
      <c r="E1376" s="35">
        <v>291662</v>
      </c>
      <c r="F1376" s="35">
        <v>9238088.7699999996</v>
      </c>
    </row>
    <row r="1377" spans="1:6" x14ac:dyDescent="0.3">
      <c r="A1377" t="s">
        <v>42</v>
      </c>
      <c r="B1377">
        <v>2022</v>
      </c>
      <c r="C1377" t="s">
        <v>15</v>
      </c>
      <c r="D1377" s="35">
        <v>2479902.79</v>
      </c>
      <c r="E1377" s="35">
        <v>131333</v>
      </c>
      <c r="F1377" s="35">
        <v>712804.16</v>
      </c>
    </row>
    <row r="1378" spans="1:6" x14ac:dyDescent="0.3">
      <c r="A1378" t="s">
        <v>42</v>
      </c>
      <c r="B1378">
        <v>2022</v>
      </c>
      <c r="C1378" t="s">
        <v>18</v>
      </c>
      <c r="D1378" s="35">
        <v>1264532.6200000001</v>
      </c>
      <c r="E1378" s="35">
        <v>30609</v>
      </c>
      <c r="F1378" s="35">
        <v>766412.76</v>
      </c>
    </row>
    <row r="1379" spans="1:6" x14ac:dyDescent="0.3">
      <c r="A1379" t="s">
        <v>42</v>
      </c>
      <c r="B1379">
        <v>2023</v>
      </c>
      <c r="C1379" t="s">
        <v>10</v>
      </c>
      <c r="D1379" s="35">
        <v>17877049.870000001</v>
      </c>
      <c r="E1379" s="35">
        <v>453741</v>
      </c>
      <c r="F1379" s="35">
        <v>12767765.720000001</v>
      </c>
    </row>
    <row r="1380" spans="1:6" x14ac:dyDescent="0.3">
      <c r="A1380" t="s">
        <v>42</v>
      </c>
      <c r="B1380">
        <v>2023</v>
      </c>
      <c r="C1380" t="s">
        <v>4</v>
      </c>
      <c r="D1380" s="35">
        <v>53598776.57</v>
      </c>
      <c r="E1380" s="35">
        <v>163801</v>
      </c>
      <c r="F1380" s="35">
        <v>53089904.289999992</v>
      </c>
    </row>
    <row r="1381" spans="1:6" x14ac:dyDescent="0.3">
      <c r="A1381" t="s">
        <v>42</v>
      </c>
      <c r="B1381">
        <v>2023</v>
      </c>
      <c r="C1381" t="s">
        <v>13</v>
      </c>
      <c r="D1381" s="35">
        <v>9176676.040000001</v>
      </c>
      <c r="E1381" s="35">
        <v>163105</v>
      </c>
      <c r="F1381" s="35">
        <v>6283967.7699999996</v>
      </c>
    </row>
    <row r="1382" spans="1:6" x14ac:dyDescent="0.3">
      <c r="A1382" t="s">
        <v>42</v>
      </c>
      <c r="B1382">
        <v>2023</v>
      </c>
      <c r="C1382" t="s">
        <v>16</v>
      </c>
      <c r="D1382" s="35">
        <v>3660979.560000001</v>
      </c>
      <c r="E1382" s="35">
        <v>19128</v>
      </c>
      <c r="F1382" s="35">
        <v>3271992.3</v>
      </c>
    </row>
    <row r="1383" spans="1:6" x14ac:dyDescent="0.3">
      <c r="A1383" t="s">
        <v>42</v>
      </c>
      <c r="B1383">
        <v>2023</v>
      </c>
      <c r="C1383" t="s">
        <v>14</v>
      </c>
      <c r="D1383" s="35">
        <v>4645256.74</v>
      </c>
      <c r="E1383" s="35">
        <v>158660</v>
      </c>
      <c r="F1383" s="35">
        <v>3457330.05</v>
      </c>
    </row>
    <row r="1384" spans="1:6" x14ac:dyDescent="0.3">
      <c r="A1384" t="s">
        <v>42</v>
      </c>
      <c r="B1384">
        <v>2023</v>
      </c>
      <c r="C1384" t="s">
        <v>7</v>
      </c>
      <c r="D1384" s="35">
        <v>17473110.809999999</v>
      </c>
      <c r="E1384" s="35">
        <v>7643</v>
      </c>
      <c r="F1384" s="35">
        <v>16884779.149999999</v>
      </c>
    </row>
    <row r="1385" spans="1:6" x14ac:dyDescent="0.3">
      <c r="A1385" t="s">
        <v>42</v>
      </c>
      <c r="B1385">
        <v>2023</v>
      </c>
      <c r="C1385" t="s">
        <v>11</v>
      </c>
      <c r="D1385" s="35">
        <v>2892825.59</v>
      </c>
      <c r="E1385" s="35">
        <v>151652</v>
      </c>
      <c r="F1385" s="35">
        <v>2573111.7999999998</v>
      </c>
    </row>
    <row r="1386" spans="1:6" x14ac:dyDescent="0.3">
      <c r="A1386" t="s">
        <v>42</v>
      </c>
      <c r="B1386">
        <v>2023</v>
      </c>
      <c r="C1386" t="s">
        <v>3</v>
      </c>
      <c r="D1386" s="35">
        <v>59146982.439999998</v>
      </c>
      <c r="E1386" s="35">
        <v>133189</v>
      </c>
      <c r="F1386" s="35">
        <v>56184511.840000004</v>
      </c>
    </row>
    <row r="1387" spans="1:6" x14ac:dyDescent="0.3">
      <c r="A1387" t="s">
        <v>42</v>
      </c>
      <c r="B1387">
        <v>2023</v>
      </c>
      <c r="C1387" t="s">
        <v>12</v>
      </c>
      <c r="D1387" s="35">
        <v>10648950.9</v>
      </c>
      <c r="E1387" s="35">
        <v>292389</v>
      </c>
      <c r="F1387" s="35">
        <v>3917916.9300000011</v>
      </c>
    </row>
    <row r="1388" spans="1:6" x14ac:dyDescent="0.3">
      <c r="A1388" t="s">
        <v>42</v>
      </c>
      <c r="B1388">
        <v>2023</v>
      </c>
      <c r="C1388" t="s">
        <v>2</v>
      </c>
      <c r="D1388" s="35">
        <v>46731356.670000002</v>
      </c>
      <c r="E1388" s="35">
        <v>391031</v>
      </c>
      <c r="F1388" s="35">
        <v>38752928.780000001</v>
      </c>
    </row>
    <row r="1389" spans="1:6" x14ac:dyDescent="0.3">
      <c r="A1389" t="s">
        <v>42</v>
      </c>
      <c r="B1389">
        <v>2023</v>
      </c>
      <c r="C1389" t="s">
        <v>5</v>
      </c>
      <c r="D1389" s="35">
        <v>21383225.469999999</v>
      </c>
      <c r="E1389" s="35">
        <v>15331</v>
      </c>
      <c r="F1389" s="35">
        <v>19949022.100000001</v>
      </c>
    </row>
    <row r="1390" spans="1:6" x14ac:dyDescent="0.3">
      <c r="A1390" t="s">
        <v>42</v>
      </c>
      <c r="B1390">
        <v>2023</v>
      </c>
      <c r="C1390" t="s">
        <v>17</v>
      </c>
      <c r="D1390" s="35">
        <v>708443.29000000015</v>
      </c>
      <c r="E1390" s="35">
        <v>39682</v>
      </c>
      <c r="F1390" s="35">
        <v>297663.31999999989</v>
      </c>
    </row>
    <row r="1391" spans="1:6" x14ac:dyDescent="0.3">
      <c r="A1391" t="s">
        <v>42</v>
      </c>
      <c r="B1391">
        <v>2023</v>
      </c>
      <c r="C1391" t="s">
        <v>9</v>
      </c>
      <c r="D1391" s="35">
        <v>4093310.99</v>
      </c>
      <c r="E1391" s="35">
        <v>319104</v>
      </c>
      <c r="F1391" s="35">
        <v>975716.37</v>
      </c>
    </row>
    <row r="1392" spans="1:6" x14ac:dyDescent="0.3">
      <c r="A1392" t="s">
        <v>42</v>
      </c>
      <c r="B1392">
        <v>2023</v>
      </c>
      <c r="C1392" t="s">
        <v>8</v>
      </c>
      <c r="D1392" s="35">
        <v>8756318.1099999994</v>
      </c>
      <c r="E1392" s="35">
        <v>458</v>
      </c>
      <c r="F1392" s="35">
        <v>8756318.1099999994</v>
      </c>
    </row>
    <row r="1393" spans="1:6" x14ac:dyDescent="0.3">
      <c r="A1393" t="s">
        <v>42</v>
      </c>
      <c r="B1393">
        <v>2023</v>
      </c>
      <c r="C1393" t="s">
        <v>6</v>
      </c>
      <c r="D1393" s="35">
        <v>16765234.550000001</v>
      </c>
      <c r="E1393" s="35">
        <v>349646</v>
      </c>
      <c r="F1393" s="35">
        <v>10887922.92</v>
      </c>
    </row>
    <row r="1394" spans="1:6" x14ac:dyDescent="0.3">
      <c r="A1394" t="s">
        <v>42</v>
      </c>
      <c r="B1394">
        <v>2023</v>
      </c>
      <c r="C1394" t="s">
        <v>15</v>
      </c>
      <c r="D1394" s="35">
        <v>2613716.14</v>
      </c>
      <c r="E1394" s="35">
        <v>124159</v>
      </c>
      <c r="F1394" s="35">
        <v>1040231.56</v>
      </c>
    </row>
    <row r="1395" spans="1:6" x14ac:dyDescent="0.3">
      <c r="A1395" t="s">
        <v>42</v>
      </c>
      <c r="B1395">
        <v>2023</v>
      </c>
      <c r="C1395" t="s">
        <v>18</v>
      </c>
      <c r="D1395" s="35">
        <v>1413336.96</v>
      </c>
      <c r="E1395" s="35">
        <v>34604</v>
      </c>
      <c r="F1395" s="35">
        <v>865929.2699999999</v>
      </c>
    </row>
    <row r="1396" spans="1:6" x14ac:dyDescent="0.3">
      <c r="A1396" t="s">
        <v>42</v>
      </c>
      <c r="B1396">
        <v>2024</v>
      </c>
      <c r="C1396" t="s">
        <v>10</v>
      </c>
      <c r="D1396" s="35">
        <v>18712883.25</v>
      </c>
      <c r="E1396" s="35">
        <v>438587</v>
      </c>
      <c r="F1396" s="35">
        <v>14660680.359999999</v>
      </c>
    </row>
    <row r="1397" spans="1:6" x14ac:dyDescent="0.3">
      <c r="A1397" t="s">
        <v>42</v>
      </c>
      <c r="B1397">
        <v>2024</v>
      </c>
      <c r="C1397" t="s">
        <v>4</v>
      </c>
      <c r="D1397" s="35">
        <v>58522923.559999987</v>
      </c>
      <c r="E1397" s="35">
        <v>175356</v>
      </c>
      <c r="F1397" s="35">
        <v>58069376.950000003</v>
      </c>
    </row>
    <row r="1398" spans="1:6" x14ac:dyDescent="0.3">
      <c r="A1398" t="s">
        <v>42</v>
      </c>
      <c r="B1398">
        <v>2024</v>
      </c>
      <c r="C1398" t="s">
        <v>13</v>
      </c>
      <c r="D1398" s="35">
        <v>9165328.870000001</v>
      </c>
      <c r="E1398" s="35">
        <v>151525</v>
      </c>
      <c r="F1398" s="35">
        <v>6548184.8199999984</v>
      </c>
    </row>
    <row r="1399" spans="1:6" x14ac:dyDescent="0.3">
      <c r="A1399" t="s">
        <v>42</v>
      </c>
      <c r="B1399">
        <v>2024</v>
      </c>
      <c r="C1399" t="s">
        <v>16</v>
      </c>
      <c r="D1399" s="35">
        <v>3877593.15</v>
      </c>
      <c r="E1399" s="35">
        <v>19106</v>
      </c>
      <c r="F1399" s="35">
        <v>3497422.87</v>
      </c>
    </row>
    <row r="1400" spans="1:6" x14ac:dyDescent="0.3">
      <c r="A1400" t="s">
        <v>42</v>
      </c>
      <c r="B1400">
        <v>2024</v>
      </c>
      <c r="C1400" t="s">
        <v>14</v>
      </c>
      <c r="D1400" s="35">
        <v>4380091.5000000009</v>
      </c>
      <c r="E1400" s="35">
        <v>158298</v>
      </c>
      <c r="F1400" s="35">
        <v>3291971.3900000011</v>
      </c>
    </row>
    <row r="1401" spans="1:6" x14ac:dyDescent="0.3">
      <c r="A1401" t="s">
        <v>42</v>
      </c>
      <c r="B1401">
        <v>2024</v>
      </c>
      <c r="C1401" t="s">
        <v>7</v>
      </c>
      <c r="D1401" s="35">
        <v>17703235.59</v>
      </c>
      <c r="E1401" s="35">
        <v>7214</v>
      </c>
      <c r="F1401" s="35">
        <v>17262610.82</v>
      </c>
    </row>
    <row r="1402" spans="1:6" x14ac:dyDescent="0.3">
      <c r="A1402" t="s">
        <v>42</v>
      </c>
      <c r="B1402">
        <v>2024</v>
      </c>
      <c r="C1402" t="s">
        <v>11</v>
      </c>
      <c r="D1402" s="35">
        <v>3368280.169999999</v>
      </c>
      <c r="E1402" s="35">
        <v>151166</v>
      </c>
      <c r="F1402" s="35">
        <v>3147730.27</v>
      </c>
    </row>
    <row r="1403" spans="1:6" x14ac:dyDescent="0.3">
      <c r="A1403" t="s">
        <v>42</v>
      </c>
      <c r="B1403">
        <v>2024</v>
      </c>
      <c r="C1403" t="s">
        <v>3</v>
      </c>
      <c r="D1403" s="35">
        <v>57547573.840000004</v>
      </c>
      <c r="E1403" s="35">
        <v>138456</v>
      </c>
      <c r="F1403" s="35">
        <v>55743755.650000013</v>
      </c>
    </row>
    <row r="1404" spans="1:6" x14ac:dyDescent="0.3">
      <c r="A1404" t="s">
        <v>42</v>
      </c>
      <c r="B1404">
        <v>2024</v>
      </c>
      <c r="C1404" t="s">
        <v>12</v>
      </c>
      <c r="D1404" s="35">
        <v>10383061.52</v>
      </c>
      <c r="E1404" s="35">
        <v>307182</v>
      </c>
      <c r="F1404" s="35">
        <v>3919815.62</v>
      </c>
    </row>
    <row r="1405" spans="1:6" x14ac:dyDescent="0.3">
      <c r="A1405" t="s">
        <v>42</v>
      </c>
      <c r="B1405">
        <v>2024</v>
      </c>
      <c r="C1405" t="s">
        <v>2</v>
      </c>
      <c r="D1405" s="35">
        <v>46825707.580000013</v>
      </c>
      <c r="E1405" s="35">
        <v>389295</v>
      </c>
      <c r="F1405" s="35">
        <v>40122899.649999999</v>
      </c>
    </row>
    <row r="1406" spans="1:6" x14ac:dyDescent="0.3">
      <c r="A1406" t="s">
        <v>42</v>
      </c>
      <c r="B1406">
        <v>2024</v>
      </c>
      <c r="C1406" t="s">
        <v>5</v>
      </c>
      <c r="D1406" s="35">
        <v>28410730.949999992</v>
      </c>
      <c r="E1406" s="35">
        <v>16768</v>
      </c>
      <c r="F1406" s="35">
        <v>27238291.559999999</v>
      </c>
    </row>
    <row r="1407" spans="1:6" x14ac:dyDescent="0.3">
      <c r="A1407" t="s">
        <v>42</v>
      </c>
      <c r="B1407">
        <v>2024</v>
      </c>
      <c r="C1407" t="s">
        <v>17</v>
      </c>
      <c r="D1407" s="35">
        <v>639193.48000000021</v>
      </c>
      <c r="E1407" s="35">
        <v>29409</v>
      </c>
      <c r="F1407" s="35">
        <v>382352.26</v>
      </c>
    </row>
    <row r="1408" spans="1:6" x14ac:dyDescent="0.3">
      <c r="A1408" t="s">
        <v>42</v>
      </c>
      <c r="B1408">
        <v>2024</v>
      </c>
      <c r="C1408" t="s">
        <v>9</v>
      </c>
      <c r="D1408" s="35">
        <v>4414923.9700000007</v>
      </c>
      <c r="E1408" s="35">
        <v>328565</v>
      </c>
      <c r="F1408" s="35">
        <v>1606609.3</v>
      </c>
    </row>
    <row r="1409" spans="1:6" x14ac:dyDescent="0.3">
      <c r="A1409" t="s">
        <v>42</v>
      </c>
      <c r="B1409">
        <v>2024</v>
      </c>
      <c r="C1409" t="s">
        <v>8</v>
      </c>
      <c r="D1409" s="35">
        <v>7056126.7000000011</v>
      </c>
      <c r="E1409" s="35">
        <v>353</v>
      </c>
      <c r="F1409" s="35">
        <v>7056126.7000000011</v>
      </c>
    </row>
    <row r="1410" spans="1:6" x14ac:dyDescent="0.3">
      <c r="A1410" t="s">
        <v>42</v>
      </c>
      <c r="B1410">
        <v>2024</v>
      </c>
      <c r="C1410" t="s">
        <v>6</v>
      </c>
      <c r="D1410" s="35">
        <v>15774583.9</v>
      </c>
      <c r="E1410" s="35">
        <v>359923</v>
      </c>
      <c r="F1410" s="35">
        <v>9962589.910000002</v>
      </c>
    </row>
    <row r="1411" spans="1:6" x14ac:dyDescent="0.3">
      <c r="A1411" t="s">
        <v>42</v>
      </c>
      <c r="B1411">
        <v>2024</v>
      </c>
      <c r="C1411" t="s">
        <v>15</v>
      </c>
      <c r="D1411" s="35">
        <v>2892404.69</v>
      </c>
      <c r="E1411" s="35">
        <v>105699</v>
      </c>
      <c r="F1411" s="35">
        <v>1738736.76</v>
      </c>
    </row>
    <row r="1412" spans="1:6" x14ac:dyDescent="0.3">
      <c r="A1412" t="s">
        <v>42</v>
      </c>
      <c r="B1412">
        <v>2024</v>
      </c>
      <c r="C1412" t="s">
        <v>18</v>
      </c>
      <c r="D1412" s="35">
        <v>1582406.18</v>
      </c>
      <c r="E1412" s="35">
        <v>30295</v>
      </c>
      <c r="F1412" s="35">
        <v>1015177.66</v>
      </c>
    </row>
    <row r="1413" spans="1:6" x14ac:dyDescent="0.3">
      <c r="A1413" t="s">
        <v>42</v>
      </c>
      <c r="B1413">
        <v>2025</v>
      </c>
      <c r="C1413" t="s">
        <v>10</v>
      </c>
      <c r="D1413" s="35">
        <v>15332184.76</v>
      </c>
      <c r="E1413" s="35">
        <v>258924</v>
      </c>
      <c r="F1413" s="35">
        <v>12119474.460000001</v>
      </c>
    </row>
    <row r="1414" spans="1:6" x14ac:dyDescent="0.3">
      <c r="A1414" t="s">
        <v>42</v>
      </c>
      <c r="B1414">
        <v>2025</v>
      </c>
      <c r="C1414" t="s">
        <v>4</v>
      </c>
      <c r="D1414" s="35">
        <v>53233028.640000008</v>
      </c>
      <c r="E1414" s="35">
        <v>103894</v>
      </c>
      <c r="F1414" s="35">
        <v>52920109.289999999</v>
      </c>
    </row>
    <row r="1415" spans="1:6" x14ac:dyDescent="0.3">
      <c r="A1415" t="s">
        <v>42</v>
      </c>
      <c r="B1415">
        <v>2025</v>
      </c>
      <c r="C1415" t="s">
        <v>13</v>
      </c>
      <c r="D1415" s="35">
        <v>8410261.0600000024</v>
      </c>
      <c r="E1415" s="35">
        <v>102393</v>
      </c>
      <c r="F1415" s="35">
        <v>6541051.5500000007</v>
      </c>
    </row>
    <row r="1416" spans="1:6" x14ac:dyDescent="0.3">
      <c r="A1416" t="s">
        <v>42</v>
      </c>
      <c r="B1416">
        <v>2025</v>
      </c>
      <c r="C1416" t="s">
        <v>16</v>
      </c>
      <c r="D1416" s="35">
        <v>3284039.51</v>
      </c>
      <c r="E1416" s="35">
        <v>12511</v>
      </c>
      <c r="F1416" s="35">
        <v>2950087.17</v>
      </c>
    </row>
    <row r="1417" spans="1:6" x14ac:dyDescent="0.3">
      <c r="A1417" t="s">
        <v>42</v>
      </c>
      <c r="B1417">
        <v>2025</v>
      </c>
      <c r="C1417" t="s">
        <v>14</v>
      </c>
      <c r="D1417" s="35">
        <v>3927277.88</v>
      </c>
      <c r="E1417" s="35">
        <v>102423</v>
      </c>
      <c r="F1417" s="35">
        <v>3180064.77</v>
      </c>
    </row>
    <row r="1418" spans="1:6" x14ac:dyDescent="0.3">
      <c r="A1418" t="s">
        <v>42</v>
      </c>
      <c r="B1418">
        <v>2025</v>
      </c>
      <c r="C1418" t="s">
        <v>7</v>
      </c>
      <c r="D1418" s="35">
        <v>18162409.300000001</v>
      </c>
      <c r="E1418" s="35">
        <v>5500</v>
      </c>
      <c r="F1418" s="35">
        <v>17694701.449999999</v>
      </c>
    </row>
    <row r="1419" spans="1:6" x14ac:dyDescent="0.3">
      <c r="A1419" t="s">
        <v>42</v>
      </c>
      <c r="B1419">
        <v>2025</v>
      </c>
      <c r="C1419" t="s">
        <v>11</v>
      </c>
      <c r="D1419" s="35">
        <v>3540916.870000001</v>
      </c>
      <c r="E1419" s="35">
        <v>94380</v>
      </c>
      <c r="F1419" s="35">
        <v>3404661.56</v>
      </c>
    </row>
    <row r="1420" spans="1:6" x14ac:dyDescent="0.3">
      <c r="A1420" t="s">
        <v>42</v>
      </c>
      <c r="B1420">
        <v>2025</v>
      </c>
      <c r="C1420" t="s">
        <v>3</v>
      </c>
      <c r="D1420" s="35">
        <v>55737901.780000009</v>
      </c>
      <c r="E1420" s="35">
        <v>88948</v>
      </c>
      <c r="F1420" s="35">
        <v>54529143.260000013</v>
      </c>
    </row>
    <row r="1421" spans="1:6" x14ac:dyDescent="0.3">
      <c r="A1421" t="s">
        <v>42</v>
      </c>
      <c r="B1421">
        <v>2025</v>
      </c>
      <c r="C1421" t="s">
        <v>12</v>
      </c>
      <c r="D1421" s="35">
        <v>8221946.8599999975</v>
      </c>
      <c r="E1421" s="35">
        <v>215418</v>
      </c>
      <c r="F1421" s="35">
        <v>2795874.02</v>
      </c>
    </row>
    <row r="1422" spans="1:6" x14ac:dyDescent="0.3">
      <c r="A1422" t="s">
        <v>42</v>
      </c>
      <c r="B1422">
        <v>2025</v>
      </c>
      <c r="C1422" t="s">
        <v>2</v>
      </c>
      <c r="D1422" s="35">
        <v>42158990.11999999</v>
      </c>
      <c r="E1422" s="35">
        <v>259834</v>
      </c>
      <c r="F1422" s="35">
        <v>37971897.979999997</v>
      </c>
    </row>
    <row r="1423" spans="1:6" x14ac:dyDescent="0.3">
      <c r="A1423" t="s">
        <v>42</v>
      </c>
      <c r="B1423">
        <v>2025</v>
      </c>
      <c r="C1423" t="s">
        <v>5</v>
      </c>
      <c r="D1423" s="35">
        <v>21098850.239999998</v>
      </c>
      <c r="E1423" s="35">
        <v>10768</v>
      </c>
      <c r="F1423" s="35">
        <v>20608462.780000001</v>
      </c>
    </row>
    <row r="1424" spans="1:6" x14ac:dyDescent="0.3">
      <c r="A1424" t="s">
        <v>42</v>
      </c>
      <c r="B1424">
        <v>2025</v>
      </c>
      <c r="C1424" t="s">
        <v>17</v>
      </c>
      <c r="D1424" s="35">
        <v>743256.21999999986</v>
      </c>
      <c r="E1424" s="35">
        <v>22012</v>
      </c>
      <c r="F1424" s="35">
        <v>420190.67</v>
      </c>
    </row>
    <row r="1425" spans="1:6" x14ac:dyDescent="0.3">
      <c r="A1425" t="s">
        <v>42</v>
      </c>
      <c r="B1425">
        <v>2025</v>
      </c>
      <c r="C1425" t="s">
        <v>9</v>
      </c>
      <c r="D1425" s="35">
        <v>4584557.01</v>
      </c>
      <c r="E1425" s="35">
        <v>212542</v>
      </c>
      <c r="F1425" s="35">
        <v>2289169.66</v>
      </c>
    </row>
    <row r="1426" spans="1:6" x14ac:dyDescent="0.3">
      <c r="A1426" t="s">
        <v>42</v>
      </c>
      <c r="B1426">
        <v>2025</v>
      </c>
      <c r="C1426" t="s">
        <v>8</v>
      </c>
      <c r="D1426" s="35">
        <v>7067219.7599999998</v>
      </c>
      <c r="E1426" s="35">
        <v>242</v>
      </c>
      <c r="F1426" s="35">
        <v>7067219.7599999998</v>
      </c>
    </row>
    <row r="1427" spans="1:6" x14ac:dyDescent="0.3">
      <c r="A1427" t="s">
        <v>42</v>
      </c>
      <c r="B1427">
        <v>2025</v>
      </c>
      <c r="C1427" t="s">
        <v>6</v>
      </c>
      <c r="D1427" s="35">
        <v>14265725.82</v>
      </c>
      <c r="E1427" s="35">
        <v>242779</v>
      </c>
      <c r="F1427" s="35">
        <v>9788368.1199999992</v>
      </c>
    </row>
    <row r="1428" spans="1:6" x14ac:dyDescent="0.3">
      <c r="A1428" t="s">
        <v>42</v>
      </c>
      <c r="B1428">
        <v>2025</v>
      </c>
      <c r="C1428" t="s">
        <v>15</v>
      </c>
      <c r="D1428" s="35">
        <v>3153265.2</v>
      </c>
      <c r="E1428" s="35">
        <v>57802</v>
      </c>
      <c r="F1428" s="35">
        <v>2358980.6800000002</v>
      </c>
    </row>
    <row r="1429" spans="1:6" x14ac:dyDescent="0.3">
      <c r="A1429" t="s">
        <v>42</v>
      </c>
      <c r="B1429">
        <v>2025</v>
      </c>
      <c r="C1429" t="s">
        <v>18</v>
      </c>
      <c r="D1429" s="35">
        <v>1354665.68</v>
      </c>
      <c r="E1429" s="35">
        <v>21102</v>
      </c>
      <c r="F1429" s="35">
        <v>909543.53000000014</v>
      </c>
    </row>
    <row r="1430" spans="1:6" x14ac:dyDescent="0.3">
      <c r="A1430" t="s">
        <v>43</v>
      </c>
      <c r="B1430">
        <v>2019</v>
      </c>
      <c r="C1430" t="s">
        <v>10</v>
      </c>
      <c r="D1430" s="35">
        <v>12433339.74</v>
      </c>
      <c r="E1430" s="35">
        <v>744597</v>
      </c>
      <c r="F1430" s="35">
        <v>8956460.4199999999</v>
      </c>
    </row>
    <row r="1431" spans="1:6" x14ac:dyDescent="0.3">
      <c r="A1431" t="s">
        <v>43</v>
      </c>
      <c r="B1431">
        <v>2019</v>
      </c>
      <c r="C1431" t="s">
        <v>4</v>
      </c>
      <c r="D1431" s="35">
        <v>58710309.99000001</v>
      </c>
      <c r="E1431" s="35">
        <v>222503</v>
      </c>
      <c r="F1431" s="35">
        <v>58332448.170000002</v>
      </c>
    </row>
    <row r="1432" spans="1:6" x14ac:dyDescent="0.3">
      <c r="A1432" t="s">
        <v>43</v>
      </c>
      <c r="B1432">
        <v>2019</v>
      </c>
      <c r="C1432" t="s">
        <v>13</v>
      </c>
      <c r="D1432" s="35">
        <v>17986149.120000001</v>
      </c>
      <c r="E1432" s="35">
        <v>211786</v>
      </c>
      <c r="F1432" s="35">
        <v>14651624.74</v>
      </c>
    </row>
    <row r="1433" spans="1:6" x14ac:dyDescent="0.3">
      <c r="A1433" t="s">
        <v>43</v>
      </c>
      <c r="B1433">
        <v>2019</v>
      </c>
      <c r="C1433" t="s">
        <v>16</v>
      </c>
      <c r="D1433" s="35">
        <v>5092903.580000001</v>
      </c>
      <c r="E1433" s="35">
        <v>14710</v>
      </c>
      <c r="F1433" s="35">
        <v>4911168.57</v>
      </c>
    </row>
    <row r="1434" spans="1:6" x14ac:dyDescent="0.3">
      <c r="A1434" t="s">
        <v>43</v>
      </c>
      <c r="B1434">
        <v>2019</v>
      </c>
      <c r="C1434" t="s">
        <v>14</v>
      </c>
      <c r="D1434" s="35">
        <v>19789021.530000001</v>
      </c>
      <c r="E1434" s="35">
        <v>354916</v>
      </c>
      <c r="F1434" s="35">
        <v>7862073.2599999988</v>
      </c>
    </row>
    <row r="1435" spans="1:6" x14ac:dyDescent="0.3">
      <c r="A1435" t="s">
        <v>43</v>
      </c>
      <c r="B1435">
        <v>2019</v>
      </c>
      <c r="C1435" t="s">
        <v>7</v>
      </c>
      <c r="D1435" s="35">
        <v>10138082.949999999</v>
      </c>
      <c r="E1435" s="35">
        <v>4772</v>
      </c>
      <c r="F1435" s="35">
        <v>10131280.08</v>
      </c>
    </row>
    <row r="1436" spans="1:6" x14ac:dyDescent="0.3">
      <c r="A1436" t="s">
        <v>43</v>
      </c>
      <c r="B1436">
        <v>2019</v>
      </c>
      <c r="C1436" t="s">
        <v>11</v>
      </c>
      <c r="D1436" s="35">
        <v>19469050.809999999</v>
      </c>
      <c r="E1436" s="35">
        <v>29313</v>
      </c>
      <c r="F1436" s="35">
        <v>16584612.460000001</v>
      </c>
    </row>
    <row r="1437" spans="1:6" x14ac:dyDescent="0.3">
      <c r="A1437" t="s">
        <v>43</v>
      </c>
      <c r="B1437">
        <v>2019</v>
      </c>
      <c r="C1437" t="s">
        <v>3</v>
      </c>
      <c r="D1437" s="35">
        <v>39056726.669999987</v>
      </c>
      <c r="E1437" s="35">
        <v>217722</v>
      </c>
      <c r="F1437" s="35">
        <v>32370435</v>
      </c>
    </row>
    <row r="1438" spans="1:6" x14ac:dyDescent="0.3">
      <c r="A1438" t="s">
        <v>43</v>
      </c>
      <c r="B1438">
        <v>2019</v>
      </c>
      <c r="C1438" t="s">
        <v>12</v>
      </c>
      <c r="D1438" s="35">
        <v>24968716.25</v>
      </c>
      <c r="E1438" s="35">
        <v>579391</v>
      </c>
      <c r="F1438" s="35">
        <v>14485207.869999999</v>
      </c>
    </row>
    <row r="1439" spans="1:6" x14ac:dyDescent="0.3">
      <c r="A1439" t="s">
        <v>43</v>
      </c>
      <c r="B1439">
        <v>2019</v>
      </c>
      <c r="C1439" t="s">
        <v>2</v>
      </c>
      <c r="D1439" s="35">
        <v>141588399.68000001</v>
      </c>
      <c r="E1439" s="35">
        <v>1889832</v>
      </c>
      <c r="F1439" s="35">
        <v>118756527.31999999</v>
      </c>
    </row>
    <row r="1440" spans="1:6" x14ac:dyDescent="0.3">
      <c r="A1440" t="s">
        <v>43</v>
      </c>
      <c r="B1440">
        <v>2019</v>
      </c>
      <c r="C1440" t="s">
        <v>5</v>
      </c>
      <c r="D1440" s="35">
        <v>21646665.77</v>
      </c>
      <c r="E1440" s="35">
        <v>17415</v>
      </c>
      <c r="F1440" s="35">
        <v>20400478.93</v>
      </c>
    </row>
    <row r="1441" spans="1:6" x14ac:dyDescent="0.3">
      <c r="A1441" t="s">
        <v>43</v>
      </c>
      <c r="B1441">
        <v>2019</v>
      </c>
      <c r="C1441" t="s">
        <v>17</v>
      </c>
      <c r="D1441" s="35">
        <v>10162454.609999999</v>
      </c>
      <c r="E1441" s="35">
        <v>87173</v>
      </c>
      <c r="F1441" s="35">
        <v>1281942.0900000001</v>
      </c>
    </row>
    <row r="1442" spans="1:6" x14ac:dyDescent="0.3">
      <c r="A1442" t="s">
        <v>43</v>
      </c>
      <c r="B1442">
        <v>2019</v>
      </c>
      <c r="C1442" t="s">
        <v>9</v>
      </c>
      <c r="D1442" s="35">
        <v>35278410.389999993</v>
      </c>
      <c r="E1442" s="35">
        <v>620263</v>
      </c>
      <c r="F1442" s="35">
        <v>16249770.99</v>
      </c>
    </row>
    <row r="1443" spans="1:6" x14ac:dyDescent="0.3">
      <c r="A1443" t="s">
        <v>43</v>
      </c>
      <c r="B1443">
        <v>2019</v>
      </c>
      <c r="C1443" t="s">
        <v>8</v>
      </c>
      <c r="D1443" s="35">
        <v>10023458.4</v>
      </c>
      <c r="E1443" s="35">
        <v>1245</v>
      </c>
      <c r="F1443" s="35">
        <v>10023458.4</v>
      </c>
    </row>
    <row r="1444" spans="1:6" x14ac:dyDescent="0.3">
      <c r="A1444" t="s">
        <v>43</v>
      </c>
      <c r="B1444">
        <v>2019</v>
      </c>
      <c r="C1444" t="s">
        <v>6</v>
      </c>
      <c r="D1444" s="35">
        <v>46962086.369999997</v>
      </c>
      <c r="E1444" s="35">
        <v>710279</v>
      </c>
      <c r="F1444" s="35">
        <v>42935574.769999988</v>
      </c>
    </row>
    <row r="1445" spans="1:6" x14ac:dyDescent="0.3">
      <c r="A1445" t="s">
        <v>43</v>
      </c>
      <c r="B1445">
        <v>2019</v>
      </c>
      <c r="C1445" t="s">
        <v>15</v>
      </c>
      <c r="D1445" s="35">
        <v>12135981.699999999</v>
      </c>
      <c r="E1445" s="35">
        <v>330599</v>
      </c>
      <c r="F1445" s="35">
        <v>8450518.2800000012</v>
      </c>
    </row>
    <row r="1446" spans="1:6" x14ac:dyDescent="0.3">
      <c r="A1446" t="s">
        <v>43</v>
      </c>
      <c r="B1446">
        <v>2019</v>
      </c>
      <c r="C1446" t="s">
        <v>18</v>
      </c>
      <c r="D1446" s="35">
        <v>10078377.699999999</v>
      </c>
      <c r="E1446" s="35">
        <v>28347</v>
      </c>
      <c r="F1446" s="35">
        <v>8375690.0100000007</v>
      </c>
    </row>
    <row r="1447" spans="1:6" x14ac:dyDescent="0.3">
      <c r="A1447" t="s">
        <v>43</v>
      </c>
      <c r="B1447">
        <v>2020</v>
      </c>
      <c r="C1447" t="s">
        <v>10</v>
      </c>
      <c r="D1447" s="35">
        <v>18934900</v>
      </c>
      <c r="E1447" s="35">
        <v>941265</v>
      </c>
      <c r="F1447" s="35">
        <v>14401214.99</v>
      </c>
    </row>
    <row r="1448" spans="1:6" x14ac:dyDescent="0.3">
      <c r="A1448" t="s">
        <v>43</v>
      </c>
      <c r="B1448">
        <v>2020</v>
      </c>
      <c r="C1448" t="s">
        <v>4</v>
      </c>
      <c r="D1448" s="35">
        <v>77107478.849999994</v>
      </c>
      <c r="E1448" s="35">
        <v>265411</v>
      </c>
      <c r="F1448" s="35">
        <v>76645809.200000018</v>
      </c>
    </row>
    <row r="1449" spans="1:6" x14ac:dyDescent="0.3">
      <c r="A1449" t="s">
        <v>43</v>
      </c>
      <c r="B1449">
        <v>2020</v>
      </c>
      <c r="C1449" t="s">
        <v>13</v>
      </c>
      <c r="D1449" s="35">
        <v>19363609.600000009</v>
      </c>
      <c r="E1449" s="35">
        <v>256746</v>
      </c>
      <c r="F1449" s="35">
        <v>15734900.98</v>
      </c>
    </row>
    <row r="1450" spans="1:6" x14ac:dyDescent="0.3">
      <c r="A1450" t="s">
        <v>43</v>
      </c>
      <c r="B1450">
        <v>2020</v>
      </c>
      <c r="C1450" t="s">
        <v>16</v>
      </c>
      <c r="D1450" s="35">
        <v>5184257.08</v>
      </c>
      <c r="E1450" s="35">
        <v>18238</v>
      </c>
      <c r="F1450" s="35">
        <v>4902954.4899999993</v>
      </c>
    </row>
    <row r="1451" spans="1:6" x14ac:dyDescent="0.3">
      <c r="A1451" t="s">
        <v>43</v>
      </c>
      <c r="B1451">
        <v>2020</v>
      </c>
      <c r="C1451" t="s">
        <v>14</v>
      </c>
      <c r="D1451" s="35">
        <v>23579386.960000001</v>
      </c>
      <c r="E1451" s="35">
        <v>427025</v>
      </c>
      <c r="F1451" s="35">
        <v>11179894.529999999</v>
      </c>
    </row>
    <row r="1452" spans="1:6" x14ac:dyDescent="0.3">
      <c r="A1452" t="s">
        <v>43</v>
      </c>
      <c r="B1452">
        <v>2020</v>
      </c>
      <c r="C1452" t="s">
        <v>7</v>
      </c>
      <c r="D1452" s="35">
        <v>18291594.809999999</v>
      </c>
      <c r="E1452" s="35">
        <v>8057</v>
      </c>
      <c r="F1452" s="35">
        <v>18225789.969999999</v>
      </c>
    </row>
    <row r="1453" spans="1:6" x14ac:dyDescent="0.3">
      <c r="A1453" t="s">
        <v>43</v>
      </c>
      <c r="B1453">
        <v>2020</v>
      </c>
      <c r="C1453" t="s">
        <v>11</v>
      </c>
      <c r="D1453" s="35">
        <v>15245554.68</v>
      </c>
      <c r="E1453" s="35">
        <v>35739</v>
      </c>
      <c r="F1453" s="35">
        <v>12549707.24</v>
      </c>
    </row>
    <row r="1454" spans="1:6" x14ac:dyDescent="0.3">
      <c r="A1454" t="s">
        <v>43</v>
      </c>
      <c r="B1454">
        <v>2020</v>
      </c>
      <c r="C1454" t="s">
        <v>3</v>
      </c>
      <c r="D1454" s="35">
        <v>66921161.109999999</v>
      </c>
      <c r="E1454" s="35">
        <v>206520</v>
      </c>
      <c r="F1454" s="35">
        <v>59907070.369999997</v>
      </c>
    </row>
    <row r="1455" spans="1:6" x14ac:dyDescent="0.3">
      <c r="A1455" t="s">
        <v>43</v>
      </c>
      <c r="B1455">
        <v>2020</v>
      </c>
      <c r="C1455" t="s">
        <v>12</v>
      </c>
      <c r="D1455" s="35">
        <v>24355727.620000001</v>
      </c>
      <c r="E1455" s="35">
        <v>509875</v>
      </c>
      <c r="F1455" s="35">
        <v>15770453.09</v>
      </c>
    </row>
    <row r="1456" spans="1:6" x14ac:dyDescent="0.3">
      <c r="A1456" t="s">
        <v>43</v>
      </c>
      <c r="B1456">
        <v>2020</v>
      </c>
      <c r="C1456" t="s">
        <v>2</v>
      </c>
      <c r="D1456" s="35">
        <v>158039545.66000009</v>
      </c>
      <c r="E1456" s="35">
        <v>2214670</v>
      </c>
      <c r="F1456" s="35">
        <v>131681198.48999999</v>
      </c>
    </row>
    <row r="1457" spans="1:6" x14ac:dyDescent="0.3">
      <c r="A1457" t="s">
        <v>43</v>
      </c>
      <c r="B1457">
        <v>2020</v>
      </c>
      <c r="C1457" t="s">
        <v>5</v>
      </c>
      <c r="D1457" s="35">
        <v>18422537.95000001</v>
      </c>
      <c r="E1457" s="35">
        <v>16725</v>
      </c>
      <c r="F1457" s="35">
        <v>17081432.300000001</v>
      </c>
    </row>
    <row r="1458" spans="1:6" x14ac:dyDescent="0.3">
      <c r="A1458" t="s">
        <v>43</v>
      </c>
      <c r="B1458">
        <v>2020</v>
      </c>
      <c r="C1458" t="s">
        <v>17</v>
      </c>
      <c r="D1458" s="35">
        <v>12011775.539999999</v>
      </c>
      <c r="E1458" s="35">
        <v>103828</v>
      </c>
      <c r="F1458" s="35">
        <v>1808487.47</v>
      </c>
    </row>
    <row r="1459" spans="1:6" x14ac:dyDescent="0.3">
      <c r="A1459" t="s">
        <v>43</v>
      </c>
      <c r="B1459">
        <v>2020</v>
      </c>
      <c r="C1459" t="s">
        <v>9</v>
      </c>
      <c r="D1459" s="35">
        <v>36347032.830000013</v>
      </c>
      <c r="E1459" s="35">
        <v>831966</v>
      </c>
      <c r="F1459" s="35">
        <v>17983897.760000009</v>
      </c>
    </row>
    <row r="1460" spans="1:6" x14ac:dyDescent="0.3">
      <c r="A1460" t="s">
        <v>43</v>
      </c>
      <c r="B1460">
        <v>2020</v>
      </c>
      <c r="C1460" t="s">
        <v>8</v>
      </c>
      <c r="D1460" s="35">
        <v>13623924.02</v>
      </c>
      <c r="E1460" s="35">
        <v>1494</v>
      </c>
      <c r="F1460" s="35">
        <v>13623924.02</v>
      </c>
    </row>
    <row r="1461" spans="1:6" x14ac:dyDescent="0.3">
      <c r="A1461" t="s">
        <v>43</v>
      </c>
      <c r="B1461">
        <v>2020</v>
      </c>
      <c r="C1461" t="s">
        <v>6</v>
      </c>
      <c r="D1461" s="35">
        <v>58170336.479999997</v>
      </c>
      <c r="E1461" s="35">
        <v>796052</v>
      </c>
      <c r="F1461" s="35">
        <v>52351022.639999993</v>
      </c>
    </row>
    <row r="1462" spans="1:6" x14ac:dyDescent="0.3">
      <c r="A1462" t="s">
        <v>43</v>
      </c>
      <c r="B1462">
        <v>2020</v>
      </c>
      <c r="C1462" t="s">
        <v>15</v>
      </c>
      <c r="D1462" s="35">
        <v>12487530.23</v>
      </c>
      <c r="E1462" s="35">
        <v>300813</v>
      </c>
      <c r="F1462" s="35">
        <v>6971359.0599999996</v>
      </c>
    </row>
    <row r="1463" spans="1:6" x14ac:dyDescent="0.3">
      <c r="A1463" t="s">
        <v>43</v>
      </c>
      <c r="B1463">
        <v>2020</v>
      </c>
      <c r="C1463" t="s">
        <v>18</v>
      </c>
      <c r="D1463" s="35">
        <v>8148639.9999999991</v>
      </c>
      <c r="E1463" s="35">
        <v>36805</v>
      </c>
      <c r="F1463" s="35">
        <v>6240740.8500000006</v>
      </c>
    </row>
    <row r="1464" spans="1:6" x14ac:dyDescent="0.3">
      <c r="A1464" t="s">
        <v>43</v>
      </c>
      <c r="B1464">
        <v>2021</v>
      </c>
      <c r="C1464" t="s">
        <v>10</v>
      </c>
      <c r="D1464" s="35">
        <v>29252427.510000002</v>
      </c>
      <c r="E1464" s="35">
        <v>1013773</v>
      </c>
      <c r="F1464" s="35">
        <v>23122194.66</v>
      </c>
    </row>
    <row r="1465" spans="1:6" x14ac:dyDescent="0.3">
      <c r="A1465" t="s">
        <v>43</v>
      </c>
      <c r="B1465">
        <v>2021</v>
      </c>
      <c r="C1465" t="s">
        <v>4</v>
      </c>
      <c r="D1465" s="35">
        <v>95714076.850000009</v>
      </c>
      <c r="E1465" s="35">
        <v>285126</v>
      </c>
      <c r="F1465" s="35">
        <v>95008155.109999999</v>
      </c>
    </row>
    <row r="1466" spans="1:6" x14ac:dyDescent="0.3">
      <c r="A1466" t="s">
        <v>43</v>
      </c>
      <c r="B1466">
        <v>2021</v>
      </c>
      <c r="C1466" t="s">
        <v>13</v>
      </c>
      <c r="D1466" s="35">
        <v>22014898.710000001</v>
      </c>
      <c r="E1466" s="35">
        <v>285099</v>
      </c>
      <c r="F1466" s="35">
        <v>17298940.469999999</v>
      </c>
    </row>
    <row r="1467" spans="1:6" x14ac:dyDescent="0.3">
      <c r="A1467" t="s">
        <v>43</v>
      </c>
      <c r="B1467">
        <v>2021</v>
      </c>
      <c r="C1467" t="s">
        <v>16</v>
      </c>
      <c r="D1467" s="35">
        <v>5609659.5</v>
      </c>
      <c r="E1467" s="35">
        <v>22356</v>
      </c>
      <c r="F1467" s="35">
        <v>5150385.8900000025</v>
      </c>
    </row>
    <row r="1468" spans="1:6" x14ac:dyDescent="0.3">
      <c r="A1468" t="s">
        <v>43</v>
      </c>
      <c r="B1468">
        <v>2021</v>
      </c>
      <c r="C1468" t="s">
        <v>14</v>
      </c>
      <c r="D1468" s="35">
        <v>31598292.84999999</v>
      </c>
      <c r="E1468" s="35">
        <v>496960</v>
      </c>
      <c r="F1468" s="35">
        <v>14909410.640000001</v>
      </c>
    </row>
    <row r="1469" spans="1:6" x14ac:dyDescent="0.3">
      <c r="A1469" t="s">
        <v>43</v>
      </c>
      <c r="B1469">
        <v>2021</v>
      </c>
      <c r="C1469" t="s">
        <v>7</v>
      </c>
      <c r="D1469" s="35">
        <v>24361257.469999999</v>
      </c>
      <c r="E1469" s="35">
        <v>9724</v>
      </c>
      <c r="F1469" s="35">
        <v>24293450.52</v>
      </c>
    </row>
    <row r="1470" spans="1:6" x14ac:dyDescent="0.3">
      <c r="A1470" t="s">
        <v>43</v>
      </c>
      <c r="B1470">
        <v>2021</v>
      </c>
      <c r="C1470" t="s">
        <v>11</v>
      </c>
      <c r="D1470" s="35">
        <v>16925587.609999999</v>
      </c>
      <c r="E1470" s="35">
        <v>42005</v>
      </c>
      <c r="F1470" s="35">
        <v>14254519.460000001</v>
      </c>
    </row>
    <row r="1471" spans="1:6" x14ac:dyDescent="0.3">
      <c r="A1471" t="s">
        <v>43</v>
      </c>
      <c r="B1471">
        <v>2021</v>
      </c>
      <c r="C1471" t="s">
        <v>3</v>
      </c>
      <c r="D1471" s="35">
        <v>104676606.68000001</v>
      </c>
      <c r="E1471" s="35">
        <v>278159</v>
      </c>
      <c r="F1471" s="35">
        <v>93574565.530000016</v>
      </c>
    </row>
    <row r="1472" spans="1:6" x14ac:dyDescent="0.3">
      <c r="A1472" t="s">
        <v>43</v>
      </c>
      <c r="B1472">
        <v>2021</v>
      </c>
      <c r="C1472" t="s">
        <v>12</v>
      </c>
      <c r="D1472" s="35">
        <v>28602282.859999999</v>
      </c>
      <c r="E1472" s="35">
        <v>642510</v>
      </c>
      <c r="F1472" s="35">
        <v>14968245.41</v>
      </c>
    </row>
    <row r="1473" spans="1:6" x14ac:dyDescent="0.3">
      <c r="A1473" t="s">
        <v>43</v>
      </c>
      <c r="B1473">
        <v>2021</v>
      </c>
      <c r="C1473" t="s">
        <v>2</v>
      </c>
      <c r="D1473" s="35">
        <v>194803281.19</v>
      </c>
      <c r="E1473" s="35">
        <v>2494880</v>
      </c>
      <c r="F1473" s="35">
        <v>165082971.84</v>
      </c>
    </row>
    <row r="1474" spans="1:6" x14ac:dyDescent="0.3">
      <c r="A1474" t="s">
        <v>43</v>
      </c>
      <c r="B1474">
        <v>2021</v>
      </c>
      <c r="C1474" t="s">
        <v>5</v>
      </c>
      <c r="D1474" s="35">
        <v>25449898.370000001</v>
      </c>
      <c r="E1474" s="35">
        <v>19071</v>
      </c>
      <c r="F1474" s="35">
        <v>24010225.91</v>
      </c>
    </row>
    <row r="1475" spans="1:6" x14ac:dyDescent="0.3">
      <c r="A1475" t="s">
        <v>43</v>
      </c>
      <c r="B1475">
        <v>2021</v>
      </c>
      <c r="C1475" t="s">
        <v>17</v>
      </c>
      <c r="D1475" s="35">
        <v>19833311.719999999</v>
      </c>
      <c r="E1475" s="35">
        <v>135972</v>
      </c>
      <c r="F1475" s="35">
        <v>3727891.97</v>
      </c>
    </row>
    <row r="1476" spans="1:6" x14ac:dyDescent="0.3">
      <c r="A1476" t="s">
        <v>43</v>
      </c>
      <c r="B1476">
        <v>2021</v>
      </c>
      <c r="C1476" t="s">
        <v>9</v>
      </c>
      <c r="D1476" s="35">
        <v>52242637.019999988</v>
      </c>
      <c r="E1476" s="35">
        <v>1010538</v>
      </c>
      <c r="F1476" s="35">
        <v>23659074.09</v>
      </c>
    </row>
    <row r="1477" spans="1:6" x14ac:dyDescent="0.3">
      <c r="A1477" t="s">
        <v>43</v>
      </c>
      <c r="B1477">
        <v>2021</v>
      </c>
      <c r="C1477" t="s">
        <v>8</v>
      </c>
      <c r="D1477" s="35">
        <v>23734526.219999999</v>
      </c>
      <c r="E1477" s="35">
        <v>1816</v>
      </c>
      <c r="F1477" s="35">
        <v>23611642.780000001</v>
      </c>
    </row>
    <row r="1478" spans="1:6" x14ac:dyDescent="0.3">
      <c r="A1478" t="s">
        <v>43</v>
      </c>
      <c r="B1478">
        <v>2021</v>
      </c>
      <c r="C1478" t="s">
        <v>6</v>
      </c>
      <c r="D1478" s="35">
        <v>65918539.93999999</v>
      </c>
      <c r="E1478" s="35">
        <v>851124</v>
      </c>
      <c r="F1478" s="35">
        <v>58717958.45000001</v>
      </c>
    </row>
    <row r="1479" spans="1:6" x14ac:dyDescent="0.3">
      <c r="A1479" t="s">
        <v>43</v>
      </c>
      <c r="B1479">
        <v>2021</v>
      </c>
      <c r="C1479" t="s">
        <v>15</v>
      </c>
      <c r="D1479" s="35">
        <v>12696490.960000001</v>
      </c>
      <c r="E1479" s="35">
        <v>302917</v>
      </c>
      <c r="F1479" s="35">
        <v>7069358.8499999987</v>
      </c>
    </row>
    <row r="1480" spans="1:6" x14ac:dyDescent="0.3">
      <c r="A1480" t="s">
        <v>43</v>
      </c>
      <c r="B1480">
        <v>2021</v>
      </c>
      <c r="C1480" t="s">
        <v>18</v>
      </c>
      <c r="D1480" s="35">
        <v>6018925.8500000006</v>
      </c>
      <c r="E1480" s="35">
        <v>38947</v>
      </c>
      <c r="F1480" s="35">
        <v>5350744.6400000006</v>
      </c>
    </row>
    <row r="1481" spans="1:6" x14ac:dyDescent="0.3">
      <c r="A1481" t="s">
        <v>43</v>
      </c>
      <c r="B1481">
        <v>2022</v>
      </c>
      <c r="C1481" t="s">
        <v>10</v>
      </c>
      <c r="D1481" s="35">
        <v>33606429.659999996</v>
      </c>
      <c r="E1481" s="35">
        <v>1004141</v>
      </c>
      <c r="F1481" s="35">
        <v>27007486.379999999</v>
      </c>
    </row>
    <row r="1482" spans="1:6" x14ac:dyDescent="0.3">
      <c r="A1482" t="s">
        <v>43</v>
      </c>
      <c r="B1482">
        <v>2022</v>
      </c>
      <c r="C1482" t="s">
        <v>4</v>
      </c>
      <c r="D1482" s="35">
        <v>118431600.58</v>
      </c>
      <c r="E1482" s="35">
        <v>301824</v>
      </c>
      <c r="F1482" s="35">
        <v>117712446.42</v>
      </c>
    </row>
    <row r="1483" spans="1:6" x14ac:dyDescent="0.3">
      <c r="A1483" t="s">
        <v>43</v>
      </c>
      <c r="B1483">
        <v>2022</v>
      </c>
      <c r="C1483" t="s">
        <v>13</v>
      </c>
      <c r="D1483" s="35">
        <v>26644887.559999999</v>
      </c>
      <c r="E1483" s="35">
        <v>287987</v>
      </c>
      <c r="F1483" s="35">
        <v>21815712.07</v>
      </c>
    </row>
    <row r="1484" spans="1:6" x14ac:dyDescent="0.3">
      <c r="A1484" t="s">
        <v>43</v>
      </c>
      <c r="B1484">
        <v>2022</v>
      </c>
      <c r="C1484" t="s">
        <v>16</v>
      </c>
      <c r="D1484" s="35">
        <v>5685004.1100000003</v>
      </c>
      <c r="E1484" s="35">
        <v>22845</v>
      </c>
      <c r="F1484" s="35">
        <v>5221871.41</v>
      </c>
    </row>
    <row r="1485" spans="1:6" x14ac:dyDescent="0.3">
      <c r="A1485" t="s">
        <v>43</v>
      </c>
      <c r="B1485">
        <v>2022</v>
      </c>
      <c r="C1485" t="s">
        <v>14</v>
      </c>
      <c r="D1485" s="35">
        <v>34983954.18999999</v>
      </c>
      <c r="E1485" s="35">
        <v>513012</v>
      </c>
      <c r="F1485" s="35">
        <v>13649059.800000001</v>
      </c>
    </row>
    <row r="1486" spans="1:6" x14ac:dyDescent="0.3">
      <c r="A1486" t="s">
        <v>43</v>
      </c>
      <c r="B1486">
        <v>2022</v>
      </c>
      <c r="C1486" t="s">
        <v>7</v>
      </c>
      <c r="D1486" s="35">
        <v>24666171.370000001</v>
      </c>
      <c r="E1486" s="35">
        <v>9750</v>
      </c>
      <c r="F1486" s="35">
        <v>24608176.350000001</v>
      </c>
    </row>
    <row r="1487" spans="1:6" x14ac:dyDescent="0.3">
      <c r="A1487" t="s">
        <v>43</v>
      </c>
      <c r="B1487">
        <v>2022</v>
      </c>
      <c r="C1487" t="s">
        <v>11</v>
      </c>
      <c r="D1487" s="35">
        <v>22558114.239999998</v>
      </c>
      <c r="E1487" s="35">
        <v>49502</v>
      </c>
      <c r="F1487" s="35">
        <v>17546984.449999999</v>
      </c>
    </row>
    <row r="1488" spans="1:6" x14ac:dyDescent="0.3">
      <c r="A1488" t="s">
        <v>43</v>
      </c>
      <c r="B1488">
        <v>2022</v>
      </c>
      <c r="C1488" t="s">
        <v>3</v>
      </c>
      <c r="D1488" s="35">
        <v>145349015.96000001</v>
      </c>
      <c r="E1488" s="35">
        <v>313441</v>
      </c>
      <c r="F1488" s="35">
        <v>131069481.69</v>
      </c>
    </row>
    <row r="1489" spans="1:6" x14ac:dyDescent="0.3">
      <c r="A1489" t="s">
        <v>43</v>
      </c>
      <c r="B1489">
        <v>2022</v>
      </c>
      <c r="C1489" t="s">
        <v>12</v>
      </c>
      <c r="D1489" s="35">
        <v>37964284.82</v>
      </c>
      <c r="E1489" s="35">
        <v>759245</v>
      </c>
      <c r="F1489" s="35">
        <v>19832662.84</v>
      </c>
    </row>
    <row r="1490" spans="1:6" x14ac:dyDescent="0.3">
      <c r="A1490" t="s">
        <v>43</v>
      </c>
      <c r="B1490">
        <v>2022</v>
      </c>
      <c r="C1490" t="s">
        <v>2</v>
      </c>
      <c r="D1490" s="35">
        <v>236082213.9900001</v>
      </c>
      <c r="E1490" s="35">
        <v>2565923</v>
      </c>
      <c r="F1490" s="35">
        <v>204208669.34</v>
      </c>
    </row>
    <row r="1491" spans="1:6" x14ac:dyDescent="0.3">
      <c r="A1491" t="s">
        <v>43</v>
      </c>
      <c r="B1491">
        <v>2022</v>
      </c>
      <c r="C1491" t="s">
        <v>5</v>
      </c>
      <c r="D1491" s="35">
        <v>33045269.79000001</v>
      </c>
      <c r="E1491" s="35">
        <v>20892</v>
      </c>
      <c r="F1491" s="35">
        <v>31446685.690000001</v>
      </c>
    </row>
    <row r="1492" spans="1:6" x14ac:dyDescent="0.3">
      <c r="A1492" t="s">
        <v>43</v>
      </c>
      <c r="B1492">
        <v>2022</v>
      </c>
      <c r="C1492" t="s">
        <v>17</v>
      </c>
      <c r="D1492" s="35">
        <v>27299019.59</v>
      </c>
      <c r="E1492" s="35">
        <v>156530</v>
      </c>
      <c r="F1492" s="35">
        <v>4209713.3599999994</v>
      </c>
    </row>
    <row r="1493" spans="1:6" x14ac:dyDescent="0.3">
      <c r="A1493" t="s">
        <v>43</v>
      </c>
      <c r="B1493">
        <v>2022</v>
      </c>
      <c r="C1493" t="s">
        <v>9</v>
      </c>
      <c r="D1493" s="35">
        <v>67376115.079999998</v>
      </c>
      <c r="E1493" s="35">
        <v>1042046</v>
      </c>
      <c r="F1493" s="35">
        <v>26536975.07</v>
      </c>
    </row>
    <row r="1494" spans="1:6" x14ac:dyDescent="0.3">
      <c r="A1494" t="s">
        <v>43</v>
      </c>
      <c r="B1494">
        <v>2022</v>
      </c>
      <c r="C1494" t="s">
        <v>8</v>
      </c>
      <c r="D1494" s="35">
        <v>31582765.010000002</v>
      </c>
      <c r="E1494" s="35">
        <v>2036</v>
      </c>
      <c r="F1494" s="35">
        <v>31182834.93</v>
      </c>
    </row>
    <row r="1495" spans="1:6" x14ac:dyDescent="0.3">
      <c r="A1495" t="s">
        <v>43</v>
      </c>
      <c r="B1495">
        <v>2022</v>
      </c>
      <c r="C1495" t="s">
        <v>6</v>
      </c>
      <c r="D1495" s="35">
        <v>76795157.569999993</v>
      </c>
      <c r="E1495" s="35">
        <v>881886</v>
      </c>
      <c r="F1495" s="35">
        <v>70395571.710000008</v>
      </c>
    </row>
    <row r="1496" spans="1:6" x14ac:dyDescent="0.3">
      <c r="A1496" t="s">
        <v>43</v>
      </c>
      <c r="B1496">
        <v>2022</v>
      </c>
      <c r="C1496" t="s">
        <v>15</v>
      </c>
      <c r="D1496" s="35">
        <v>12013452.98</v>
      </c>
      <c r="E1496" s="35">
        <v>260221</v>
      </c>
      <c r="F1496" s="35">
        <v>6881273.3500000006</v>
      </c>
    </row>
    <row r="1497" spans="1:6" x14ac:dyDescent="0.3">
      <c r="A1497" t="s">
        <v>43</v>
      </c>
      <c r="B1497">
        <v>2022</v>
      </c>
      <c r="C1497" t="s">
        <v>18</v>
      </c>
      <c r="D1497" s="35">
        <v>5759804.8299999991</v>
      </c>
      <c r="E1497" s="35">
        <v>35079</v>
      </c>
      <c r="F1497" s="35">
        <v>5293308.379999999</v>
      </c>
    </row>
    <row r="1498" spans="1:6" x14ac:dyDescent="0.3">
      <c r="A1498" t="s">
        <v>43</v>
      </c>
      <c r="B1498">
        <v>2023</v>
      </c>
      <c r="C1498" t="s">
        <v>10</v>
      </c>
      <c r="D1498" s="35">
        <v>35220792.239999987</v>
      </c>
      <c r="E1498" s="35">
        <v>1171219</v>
      </c>
      <c r="F1498" s="35">
        <v>28544336.530000001</v>
      </c>
    </row>
    <row r="1499" spans="1:6" x14ac:dyDescent="0.3">
      <c r="A1499" t="s">
        <v>43</v>
      </c>
      <c r="B1499">
        <v>2023</v>
      </c>
      <c r="C1499" t="s">
        <v>4</v>
      </c>
      <c r="D1499" s="35">
        <v>131190760.84999999</v>
      </c>
      <c r="E1499" s="35">
        <v>354441</v>
      </c>
      <c r="F1499" s="35">
        <v>130457127.56</v>
      </c>
    </row>
    <row r="1500" spans="1:6" x14ac:dyDescent="0.3">
      <c r="A1500" t="s">
        <v>43</v>
      </c>
      <c r="B1500">
        <v>2023</v>
      </c>
      <c r="C1500" t="s">
        <v>13</v>
      </c>
      <c r="D1500" s="35">
        <v>24600891.27</v>
      </c>
      <c r="E1500" s="35">
        <v>314319</v>
      </c>
      <c r="F1500" s="35">
        <v>20299363.09</v>
      </c>
    </row>
    <row r="1501" spans="1:6" x14ac:dyDescent="0.3">
      <c r="A1501" t="s">
        <v>43</v>
      </c>
      <c r="B1501">
        <v>2023</v>
      </c>
      <c r="C1501" t="s">
        <v>16</v>
      </c>
      <c r="D1501" s="35">
        <v>5783980.1600000001</v>
      </c>
      <c r="E1501" s="35">
        <v>24688</v>
      </c>
      <c r="F1501" s="35">
        <v>5391192.290000001</v>
      </c>
    </row>
    <row r="1502" spans="1:6" x14ac:dyDescent="0.3">
      <c r="A1502" t="s">
        <v>43</v>
      </c>
      <c r="B1502">
        <v>2023</v>
      </c>
      <c r="C1502" t="s">
        <v>14</v>
      </c>
      <c r="D1502" s="35">
        <v>34376269.570000008</v>
      </c>
      <c r="E1502" s="35">
        <v>551727</v>
      </c>
      <c r="F1502" s="35">
        <v>10626583.539999999</v>
      </c>
    </row>
    <row r="1503" spans="1:6" x14ac:dyDescent="0.3">
      <c r="A1503" t="s">
        <v>43</v>
      </c>
      <c r="B1503">
        <v>2023</v>
      </c>
      <c r="C1503" t="s">
        <v>7</v>
      </c>
      <c r="D1503" s="35">
        <v>25850446.050000001</v>
      </c>
      <c r="E1503" s="35">
        <v>9892</v>
      </c>
      <c r="F1503" s="35">
        <v>25801120.5</v>
      </c>
    </row>
    <row r="1504" spans="1:6" x14ac:dyDescent="0.3">
      <c r="A1504" t="s">
        <v>43</v>
      </c>
      <c r="B1504">
        <v>2023</v>
      </c>
      <c r="C1504" t="s">
        <v>11</v>
      </c>
      <c r="D1504" s="35">
        <v>25508317.02999999</v>
      </c>
      <c r="E1504" s="35">
        <v>53700</v>
      </c>
      <c r="F1504" s="35">
        <v>20235829.02</v>
      </c>
    </row>
    <row r="1505" spans="1:6" x14ac:dyDescent="0.3">
      <c r="A1505" t="s">
        <v>43</v>
      </c>
      <c r="B1505">
        <v>2023</v>
      </c>
      <c r="C1505" t="s">
        <v>3</v>
      </c>
      <c r="D1505" s="35">
        <v>171798715.88000011</v>
      </c>
      <c r="E1505" s="35">
        <v>306877</v>
      </c>
      <c r="F1505" s="35">
        <v>155624489.75999999</v>
      </c>
    </row>
    <row r="1506" spans="1:6" x14ac:dyDescent="0.3">
      <c r="A1506" t="s">
        <v>43</v>
      </c>
      <c r="B1506">
        <v>2023</v>
      </c>
      <c r="C1506" t="s">
        <v>12</v>
      </c>
      <c r="D1506" s="35">
        <v>40087387.869999997</v>
      </c>
      <c r="E1506" s="35">
        <v>746146</v>
      </c>
      <c r="F1506" s="35">
        <v>20891632.84</v>
      </c>
    </row>
    <row r="1507" spans="1:6" x14ac:dyDescent="0.3">
      <c r="A1507" t="s">
        <v>43</v>
      </c>
      <c r="B1507">
        <v>2023</v>
      </c>
      <c r="C1507" t="s">
        <v>2</v>
      </c>
      <c r="D1507" s="35">
        <v>261307840.47999999</v>
      </c>
      <c r="E1507" s="35">
        <v>2692801</v>
      </c>
      <c r="F1507" s="35">
        <v>227477092.63999999</v>
      </c>
    </row>
    <row r="1508" spans="1:6" x14ac:dyDescent="0.3">
      <c r="A1508" t="s">
        <v>43</v>
      </c>
      <c r="B1508">
        <v>2023</v>
      </c>
      <c r="C1508" t="s">
        <v>5</v>
      </c>
      <c r="D1508" s="35">
        <v>34036552.530000001</v>
      </c>
      <c r="E1508" s="35">
        <v>20594</v>
      </c>
      <c r="F1508" s="35">
        <v>32629109.069999989</v>
      </c>
    </row>
    <row r="1509" spans="1:6" x14ac:dyDescent="0.3">
      <c r="A1509" t="s">
        <v>43</v>
      </c>
      <c r="B1509">
        <v>2023</v>
      </c>
      <c r="C1509" t="s">
        <v>17</v>
      </c>
      <c r="D1509" s="35">
        <v>31295345.559999999</v>
      </c>
      <c r="E1509" s="35">
        <v>166647</v>
      </c>
      <c r="F1509" s="35">
        <v>5544218.4699999988</v>
      </c>
    </row>
    <row r="1510" spans="1:6" x14ac:dyDescent="0.3">
      <c r="A1510" t="s">
        <v>43</v>
      </c>
      <c r="B1510">
        <v>2023</v>
      </c>
      <c r="C1510" t="s">
        <v>9</v>
      </c>
      <c r="D1510" s="35">
        <v>80524115.959999979</v>
      </c>
      <c r="E1510" s="35">
        <v>989572</v>
      </c>
      <c r="F1510" s="35">
        <v>35610884.969999999</v>
      </c>
    </row>
    <row r="1511" spans="1:6" x14ac:dyDescent="0.3">
      <c r="A1511" t="s">
        <v>43</v>
      </c>
      <c r="B1511">
        <v>2023</v>
      </c>
      <c r="C1511" t="s">
        <v>8</v>
      </c>
      <c r="D1511" s="35">
        <v>36473812.359999999</v>
      </c>
      <c r="E1511" s="35">
        <v>2049</v>
      </c>
      <c r="F1511" s="35">
        <v>36234748.169999987</v>
      </c>
    </row>
    <row r="1512" spans="1:6" x14ac:dyDescent="0.3">
      <c r="A1512" t="s">
        <v>43</v>
      </c>
      <c r="B1512">
        <v>2023</v>
      </c>
      <c r="C1512" t="s">
        <v>6</v>
      </c>
      <c r="D1512" s="35">
        <v>72055016.059999987</v>
      </c>
      <c r="E1512" s="35">
        <v>894654</v>
      </c>
      <c r="F1512" s="35">
        <v>64348818.649999999</v>
      </c>
    </row>
    <row r="1513" spans="1:6" x14ac:dyDescent="0.3">
      <c r="A1513" t="s">
        <v>43</v>
      </c>
      <c r="B1513">
        <v>2023</v>
      </c>
      <c r="C1513" t="s">
        <v>15</v>
      </c>
      <c r="D1513" s="35">
        <v>10477841.470000001</v>
      </c>
      <c r="E1513" s="35">
        <v>206958</v>
      </c>
      <c r="F1513" s="35">
        <v>5543143.7300000004</v>
      </c>
    </row>
    <row r="1514" spans="1:6" x14ac:dyDescent="0.3">
      <c r="A1514" t="s">
        <v>43</v>
      </c>
      <c r="B1514">
        <v>2023</v>
      </c>
      <c r="C1514" t="s">
        <v>18</v>
      </c>
      <c r="D1514" s="35">
        <v>5940236.7699999996</v>
      </c>
      <c r="E1514" s="35">
        <v>35045</v>
      </c>
      <c r="F1514" s="35">
        <v>5487399.2599999998</v>
      </c>
    </row>
    <row r="1515" spans="1:6" x14ac:dyDescent="0.3">
      <c r="A1515" t="s">
        <v>43</v>
      </c>
      <c r="B1515">
        <v>2024</v>
      </c>
      <c r="C1515" t="s">
        <v>10</v>
      </c>
      <c r="D1515" s="35">
        <v>37754057.980000012</v>
      </c>
      <c r="E1515" s="35">
        <v>1256957</v>
      </c>
      <c r="F1515" s="35">
        <v>31504141.50999999</v>
      </c>
    </row>
    <row r="1516" spans="1:6" x14ac:dyDescent="0.3">
      <c r="A1516" t="s">
        <v>43</v>
      </c>
      <c r="B1516">
        <v>2024</v>
      </c>
      <c r="C1516" t="s">
        <v>4</v>
      </c>
      <c r="D1516" s="35">
        <v>118036321.06999999</v>
      </c>
      <c r="E1516" s="35">
        <v>376177</v>
      </c>
      <c r="F1516" s="35">
        <v>117269863.73999999</v>
      </c>
    </row>
    <row r="1517" spans="1:6" x14ac:dyDescent="0.3">
      <c r="A1517" t="s">
        <v>43</v>
      </c>
      <c r="B1517">
        <v>2024</v>
      </c>
      <c r="C1517" t="s">
        <v>13</v>
      </c>
      <c r="D1517" s="35">
        <v>24689721.330000009</v>
      </c>
      <c r="E1517" s="35">
        <v>315684</v>
      </c>
      <c r="F1517" s="35">
        <v>20736523.59</v>
      </c>
    </row>
    <row r="1518" spans="1:6" x14ac:dyDescent="0.3">
      <c r="A1518" t="s">
        <v>43</v>
      </c>
      <c r="B1518">
        <v>2024</v>
      </c>
      <c r="C1518" t="s">
        <v>16</v>
      </c>
      <c r="D1518" s="35">
        <v>6212729.9800000004</v>
      </c>
      <c r="E1518" s="35">
        <v>23895</v>
      </c>
      <c r="F1518" s="35">
        <v>5875766.5499999998</v>
      </c>
    </row>
    <row r="1519" spans="1:6" x14ac:dyDescent="0.3">
      <c r="A1519" t="s">
        <v>43</v>
      </c>
      <c r="B1519">
        <v>2024</v>
      </c>
      <c r="C1519" t="s">
        <v>14</v>
      </c>
      <c r="D1519" s="35">
        <v>32693611.949999999</v>
      </c>
      <c r="E1519" s="35">
        <v>560975</v>
      </c>
      <c r="F1519" s="35">
        <v>11607520.689999999</v>
      </c>
    </row>
    <row r="1520" spans="1:6" x14ac:dyDescent="0.3">
      <c r="A1520" t="s">
        <v>43</v>
      </c>
      <c r="B1520">
        <v>2024</v>
      </c>
      <c r="C1520" t="s">
        <v>7</v>
      </c>
      <c r="D1520" s="35">
        <v>23903011.309999999</v>
      </c>
      <c r="E1520" s="35">
        <v>8733</v>
      </c>
      <c r="F1520" s="35">
        <v>23878334.32</v>
      </c>
    </row>
    <row r="1521" spans="1:6" x14ac:dyDescent="0.3">
      <c r="A1521" t="s">
        <v>43</v>
      </c>
      <c r="B1521">
        <v>2024</v>
      </c>
      <c r="C1521" t="s">
        <v>11</v>
      </c>
      <c r="D1521" s="35">
        <v>27260620.49000001</v>
      </c>
      <c r="E1521" s="35">
        <v>53375</v>
      </c>
      <c r="F1521" s="35">
        <v>20201017.899999999</v>
      </c>
    </row>
    <row r="1522" spans="1:6" x14ac:dyDescent="0.3">
      <c r="A1522" t="s">
        <v>43</v>
      </c>
      <c r="B1522">
        <v>2024</v>
      </c>
      <c r="C1522" t="s">
        <v>3</v>
      </c>
      <c r="D1522" s="35">
        <v>164140433.19999999</v>
      </c>
      <c r="E1522" s="35">
        <v>295564</v>
      </c>
      <c r="F1522" s="35">
        <v>150403115.33000001</v>
      </c>
    </row>
    <row r="1523" spans="1:6" x14ac:dyDescent="0.3">
      <c r="A1523" t="s">
        <v>43</v>
      </c>
      <c r="B1523">
        <v>2024</v>
      </c>
      <c r="C1523" t="s">
        <v>12</v>
      </c>
      <c r="D1523" s="35">
        <v>33806248.670000002</v>
      </c>
      <c r="E1523" s="35">
        <v>679144</v>
      </c>
      <c r="F1523" s="35">
        <v>16183093.23</v>
      </c>
    </row>
    <row r="1524" spans="1:6" x14ac:dyDescent="0.3">
      <c r="A1524" t="s">
        <v>43</v>
      </c>
      <c r="B1524">
        <v>2024</v>
      </c>
      <c r="C1524" t="s">
        <v>2</v>
      </c>
      <c r="D1524" s="35">
        <v>245843380.41999999</v>
      </c>
      <c r="E1524" s="35">
        <v>2595713</v>
      </c>
      <c r="F1524" s="35">
        <v>214863116.91</v>
      </c>
    </row>
    <row r="1525" spans="1:6" x14ac:dyDescent="0.3">
      <c r="A1525" t="s">
        <v>43</v>
      </c>
      <c r="B1525">
        <v>2024</v>
      </c>
      <c r="C1525" t="s">
        <v>5</v>
      </c>
      <c r="D1525" s="35">
        <v>41890007.880000003</v>
      </c>
      <c r="E1525" s="35">
        <v>22216</v>
      </c>
      <c r="F1525" s="35">
        <v>40706176.130000003</v>
      </c>
    </row>
    <row r="1526" spans="1:6" x14ac:dyDescent="0.3">
      <c r="A1526" t="s">
        <v>43</v>
      </c>
      <c r="B1526">
        <v>2024</v>
      </c>
      <c r="C1526" t="s">
        <v>17</v>
      </c>
      <c r="D1526" s="35">
        <v>27629745.41</v>
      </c>
      <c r="E1526" s="35">
        <v>169329</v>
      </c>
      <c r="F1526" s="35">
        <v>4977245.4000000013</v>
      </c>
    </row>
    <row r="1527" spans="1:6" x14ac:dyDescent="0.3">
      <c r="A1527" t="s">
        <v>43</v>
      </c>
      <c r="B1527">
        <v>2024</v>
      </c>
      <c r="C1527" t="s">
        <v>9</v>
      </c>
      <c r="D1527" s="35">
        <v>66836890.579999998</v>
      </c>
      <c r="E1527" s="35">
        <v>846020</v>
      </c>
      <c r="F1527" s="35">
        <v>29799919.289999999</v>
      </c>
    </row>
    <row r="1528" spans="1:6" x14ac:dyDescent="0.3">
      <c r="A1528" t="s">
        <v>43</v>
      </c>
      <c r="B1528">
        <v>2024</v>
      </c>
      <c r="C1528" t="s">
        <v>8</v>
      </c>
      <c r="D1528" s="35">
        <v>36694187.310000002</v>
      </c>
      <c r="E1528" s="35">
        <v>2131</v>
      </c>
      <c r="F1528" s="35">
        <v>36109992.659999996</v>
      </c>
    </row>
    <row r="1529" spans="1:6" x14ac:dyDescent="0.3">
      <c r="A1529" t="s">
        <v>43</v>
      </c>
      <c r="B1529">
        <v>2024</v>
      </c>
      <c r="C1529" t="s">
        <v>6</v>
      </c>
      <c r="D1529" s="35">
        <v>57769187.900000013</v>
      </c>
      <c r="E1529" s="35">
        <v>860952</v>
      </c>
      <c r="F1529" s="35">
        <v>48946575.659999996</v>
      </c>
    </row>
    <row r="1530" spans="1:6" x14ac:dyDescent="0.3">
      <c r="A1530" t="s">
        <v>43</v>
      </c>
      <c r="B1530">
        <v>2024</v>
      </c>
      <c r="C1530" t="s">
        <v>15</v>
      </c>
      <c r="D1530" s="35">
        <v>8725846.2600000016</v>
      </c>
      <c r="E1530" s="35">
        <v>162178</v>
      </c>
      <c r="F1530" s="35">
        <v>5228995.0399999991</v>
      </c>
    </row>
    <row r="1531" spans="1:6" x14ac:dyDescent="0.3">
      <c r="A1531" t="s">
        <v>43</v>
      </c>
      <c r="B1531">
        <v>2024</v>
      </c>
      <c r="C1531" t="s">
        <v>18</v>
      </c>
      <c r="D1531" s="35">
        <v>6155421.9500000002</v>
      </c>
      <c r="E1531" s="35">
        <v>34285</v>
      </c>
      <c r="F1531" s="35">
        <v>5686286.46</v>
      </c>
    </row>
    <row r="1532" spans="1:6" x14ac:dyDescent="0.3">
      <c r="A1532" t="s">
        <v>43</v>
      </c>
      <c r="B1532">
        <v>2025</v>
      </c>
      <c r="C1532" t="s">
        <v>10</v>
      </c>
      <c r="D1532" s="35">
        <v>39854665.959999993</v>
      </c>
      <c r="E1532" s="35">
        <v>1008485</v>
      </c>
      <c r="F1532" s="35">
        <v>34412313.180000007</v>
      </c>
    </row>
    <row r="1533" spans="1:6" x14ac:dyDescent="0.3">
      <c r="A1533" t="s">
        <v>43</v>
      </c>
      <c r="B1533">
        <v>2025</v>
      </c>
      <c r="C1533" t="s">
        <v>4</v>
      </c>
      <c r="D1533" s="35">
        <v>139971395.69</v>
      </c>
      <c r="E1533" s="35">
        <v>354350</v>
      </c>
      <c r="F1533" s="35">
        <v>139239365.34</v>
      </c>
    </row>
    <row r="1534" spans="1:6" x14ac:dyDescent="0.3">
      <c r="A1534" t="s">
        <v>43</v>
      </c>
      <c r="B1534">
        <v>2025</v>
      </c>
      <c r="C1534" t="s">
        <v>13</v>
      </c>
      <c r="D1534" s="35">
        <v>24422289.760000002</v>
      </c>
      <c r="E1534" s="35">
        <v>291979</v>
      </c>
      <c r="F1534" s="35">
        <v>20693489.91</v>
      </c>
    </row>
    <row r="1535" spans="1:6" x14ac:dyDescent="0.3">
      <c r="A1535" t="s">
        <v>43</v>
      </c>
      <c r="B1535">
        <v>2025</v>
      </c>
      <c r="C1535" t="s">
        <v>16</v>
      </c>
      <c r="D1535" s="35">
        <v>6358748.2000000002</v>
      </c>
      <c r="E1535" s="35">
        <v>24216</v>
      </c>
      <c r="F1535" s="35">
        <v>5995215.2399999993</v>
      </c>
    </row>
    <row r="1536" spans="1:6" x14ac:dyDescent="0.3">
      <c r="A1536" t="s">
        <v>43</v>
      </c>
      <c r="B1536">
        <v>2025</v>
      </c>
      <c r="C1536" t="s">
        <v>14</v>
      </c>
      <c r="D1536" s="35">
        <v>33191508.960000001</v>
      </c>
      <c r="E1536" s="35">
        <v>534448</v>
      </c>
      <c r="F1536" s="35">
        <v>11220381.560000001</v>
      </c>
    </row>
    <row r="1537" spans="1:6" x14ac:dyDescent="0.3">
      <c r="A1537" t="s">
        <v>43</v>
      </c>
      <c r="B1537">
        <v>2025</v>
      </c>
      <c r="C1537" t="s">
        <v>7</v>
      </c>
      <c r="D1537" s="35">
        <v>24957740.079999998</v>
      </c>
      <c r="E1537" s="35">
        <v>8787</v>
      </c>
      <c r="F1537" s="35">
        <v>24934983.199999999</v>
      </c>
    </row>
    <row r="1538" spans="1:6" x14ac:dyDescent="0.3">
      <c r="A1538" t="s">
        <v>43</v>
      </c>
      <c r="B1538">
        <v>2025</v>
      </c>
      <c r="C1538" t="s">
        <v>11</v>
      </c>
      <c r="D1538" s="35">
        <v>20407099.399999999</v>
      </c>
      <c r="E1538" s="35">
        <v>52602</v>
      </c>
      <c r="F1538" s="35">
        <v>14163626.6</v>
      </c>
    </row>
    <row r="1539" spans="1:6" x14ac:dyDescent="0.3">
      <c r="A1539" t="s">
        <v>43</v>
      </c>
      <c r="B1539">
        <v>2025</v>
      </c>
      <c r="C1539" t="s">
        <v>3</v>
      </c>
      <c r="D1539" s="35">
        <v>189493811.63999999</v>
      </c>
      <c r="E1539" s="35">
        <v>287574</v>
      </c>
      <c r="F1539" s="35">
        <v>175838302.62</v>
      </c>
    </row>
    <row r="1540" spans="1:6" x14ac:dyDescent="0.3">
      <c r="A1540" t="s">
        <v>43</v>
      </c>
      <c r="B1540">
        <v>2025</v>
      </c>
      <c r="C1540" t="s">
        <v>12</v>
      </c>
      <c r="D1540" s="35">
        <v>30717646.98</v>
      </c>
      <c r="E1540" s="35">
        <v>649600</v>
      </c>
      <c r="F1540" s="35">
        <v>13895771.560000001</v>
      </c>
    </row>
    <row r="1541" spans="1:6" x14ac:dyDescent="0.3">
      <c r="A1541" t="s">
        <v>43</v>
      </c>
      <c r="B1541">
        <v>2025</v>
      </c>
      <c r="C1541" t="s">
        <v>2</v>
      </c>
      <c r="D1541" s="35">
        <v>257179240.09</v>
      </c>
      <c r="E1541" s="35">
        <v>2496144</v>
      </c>
      <c r="F1541" s="35">
        <v>223002569.34</v>
      </c>
    </row>
    <row r="1542" spans="1:6" x14ac:dyDescent="0.3">
      <c r="A1542" t="s">
        <v>43</v>
      </c>
      <c r="B1542">
        <v>2025</v>
      </c>
      <c r="C1542" t="s">
        <v>5</v>
      </c>
      <c r="D1542" s="35">
        <v>46977531.569999993</v>
      </c>
      <c r="E1542" s="35">
        <v>22009</v>
      </c>
      <c r="F1542" s="35">
        <v>45019452.659999996</v>
      </c>
    </row>
    <row r="1543" spans="1:6" x14ac:dyDescent="0.3">
      <c r="A1543" t="s">
        <v>43</v>
      </c>
      <c r="B1543">
        <v>2025</v>
      </c>
      <c r="C1543" t="s">
        <v>17</v>
      </c>
      <c r="D1543" s="35">
        <v>23973413.350000001</v>
      </c>
      <c r="E1543" s="35">
        <v>155284</v>
      </c>
      <c r="F1543" s="35">
        <v>2938189.59</v>
      </c>
    </row>
    <row r="1544" spans="1:6" x14ac:dyDescent="0.3">
      <c r="A1544" t="s">
        <v>43</v>
      </c>
      <c r="B1544">
        <v>2025</v>
      </c>
      <c r="C1544" t="s">
        <v>9</v>
      </c>
      <c r="D1544" s="35">
        <v>63637157.260000013</v>
      </c>
      <c r="E1544" s="35">
        <v>775030</v>
      </c>
      <c r="F1544" s="35">
        <v>26174920.890000012</v>
      </c>
    </row>
    <row r="1545" spans="1:6" x14ac:dyDescent="0.3">
      <c r="A1545" t="s">
        <v>43</v>
      </c>
      <c r="B1545">
        <v>2025</v>
      </c>
      <c r="C1545" t="s">
        <v>8</v>
      </c>
      <c r="D1545" s="35">
        <v>40998130.369999997</v>
      </c>
      <c r="E1545" s="35">
        <v>2077</v>
      </c>
      <c r="F1545" s="35">
        <v>40283459.149999999</v>
      </c>
    </row>
    <row r="1546" spans="1:6" x14ac:dyDescent="0.3">
      <c r="A1546" t="s">
        <v>43</v>
      </c>
      <c r="B1546">
        <v>2025</v>
      </c>
      <c r="C1546" t="s">
        <v>6</v>
      </c>
      <c r="D1546" s="35">
        <v>56164975.63000001</v>
      </c>
      <c r="E1546" s="35">
        <v>849627</v>
      </c>
      <c r="F1546" s="35">
        <v>47897927.709999993</v>
      </c>
    </row>
    <row r="1547" spans="1:6" x14ac:dyDescent="0.3">
      <c r="A1547" t="s">
        <v>43</v>
      </c>
      <c r="B1547">
        <v>2025</v>
      </c>
      <c r="C1547" t="s">
        <v>15</v>
      </c>
      <c r="D1547" s="35">
        <v>8508763.1500000004</v>
      </c>
      <c r="E1547" s="35">
        <v>141111</v>
      </c>
      <c r="F1547" s="35">
        <v>5774594.0499999998</v>
      </c>
    </row>
    <row r="1548" spans="1:6" x14ac:dyDescent="0.3">
      <c r="A1548" t="s">
        <v>43</v>
      </c>
      <c r="B1548">
        <v>2025</v>
      </c>
      <c r="C1548" t="s">
        <v>18</v>
      </c>
      <c r="D1548" s="35">
        <v>6563718.4199999999</v>
      </c>
      <c r="E1548" s="35">
        <v>33949</v>
      </c>
      <c r="F1548" s="35">
        <v>4661430.92</v>
      </c>
    </row>
    <row r="1549" spans="1:6" x14ac:dyDescent="0.3">
      <c r="A1549" t="s">
        <v>44</v>
      </c>
      <c r="B1549">
        <v>2019</v>
      </c>
      <c r="C1549" t="s">
        <v>10</v>
      </c>
      <c r="D1549" s="35">
        <v>7137890.8899999997</v>
      </c>
      <c r="E1549" s="35">
        <v>213269</v>
      </c>
      <c r="F1549" s="35">
        <v>4263807.62</v>
      </c>
    </row>
    <row r="1550" spans="1:6" x14ac:dyDescent="0.3">
      <c r="A1550" t="s">
        <v>44</v>
      </c>
      <c r="B1550">
        <v>2019</v>
      </c>
      <c r="C1550" t="s">
        <v>4</v>
      </c>
      <c r="D1550" s="35">
        <v>20957577.140000001</v>
      </c>
      <c r="E1550" s="35">
        <v>78194</v>
      </c>
      <c r="F1550" s="35">
        <v>20515161.390000001</v>
      </c>
    </row>
    <row r="1551" spans="1:6" x14ac:dyDescent="0.3">
      <c r="A1551" t="s">
        <v>44</v>
      </c>
      <c r="B1551">
        <v>2019</v>
      </c>
      <c r="C1551" t="s">
        <v>13</v>
      </c>
      <c r="D1551" s="35">
        <v>10550994.26</v>
      </c>
      <c r="E1551" s="35">
        <v>101993</v>
      </c>
      <c r="F1551" s="35">
        <v>8686961.0099999979</v>
      </c>
    </row>
    <row r="1552" spans="1:6" x14ac:dyDescent="0.3">
      <c r="A1552" t="s">
        <v>44</v>
      </c>
      <c r="B1552">
        <v>2019</v>
      </c>
      <c r="C1552" t="s">
        <v>16</v>
      </c>
      <c r="D1552" s="35">
        <v>1333678.94</v>
      </c>
      <c r="E1552" s="35">
        <v>7476</v>
      </c>
      <c r="F1552" s="35">
        <v>1052916.8999999999</v>
      </c>
    </row>
    <row r="1553" spans="1:6" x14ac:dyDescent="0.3">
      <c r="A1553" t="s">
        <v>44</v>
      </c>
      <c r="B1553">
        <v>2019</v>
      </c>
      <c r="C1553" t="s">
        <v>14</v>
      </c>
      <c r="D1553" s="35">
        <v>5540146.1300000008</v>
      </c>
      <c r="E1553" s="35">
        <v>156190</v>
      </c>
      <c r="F1553" s="35">
        <v>3836563.59</v>
      </c>
    </row>
    <row r="1554" spans="1:6" x14ac:dyDescent="0.3">
      <c r="A1554" t="s">
        <v>44</v>
      </c>
      <c r="B1554">
        <v>2019</v>
      </c>
      <c r="C1554" t="s">
        <v>7</v>
      </c>
      <c r="D1554" s="35">
        <v>1271682.1599999999</v>
      </c>
      <c r="E1554" s="35">
        <v>539</v>
      </c>
      <c r="F1554" s="35">
        <v>1271682.1599999999</v>
      </c>
    </row>
    <row r="1555" spans="1:6" x14ac:dyDescent="0.3">
      <c r="A1555" t="s">
        <v>44</v>
      </c>
      <c r="B1555">
        <v>2019</v>
      </c>
      <c r="C1555" t="s">
        <v>11</v>
      </c>
      <c r="D1555" s="35">
        <v>2601457.36</v>
      </c>
      <c r="E1555" s="35">
        <v>25317</v>
      </c>
      <c r="F1555" s="35">
        <v>2477867.77</v>
      </c>
    </row>
    <row r="1556" spans="1:6" x14ac:dyDescent="0.3">
      <c r="A1556" t="s">
        <v>44</v>
      </c>
      <c r="B1556">
        <v>2019</v>
      </c>
      <c r="C1556" t="s">
        <v>3</v>
      </c>
      <c r="D1556" s="35">
        <v>21753057.420000002</v>
      </c>
      <c r="E1556" s="35">
        <v>87073</v>
      </c>
      <c r="F1556" s="35">
        <v>20850690.899999999</v>
      </c>
    </row>
    <row r="1557" spans="1:6" x14ac:dyDescent="0.3">
      <c r="A1557" t="s">
        <v>44</v>
      </c>
      <c r="B1557">
        <v>2019</v>
      </c>
      <c r="C1557" t="s">
        <v>12</v>
      </c>
      <c r="D1557" s="35">
        <v>16114350.83</v>
      </c>
      <c r="E1557" s="35">
        <v>244857</v>
      </c>
      <c r="F1557" s="35">
        <v>11752583.58</v>
      </c>
    </row>
    <row r="1558" spans="1:6" x14ac:dyDescent="0.3">
      <c r="A1558" t="s">
        <v>44</v>
      </c>
      <c r="B1558">
        <v>2019</v>
      </c>
      <c r="C1558" t="s">
        <v>2</v>
      </c>
      <c r="D1558" s="35">
        <v>81367968.229999989</v>
      </c>
      <c r="E1558" s="35">
        <v>691767</v>
      </c>
      <c r="F1558" s="35">
        <v>67078449.010000013</v>
      </c>
    </row>
    <row r="1559" spans="1:6" x14ac:dyDescent="0.3">
      <c r="A1559" t="s">
        <v>44</v>
      </c>
      <c r="B1559">
        <v>2019</v>
      </c>
      <c r="C1559" t="s">
        <v>5</v>
      </c>
      <c r="D1559" s="35">
        <v>6554944.9400000004</v>
      </c>
      <c r="E1559" s="35">
        <v>10313</v>
      </c>
      <c r="F1559" s="35">
        <v>6073247.669999999</v>
      </c>
    </row>
    <row r="1560" spans="1:6" x14ac:dyDescent="0.3">
      <c r="A1560" t="s">
        <v>44</v>
      </c>
      <c r="B1560">
        <v>2019</v>
      </c>
      <c r="C1560" t="s">
        <v>17</v>
      </c>
      <c r="D1560" s="35">
        <v>484253.85000000009</v>
      </c>
      <c r="E1560" s="35">
        <v>61625</v>
      </c>
      <c r="F1560" s="35">
        <v>105574.41</v>
      </c>
    </row>
    <row r="1561" spans="1:6" x14ac:dyDescent="0.3">
      <c r="A1561" t="s">
        <v>44</v>
      </c>
      <c r="B1561">
        <v>2019</v>
      </c>
      <c r="C1561" t="s">
        <v>9</v>
      </c>
      <c r="D1561" s="35">
        <v>6442592.8099999996</v>
      </c>
      <c r="E1561" s="35">
        <v>226570</v>
      </c>
      <c r="F1561" s="35">
        <v>3736366.05</v>
      </c>
    </row>
    <row r="1562" spans="1:6" x14ac:dyDescent="0.3">
      <c r="A1562" t="s">
        <v>44</v>
      </c>
      <c r="B1562">
        <v>2019</v>
      </c>
      <c r="C1562" t="s">
        <v>8</v>
      </c>
      <c r="D1562" s="35">
        <v>10184604.42</v>
      </c>
      <c r="E1562" s="35">
        <v>1059</v>
      </c>
      <c r="F1562" s="35">
        <v>10184604.42</v>
      </c>
    </row>
    <row r="1563" spans="1:6" x14ac:dyDescent="0.3">
      <c r="A1563" t="s">
        <v>44</v>
      </c>
      <c r="B1563">
        <v>2019</v>
      </c>
      <c r="C1563" t="s">
        <v>6</v>
      </c>
      <c r="D1563" s="35">
        <v>19815752.710000001</v>
      </c>
      <c r="E1563" s="35">
        <v>237870</v>
      </c>
      <c r="F1563" s="35">
        <v>17558019.260000002</v>
      </c>
    </row>
    <row r="1564" spans="1:6" x14ac:dyDescent="0.3">
      <c r="A1564" t="s">
        <v>44</v>
      </c>
      <c r="B1564">
        <v>2019</v>
      </c>
      <c r="C1564" t="s">
        <v>15</v>
      </c>
      <c r="D1564" s="35">
        <v>7904268.3899999978</v>
      </c>
      <c r="E1564" s="35">
        <v>121993</v>
      </c>
      <c r="F1564" s="35">
        <v>5753726.6899999985</v>
      </c>
    </row>
    <row r="1565" spans="1:6" x14ac:dyDescent="0.3">
      <c r="A1565" t="s">
        <v>44</v>
      </c>
      <c r="B1565">
        <v>2019</v>
      </c>
      <c r="C1565" t="s">
        <v>18</v>
      </c>
      <c r="D1565" s="35">
        <v>1327982.06</v>
      </c>
      <c r="E1565" s="35">
        <v>12693</v>
      </c>
      <c r="F1565" s="35">
        <v>1182874.06</v>
      </c>
    </row>
    <row r="1566" spans="1:6" x14ac:dyDescent="0.3">
      <c r="A1566" t="s">
        <v>44</v>
      </c>
      <c r="B1566">
        <v>2020</v>
      </c>
      <c r="C1566" t="s">
        <v>10</v>
      </c>
      <c r="D1566" s="35">
        <v>12940305.33</v>
      </c>
      <c r="E1566" s="35">
        <v>379179</v>
      </c>
      <c r="F1566" s="35">
        <v>7657524.1999999993</v>
      </c>
    </row>
    <row r="1567" spans="1:6" x14ac:dyDescent="0.3">
      <c r="A1567" t="s">
        <v>44</v>
      </c>
      <c r="B1567">
        <v>2020</v>
      </c>
      <c r="C1567" t="s">
        <v>4</v>
      </c>
      <c r="D1567" s="35">
        <v>39158098.719999991</v>
      </c>
      <c r="E1567" s="35">
        <v>137240</v>
      </c>
      <c r="F1567" s="35">
        <v>38375207.649999991</v>
      </c>
    </row>
    <row r="1568" spans="1:6" x14ac:dyDescent="0.3">
      <c r="A1568" t="s">
        <v>44</v>
      </c>
      <c r="B1568">
        <v>2020</v>
      </c>
      <c r="C1568" t="s">
        <v>13</v>
      </c>
      <c r="D1568" s="35">
        <v>16896815.140000001</v>
      </c>
      <c r="E1568" s="35">
        <v>158779</v>
      </c>
      <c r="F1568" s="35">
        <v>13667391.140000001</v>
      </c>
    </row>
    <row r="1569" spans="1:6" x14ac:dyDescent="0.3">
      <c r="A1569" t="s">
        <v>44</v>
      </c>
      <c r="B1569">
        <v>2020</v>
      </c>
      <c r="C1569" t="s">
        <v>16</v>
      </c>
      <c r="D1569" s="35">
        <v>2334761.77</v>
      </c>
      <c r="E1569" s="35">
        <v>10709</v>
      </c>
      <c r="F1569" s="35">
        <v>1937574.04</v>
      </c>
    </row>
    <row r="1570" spans="1:6" x14ac:dyDescent="0.3">
      <c r="A1570" t="s">
        <v>44</v>
      </c>
      <c r="B1570">
        <v>2020</v>
      </c>
      <c r="C1570" t="s">
        <v>14</v>
      </c>
      <c r="D1570" s="35">
        <v>9026595.8199999984</v>
      </c>
      <c r="E1570" s="35">
        <v>241727</v>
      </c>
      <c r="F1570" s="35">
        <v>5737432.3499999987</v>
      </c>
    </row>
    <row r="1571" spans="1:6" x14ac:dyDescent="0.3">
      <c r="A1571" t="s">
        <v>44</v>
      </c>
      <c r="B1571">
        <v>2020</v>
      </c>
      <c r="C1571" t="s">
        <v>7</v>
      </c>
      <c r="D1571" s="35">
        <v>3328947.2</v>
      </c>
      <c r="E1571" s="35">
        <v>1367</v>
      </c>
      <c r="F1571" s="35">
        <v>3275984.96</v>
      </c>
    </row>
    <row r="1572" spans="1:6" x14ac:dyDescent="0.3">
      <c r="A1572" t="s">
        <v>44</v>
      </c>
      <c r="B1572">
        <v>2020</v>
      </c>
      <c r="C1572" t="s">
        <v>11</v>
      </c>
      <c r="D1572" s="35">
        <v>5589044.1200000001</v>
      </c>
      <c r="E1572" s="35">
        <v>27495</v>
      </c>
      <c r="F1572" s="35">
        <v>5386744.5899999999</v>
      </c>
    </row>
    <row r="1573" spans="1:6" x14ac:dyDescent="0.3">
      <c r="A1573" t="s">
        <v>44</v>
      </c>
      <c r="B1573">
        <v>2020</v>
      </c>
      <c r="C1573" t="s">
        <v>3</v>
      </c>
      <c r="D1573" s="35">
        <v>50762434.36999999</v>
      </c>
      <c r="E1573" s="35">
        <v>116636</v>
      </c>
      <c r="F1573" s="35">
        <v>49355221.430000007</v>
      </c>
    </row>
    <row r="1574" spans="1:6" x14ac:dyDescent="0.3">
      <c r="A1574" t="s">
        <v>44</v>
      </c>
      <c r="B1574">
        <v>2020</v>
      </c>
      <c r="C1574" t="s">
        <v>12</v>
      </c>
      <c r="D1574" s="35">
        <v>20310585.109999999</v>
      </c>
      <c r="E1574" s="35">
        <v>265705</v>
      </c>
      <c r="F1574" s="35">
        <v>15475489.539999999</v>
      </c>
    </row>
    <row r="1575" spans="1:6" x14ac:dyDescent="0.3">
      <c r="A1575" t="s">
        <v>44</v>
      </c>
      <c r="B1575">
        <v>2020</v>
      </c>
      <c r="C1575" t="s">
        <v>2</v>
      </c>
      <c r="D1575" s="35">
        <v>108147817.59999999</v>
      </c>
      <c r="E1575" s="35">
        <v>1025521</v>
      </c>
      <c r="F1575" s="35">
        <v>88758620.099999994</v>
      </c>
    </row>
    <row r="1576" spans="1:6" x14ac:dyDescent="0.3">
      <c r="A1576" t="s">
        <v>44</v>
      </c>
      <c r="B1576">
        <v>2020</v>
      </c>
      <c r="C1576" t="s">
        <v>5</v>
      </c>
      <c r="D1576" s="35">
        <v>17455012.120000001</v>
      </c>
      <c r="E1576" s="35">
        <v>16906</v>
      </c>
      <c r="F1576" s="35">
        <v>16723292.050000001</v>
      </c>
    </row>
    <row r="1577" spans="1:6" x14ac:dyDescent="0.3">
      <c r="A1577" t="s">
        <v>44</v>
      </c>
      <c r="B1577">
        <v>2020</v>
      </c>
      <c r="C1577" t="s">
        <v>17</v>
      </c>
      <c r="D1577" s="35">
        <v>931977.59999999986</v>
      </c>
      <c r="E1577" s="35">
        <v>88207</v>
      </c>
      <c r="F1577" s="35">
        <v>278537.55</v>
      </c>
    </row>
    <row r="1578" spans="1:6" x14ac:dyDescent="0.3">
      <c r="A1578" t="s">
        <v>44</v>
      </c>
      <c r="B1578">
        <v>2020</v>
      </c>
      <c r="C1578" t="s">
        <v>9</v>
      </c>
      <c r="D1578" s="35">
        <v>13167937</v>
      </c>
      <c r="E1578" s="35">
        <v>387871</v>
      </c>
      <c r="F1578" s="35">
        <v>8174973.7799999984</v>
      </c>
    </row>
    <row r="1579" spans="1:6" x14ac:dyDescent="0.3">
      <c r="A1579" t="s">
        <v>44</v>
      </c>
      <c r="B1579">
        <v>2020</v>
      </c>
      <c r="C1579" t="s">
        <v>8</v>
      </c>
      <c r="D1579" s="35">
        <v>13403886.17</v>
      </c>
      <c r="E1579" s="35">
        <v>1198</v>
      </c>
      <c r="F1579" s="35">
        <v>13403886.17</v>
      </c>
    </row>
    <row r="1580" spans="1:6" x14ac:dyDescent="0.3">
      <c r="A1580" t="s">
        <v>44</v>
      </c>
      <c r="B1580">
        <v>2020</v>
      </c>
      <c r="C1580" t="s">
        <v>6</v>
      </c>
      <c r="D1580" s="35">
        <v>28552950.640000001</v>
      </c>
      <c r="E1580" s="35">
        <v>318218</v>
      </c>
      <c r="F1580" s="35">
        <v>24550810.780000001</v>
      </c>
    </row>
    <row r="1581" spans="1:6" x14ac:dyDescent="0.3">
      <c r="A1581" t="s">
        <v>44</v>
      </c>
      <c r="B1581">
        <v>2020</v>
      </c>
      <c r="C1581" t="s">
        <v>15</v>
      </c>
      <c r="D1581" s="35">
        <v>7730681.96</v>
      </c>
      <c r="E1581" s="35">
        <v>140684</v>
      </c>
      <c r="F1581" s="35">
        <v>4716560.4300000006</v>
      </c>
    </row>
    <row r="1582" spans="1:6" x14ac:dyDescent="0.3">
      <c r="A1582" t="s">
        <v>44</v>
      </c>
      <c r="B1582">
        <v>2020</v>
      </c>
      <c r="C1582" t="s">
        <v>18</v>
      </c>
      <c r="D1582" s="35">
        <v>1880683.639999999</v>
      </c>
      <c r="E1582" s="35">
        <v>17459</v>
      </c>
      <c r="F1582" s="35">
        <v>1640706.34</v>
      </c>
    </row>
    <row r="1583" spans="1:6" x14ac:dyDescent="0.3">
      <c r="A1583" t="s">
        <v>44</v>
      </c>
      <c r="B1583">
        <v>2021</v>
      </c>
      <c r="C1583" t="s">
        <v>10</v>
      </c>
      <c r="D1583" s="35">
        <v>18435350.84</v>
      </c>
      <c r="E1583" s="35">
        <v>464798</v>
      </c>
      <c r="F1583" s="35">
        <v>11932097.42</v>
      </c>
    </row>
    <row r="1584" spans="1:6" x14ac:dyDescent="0.3">
      <c r="A1584" t="s">
        <v>44</v>
      </c>
      <c r="B1584">
        <v>2021</v>
      </c>
      <c r="C1584" t="s">
        <v>4</v>
      </c>
      <c r="D1584" s="35">
        <v>54482151.82</v>
      </c>
      <c r="E1584" s="35">
        <v>169963</v>
      </c>
      <c r="F1584" s="35">
        <v>53400851.170000017</v>
      </c>
    </row>
    <row r="1585" spans="1:6" x14ac:dyDescent="0.3">
      <c r="A1585" t="s">
        <v>44</v>
      </c>
      <c r="B1585">
        <v>2021</v>
      </c>
      <c r="C1585" t="s">
        <v>13</v>
      </c>
      <c r="D1585" s="35">
        <v>19941632.679999989</v>
      </c>
      <c r="E1585" s="35">
        <v>187804</v>
      </c>
      <c r="F1585" s="35">
        <v>15959848.189999999</v>
      </c>
    </row>
    <row r="1586" spans="1:6" x14ac:dyDescent="0.3">
      <c r="A1586" t="s">
        <v>44</v>
      </c>
      <c r="B1586">
        <v>2021</v>
      </c>
      <c r="C1586" t="s">
        <v>16</v>
      </c>
      <c r="D1586" s="35">
        <v>3423496.93</v>
      </c>
      <c r="E1586" s="35">
        <v>13491</v>
      </c>
      <c r="F1586" s="35">
        <v>2934479.72</v>
      </c>
    </row>
    <row r="1587" spans="1:6" x14ac:dyDescent="0.3">
      <c r="A1587" t="s">
        <v>44</v>
      </c>
      <c r="B1587">
        <v>2021</v>
      </c>
      <c r="C1587" t="s">
        <v>14</v>
      </c>
      <c r="D1587" s="35">
        <v>11166242.27</v>
      </c>
      <c r="E1587" s="35">
        <v>291626</v>
      </c>
      <c r="F1587" s="35">
        <v>7189265.9900000002</v>
      </c>
    </row>
    <row r="1588" spans="1:6" x14ac:dyDescent="0.3">
      <c r="A1588" t="s">
        <v>44</v>
      </c>
      <c r="B1588">
        <v>2021</v>
      </c>
      <c r="C1588" t="s">
        <v>7</v>
      </c>
      <c r="D1588" s="35">
        <v>3873299.97</v>
      </c>
      <c r="E1588" s="35">
        <v>1574</v>
      </c>
      <c r="F1588" s="35">
        <v>3842413.89</v>
      </c>
    </row>
    <row r="1589" spans="1:6" x14ac:dyDescent="0.3">
      <c r="A1589" t="s">
        <v>44</v>
      </c>
      <c r="B1589">
        <v>2021</v>
      </c>
      <c r="C1589" t="s">
        <v>11</v>
      </c>
      <c r="D1589" s="35">
        <v>9694818.6100000013</v>
      </c>
      <c r="E1589" s="35">
        <v>32821</v>
      </c>
      <c r="F1589" s="35">
        <v>9422122.1000000015</v>
      </c>
    </row>
    <row r="1590" spans="1:6" x14ac:dyDescent="0.3">
      <c r="A1590" t="s">
        <v>44</v>
      </c>
      <c r="B1590">
        <v>2021</v>
      </c>
      <c r="C1590" t="s">
        <v>3</v>
      </c>
      <c r="D1590" s="35">
        <v>82570937.420000017</v>
      </c>
      <c r="E1590" s="35">
        <v>142809</v>
      </c>
      <c r="F1590" s="35">
        <v>80940889.290000021</v>
      </c>
    </row>
    <row r="1591" spans="1:6" x14ac:dyDescent="0.3">
      <c r="A1591" t="s">
        <v>44</v>
      </c>
      <c r="B1591">
        <v>2021</v>
      </c>
      <c r="C1591" t="s">
        <v>12</v>
      </c>
      <c r="D1591" s="35">
        <v>17093574.23</v>
      </c>
      <c r="E1591" s="35">
        <v>296373</v>
      </c>
      <c r="F1591" s="35">
        <v>12112435.08</v>
      </c>
    </row>
    <row r="1592" spans="1:6" x14ac:dyDescent="0.3">
      <c r="A1592" t="s">
        <v>44</v>
      </c>
      <c r="B1592">
        <v>2021</v>
      </c>
      <c r="C1592" t="s">
        <v>2</v>
      </c>
      <c r="D1592" s="35">
        <v>143833010.41999999</v>
      </c>
      <c r="E1592" s="35">
        <v>1199909</v>
      </c>
      <c r="F1592" s="35">
        <v>126055978.27</v>
      </c>
    </row>
    <row r="1593" spans="1:6" x14ac:dyDescent="0.3">
      <c r="A1593" t="s">
        <v>44</v>
      </c>
      <c r="B1593">
        <v>2021</v>
      </c>
      <c r="C1593" t="s">
        <v>5</v>
      </c>
      <c r="D1593" s="35">
        <v>23177591.25</v>
      </c>
      <c r="E1593" s="35">
        <v>20847</v>
      </c>
      <c r="F1593" s="35">
        <v>22393274.949999999</v>
      </c>
    </row>
    <row r="1594" spans="1:6" x14ac:dyDescent="0.3">
      <c r="A1594" t="s">
        <v>44</v>
      </c>
      <c r="B1594">
        <v>2021</v>
      </c>
      <c r="C1594" t="s">
        <v>17</v>
      </c>
      <c r="D1594" s="35">
        <v>957208.13999999978</v>
      </c>
      <c r="E1594" s="35">
        <v>105727</v>
      </c>
      <c r="F1594" s="35">
        <v>293651.76000000013</v>
      </c>
    </row>
    <row r="1595" spans="1:6" x14ac:dyDescent="0.3">
      <c r="A1595" t="s">
        <v>44</v>
      </c>
      <c r="B1595">
        <v>2021</v>
      </c>
      <c r="C1595" t="s">
        <v>9</v>
      </c>
      <c r="D1595" s="35">
        <v>16311709.58</v>
      </c>
      <c r="E1595" s="35">
        <v>442898</v>
      </c>
      <c r="F1595" s="35">
        <v>10860529.41</v>
      </c>
    </row>
    <row r="1596" spans="1:6" x14ac:dyDescent="0.3">
      <c r="A1596" t="s">
        <v>44</v>
      </c>
      <c r="B1596">
        <v>2021</v>
      </c>
      <c r="C1596" t="s">
        <v>8</v>
      </c>
      <c r="D1596" s="35">
        <v>18159112.620000001</v>
      </c>
      <c r="E1596" s="35">
        <v>1379</v>
      </c>
      <c r="F1596" s="35">
        <v>18159112.620000001</v>
      </c>
    </row>
    <row r="1597" spans="1:6" x14ac:dyDescent="0.3">
      <c r="A1597" t="s">
        <v>44</v>
      </c>
      <c r="B1597">
        <v>2021</v>
      </c>
      <c r="C1597" t="s">
        <v>6</v>
      </c>
      <c r="D1597" s="35">
        <v>33436744.16</v>
      </c>
      <c r="E1597" s="35">
        <v>348021</v>
      </c>
      <c r="F1597" s="35">
        <v>29844124.440000009</v>
      </c>
    </row>
    <row r="1598" spans="1:6" x14ac:dyDescent="0.3">
      <c r="A1598" t="s">
        <v>44</v>
      </c>
      <c r="B1598">
        <v>2021</v>
      </c>
      <c r="C1598" t="s">
        <v>15</v>
      </c>
      <c r="D1598" s="35">
        <v>7277109.6099999994</v>
      </c>
      <c r="E1598" s="35">
        <v>147826</v>
      </c>
      <c r="F1598" s="35">
        <v>4388670.7300000004</v>
      </c>
    </row>
    <row r="1599" spans="1:6" x14ac:dyDescent="0.3">
      <c r="A1599" t="s">
        <v>44</v>
      </c>
      <c r="B1599">
        <v>2021</v>
      </c>
      <c r="C1599" t="s">
        <v>18</v>
      </c>
      <c r="D1599" s="35">
        <v>2026679.68</v>
      </c>
      <c r="E1599" s="35">
        <v>20054</v>
      </c>
      <c r="F1599" s="35">
        <v>1762955.59</v>
      </c>
    </row>
    <row r="1600" spans="1:6" x14ac:dyDescent="0.3">
      <c r="A1600" t="s">
        <v>44</v>
      </c>
      <c r="B1600">
        <v>2022</v>
      </c>
      <c r="C1600" t="s">
        <v>10</v>
      </c>
      <c r="D1600" s="35">
        <v>20023956.27</v>
      </c>
      <c r="E1600" s="35">
        <v>526569</v>
      </c>
      <c r="F1600" s="35">
        <v>13088444.460000001</v>
      </c>
    </row>
    <row r="1601" spans="1:6" x14ac:dyDescent="0.3">
      <c r="A1601" t="s">
        <v>44</v>
      </c>
      <c r="B1601">
        <v>2022</v>
      </c>
      <c r="C1601" t="s">
        <v>4</v>
      </c>
      <c r="D1601" s="35">
        <v>72036322.25</v>
      </c>
      <c r="E1601" s="35">
        <v>195420</v>
      </c>
      <c r="F1601" s="35">
        <v>70880375.25999999</v>
      </c>
    </row>
    <row r="1602" spans="1:6" x14ac:dyDescent="0.3">
      <c r="A1602" t="s">
        <v>44</v>
      </c>
      <c r="B1602">
        <v>2022</v>
      </c>
      <c r="C1602" t="s">
        <v>13</v>
      </c>
      <c r="D1602" s="35">
        <v>23408517.93</v>
      </c>
      <c r="E1602" s="35">
        <v>204628</v>
      </c>
      <c r="F1602" s="35">
        <v>19141748.690000009</v>
      </c>
    </row>
    <row r="1603" spans="1:6" x14ac:dyDescent="0.3">
      <c r="A1603" t="s">
        <v>44</v>
      </c>
      <c r="B1603">
        <v>2022</v>
      </c>
      <c r="C1603" t="s">
        <v>16</v>
      </c>
      <c r="D1603" s="35">
        <v>5032397.5699999994</v>
      </c>
      <c r="E1603" s="35">
        <v>15374</v>
      </c>
      <c r="F1603" s="35">
        <v>4498397.7199999988</v>
      </c>
    </row>
    <row r="1604" spans="1:6" x14ac:dyDescent="0.3">
      <c r="A1604" t="s">
        <v>44</v>
      </c>
      <c r="B1604">
        <v>2022</v>
      </c>
      <c r="C1604" t="s">
        <v>14</v>
      </c>
      <c r="D1604" s="35">
        <v>12916691.890000001</v>
      </c>
      <c r="E1604" s="35">
        <v>321793</v>
      </c>
      <c r="F1604" s="35">
        <v>8619461.209999999</v>
      </c>
    </row>
    <row r="1605" spans="1:6" x14ac:dyDescent="0.3">
      <c r="A1605" t="s">
        <v>44</v>
      </c>
      <c r="B1605">
        <v>2022</v>
      </c>
      <c r="C1605" t="s">
        <v>7</v>
      </c>
      <c r="D1605" s="35">
        <v>3399789.64</v>
      </c>
      <c r="E1605" s="35">
        <v>1518</v>
      </c>
      <c r="F1605" s="35">
        <v>3391466.669999999</v>
      </c>
    </row>
    <row r="1606" spans="1:6" x14ac:dyDescent="0.3">
      <c r="A1606" t="s">
        <v>44</v>
      </c>
      <c r="B1606">
        <v>2022</v>
      </c>
      <c r="C1606" t="s">
        <v>11</v>
      </c>
      <c r="D1606" s="35">
        <v>11401030.439999999</v>
      </c>
      <c r="E1606" s="35">
        <v>35569</v>
      </c>
      <c r="F1606" s="35">
        <v>10971082.439999999</v>
      </c>
    </row>
    <row r="1607" spans="1:6" x14ac:dyDescent="0.3">
      <c r="A1607" t="s">
        <v>44</v>
      </c>
      <c r="B1607">
        <v>2022</v>
      </c>
      <c r="C1607" t="s">
        <v>3</v>
      </c>
      <c r="D1607" s="35">
        <v>103573559.75</v>
      </c>
      <c r="E1607" s="35">
        <v>159308</v>
      </c>
      <c r="F1607" s="35">
        <v>101910108.97</v>
      </c>
    </row>
    <row r="1608" spans="1:6" x14ac:dyDescent="0.3">
      <c r="A1608" t="s">
        <v>44</v>
      </c>
      <c r="B1608">
        <v>2022</v>
      </c>
      <c r="C1608" t="s">
        <v>12</v>
      </c>
      <c r="D1608" s="35">
        <v>17609152.75</v>
      </c>
      <c r="E1608" s="35">
        <v>351872</v>
      </c>
      <c r="F1608" s="35">
        <v>11729423</v>
      </c>
    </row>
    <row r="1609" spans="1:6" x14ac:dyDescent="0.3">
      <c r="A1609" t="s">
        <v>44</v>
      </c>
      <c r="B1609">
        <v>2022</v>
      </c>
      <c r="C1609" t="s">
        <v>2</v>
      </c>
      <c r="D1609" s="35">
        <v>173958621.03</v>
      </c>
      <c r="E1609" s="35">
        <v>1322147</v>
      </c>
      <c r="F1609" s="35">
        <v>155597055.65000001</v>
      </c>
    </row>
    <row r="1610" spans="1:6" x14ac:dyDescent="0.3">
      <c r="A1610" t="s">
        <v>44</v>
      </c>
      <c r="B1610">
        <v>2022</v>
      </c>
      <c r="C1610" t="s">
        <v>5</v>
      </c>
      <c r="D1610" s="35">
        <v>29415889.969999999</v>
      </c>
      <c r="E1610" s="35">
        <v>20806</v>
      </c>
      <c r="F1610" s="35">
        <v>28842073.309999999</v>
      </c>
    </row>
    <row r="1611" spans="1:6" x14ac:dyDescent="0.3">
      <c r="A1611" t="s">
        <v>44</v>
      </c>
      <c r="B1611">
        <v>2022</v>
      </c>
      <c r="C1611" t="s">
        <v>17</v>
      </c>
      <c r="D1611" s="35">
        <v>1047675.71</v>
      </c>
      <c r="E1611" s="35">
        <v>128175</v>
      </c>
      <c r="F1611" s="35">
        <v>305032.31</v>
      </c>
    </row>
    <row r="1612" spans="1:6" x14ac:dyDescent="0.3">
      <c r="A1612" t="s">
        <v>44</v>
      </c>
      <c r="B1612">
        <v>2022</v>
      </c>
      <c r="C1612" t="s">
        <v>9</v>
      </c>
      <c r="D1612" s="35">
        <v>18368827.760000009</v>
      </c>
      <c r="E1612" s="35">
        <v>469511</v>
      </c>
      <c r="F1612" s="35">
        <v>11845396.710000001</v>
      </c>
    </row>
    <row r="1613" spans="1:6" x14ac:dyDescent="0.3">
      <c r="A1613" t="s">
        <v>44</v>
      </c>
      <c r="B1613">
        <v>2022</v>
      </c>
      <c r="C1613" t="s">
        <v>8</v>
      </c>
      <c r="D1613" s="35">
        <v>22171722.32</v>
      </c>
      <c r="E1613" s="35">
        <v>1457</v>
      </c>
      <c r="F1613" s="35">
        <v>22171722.32</v>
      </c>
    </row>
    <row r="1614" spans="1:6" x14ac:dyDescent="0.3">
      <c r="A1614" t="s">
        <v>44</v>
      </c>
      <c r="B1614">
        <v>2022</v>
      </c>
      <c r="C1614" t="s">
        <v>6</v>
      </c>
      <c r="D1614" s="35">
        <v>36438862.82</v>
      </c>
      <c r="E1614" s="35">
        <v>383980</v>
      </c>
      <c r="F1614" s="35">
        <v>31956250.280000001</v>
      </c>
    </row>
    <row r="1615" spans="1:6" x14ac:dyDescent="0.3">
      <c r="A1615" t="s">
        <v>44</v>
      </c>
      <c r="B1615">
        <v>2022</v>
      </c>
      <c r="C1615" t="s">
        <v>15</v>
      </c>
      <c r="D1615" s="35">
        <v>7234340.660000002</v>
      </c>
      <c r="E1615" s="35">
        <v>137214</v>
      </c>
      <c r="F1615" s="35">
        <v>4725898.6999999993</v>
      </c>
    </row>
    <row r="1616" spans="1:6" x14ac:dyDescent="0.3">
      <c r="A1616" t="s">
        <v>44</v>
      </c>
      <c r="B1616">
        <v>2022</v>
      </c>
      <c r="C1616" t="s">
        <v>18</v>
      </c>
      <c r="D1616" s="35">
        <v>2086861.42</v>
      </c>
      <c r="E1616" s="35">
        <v>20170</v>
      </c>
      <c r="F1616" s="35">
        <v>1783087.15</v>
      </c>
    </row>
    <row r="1617" spans="1:6" x14ac:dyDescent="0.3">
      <c r="A1617" t="s">
        <v>44</v>
      </c>
      <c r="B1617">
        <v>2023</v>
      </c>
      <c r="C1617" t="s">
        <v>10</v>
      </c>
      <c r="D1617" s="35">
        <v>21129120.989999998</v>
      </c>
      <c r="E1617" s="35">
        <v>514544</v>
      </c>
      <c r="F1617" s="35">
        <v>14466435.92</v>
      </c>
    </row>
    <row r="1618" spans="1:6" x14ac:dyDescent="0.3">
      <c r="A1618" t="s">
        <v>44</v>
      </c>
      <c r="B1618">
        <v>2023</v>
      </c>
      <c r="C1618" t="s">
        <v>4</v>
      </c>
      <c r="D1618" s="35">
        <v>87816518.519999996</v>
      </c>
      <c r="E1618" s="35">
        <v>201302</v>
      </c>
      <c r="F1618" s="35">
        <v>86765030.959999979</v>
      </c>
    </row>
    <row r="1619" spans="1:6" x14ac:dyDescent="0.3">
      <c r="A1619" t="s">
        <v>44</v>
      </c>
      <c r="B1619">
        <v>2023</v>
      </c>
      <c r="C1619" t="s">
        <v>13</v>
      </c>
      <c r="D1619" s="35">
        <v>20638399.030000009</v>
      </c>
      <c r="E1619" s="35">
        <v>193372</v>
      </c>
      <c r="F1619" s="35">
        <v>16725923.9</v>
      </c>
    </row>
    <row r="1620" spans="1:6" x14ac:dyDescent="0.3">
      <c r="A1620" t="s">
        <v>44</v>
      </c>
      <c r="B1620">
        <v>2023</v>
      </c>
      <c r="C1620" t="s">
        <v>16</v>
      </c>
      <c r="D1620" s="35">
        <v>4269713.3199999994</v>
      </c>
      <c r="E1620" s="35">
        <v>16326</v>
      </c>
      <c r="F1620" s="35">
        <v>3675550.3599999989</v>
      </c>
    </row>
    <row r="1621" spans="1:6" x14ac:dyDescent="0.3">
      <c r="A1621" t="s">
        <v>44</v>
      </c>
      <c r="B1621">
        <v>2023</v>
      </c>
      <c r="C1621" t="s">
        <v>14</v>
      </c>
      <c r="D1621" s="35">
        <v>12110116.689999999</v>
      </c>
      <c r="E1621" s="35">
        <v>307862</v>
      </c>
      <c r="F1621" s="35">
        <v>8198178.6900000023</v>
      </c>
    </row>
    <row r="1622" spans="1:6" x14ac:dyDescent="0.3">
      <c r="A1622" t="s">
        <v>44</v>
      </c>
      <c r="B1622">
        <v>2023</v>
      </c>
      <c r="C1622" t="s">
        <v>7</v>
      </c>
      <c r="D1622" s="35">
        <v>3264617.26</v>
      </c>
      <c r="E1622" s="35">
        <v>1360</v>
      </c>
      <c r="F1622" s="35">
        <v>3256117.919999999</v>
      </c>
    </row>
    <row r="1623" spans="1:6" x14ac:dyDescent="0.3">
      <c r="A1623" t="s">
        <v>44</v>
      </c>
      <c r="B1623">
        <v>2023</v>
      </c>
      <c r="C1623" t="s">
        <v>11</v>
      </c>
      <c r="D1623" s="35">
        <v>9247122.7999999989</v>
      </c>
      <c r="E1623" s="35">
        <v>31248</v>
      </c>
      <c r="F1623" s="35">
        <v>8795293.6100000013</v>
      </c>
    </row>
    <row r="1624" spans="1:6" x14ac:dyDescent="0.3">
      <c r="A1624" t="s">
        <v>44</v>
      </c>
      <c r="B1624">
        <v>2023</v>
      </c>
      <c r="C1624" t="s">
        <v>3</v>
      </c>
      <c r="D1624" s="35">
        <v>112007041.42</v>
      </c>
      <c r="E1624" s="35">
        <v>147540</v>
      </c>
      <c r="F1624" s="35">
        <v>110556060.75</v>
      </c>
    </row>
    <row r="1625" spans="1:6" x14ac:dyDescent="0.3">
      <c r="A1625" t="s">
        <v>44</v>
      </c>
      <c r="B1625">
        <v>2023</v>
      </c>
      <c r="C1625" t="s">
        <v>12</v>
      </c>
      <c r="D1625" s="35">
        <v>14897325.24</v>
      </c>
      <c r="E1625" s="35">
        <v>324240</v>
      </c>
      <c r="F1625" s="35">
        <v>9822593.6500000004</v>
      </c>
    </row>
    <row r="1626" spans="1:6" x14ac:dyDescent="0.3">
      <c r="A1626" t="s">
        <v>44</v>
      </c>
      <c r="B1626">
        <v>2023</v>
      </c>
      <c r="C1626" t="s">
        <v>2</v>
      </c>
      <c r="D1626" s="35">
        <v>188013075.69</v>
      </c>
      <c r="E1626" s="35">
        <v>1300995</v>
      </c>
      <c r="F1626" s="35">
        <v>170284346.99000001</v>
      </c>
    </row>
    <row r="1627" spans="1:6" x14ac:dyDescent="0.3">
      <c r="A1627" t="s">
        <v>44</v>
      </c>
      <c r="B1627">
        <v>2023</v>
      </c>
      <c r="C1627" t="s">
        <v>5</v>
      </c>
      <c r="D1627" s="35">
        <v>25984754.739999998</v>
      </c>
      <c r="E1627" s="35">
        <v>18894</v>
      </c>
      <c r="F1627" s="35">
        <v>25490739.670000002</v>
      </c>
    </row>
    <row r="1628" spans="1:6" x14ac:dyDescent="0.3">
      <c r="A1628" t="s">
        <v>44</v>
      </c>
      <c r="B1628">
        <v>2023</v>
      </c>
      <c r="C1628" t="s">
        <v>17</v>
      </c>
      <c r="D1628" s="35">
        <v>1195794.79</v>
      </c>
      <c r="E1628" s="35">
        <v>118620</v>
      </c>
      <c r="F1628" s="35">
        <v>487898.15</v>
      </c>
    </row>
    <row r="1629" spans="1:6" x14ac:dyDescent="0.3">
      <c r="A1629" t="s">
        <v>44</v>
      </c>
      <c r="B1629">
        <v>2023</v>
      </c>
      <c r="C1629" t="s">
        <v>9</v>
      </c>
      <c r="D1629" s="35">
        <v>19231301.879999999</v>
      </c>
      <c r="E1629" s="35">
        <v>452897</v>
      </c>
      <c r="F1629" s="35">
        <v>12931544.779999999</v>
      </c>
    </row>
    <row r="1630" spans="1:6" x14ac:dyDescent="0.3">
      <c r="A1630" t="s">
        <v>44</v>
      </c>
      <c r="B1630">
        <v>2023</v>
      </c>
      <c r="C1630" t="s">
        <v>8</v>
      </c>
      <c r="D1630" s="35">
        <v>28142711.710000001</v>
      </c>
      <c r="E1630" s="35">
        <v>1692</v>
      </c>
      <c r="F1630" s="35">
        <v>28142711.710000001</v>
      </c>
    </row>
    <row r="1631" spans="1:6" x14ac:dyDescent="0.3">
      <c r="A1631" t="s">
        <v>44</v>
      </c>
      <c r="B1631">
        <v>2023</v>
      </c>
      <c r="C1631" t="s">
        <v>6</v>
      </c>
      <c r="D1631" s="35">
        <v>35034677.790000007</v>
      </c>
      <c r="E1631" s="35">
        <v>368182</v>
      </c>
      <c r="F1631" s="35">
        <v>30352527.52</v>
      </c>
    </row>
    <row r="1632" spans="1:6" x14ac:dyDescent="0.3">
      <c r="A1632" t="s">
        <v>44</v>
      </c>
      <c r="B1632">
        <v>2023</v>
      </c>
      <c r="C1632" t="s">
        <v>15</v>
      </c>
      <c r="D1632" s="35">
        <v>6801664.9900000012</v>
      </c>
      <c r="E1632" s="35">
        <v>103452</v>
      </c>
      <c r="F1632" s="35">
        <v>4471582.08</v>
      </c>
    </row>
    <row r="1633" spans="1:6" x14ac:dyDescent="0.3">
      <c r="A1633" t="s">
        <v>44</v>
      </c>
      <c r="B1633">
        <v>2023</v>
      </c>
      <c r="C1633" t="s">
        <v>18</v>
      </c>
      <c r="D1633" s="35">
        <v>1941280.36</v>
      </c>
      <c r="E1633" s="35">
        <v>17818</v>
      </c>
      <c r="F1633" s="35">
        <v>1695067.69</v>
      </c>
    </row>
    <row r="1634" spans="1:6" x14ac:dyDescent="0.3">
      <c r="A1634" t="s">
        <v>44</v>
      </c>
      <c r="B1634">
        <v>2024</v>
      </c>
      <c r="C1634" t="s">
        <v>10</v>
      </c>
      <c r="D1634" s="35">
        <v>21824884.5</v>
      </c>
      <c r="E1634" s="35">
        <v>489336</v>
      </c>
      <c r="F1634" s="35">
        <v>15449118.300000001</v>
      </c>
    </row>
    <row r="1635" spans="1:6" x14ac:dyDescent="0.3">
      <c r="A1635" t="s">
        <v>44</v>
      </c>
      <c r="B1635">
        <v>2024</v>
      </c>
      <c r="C1635" t="s">
        <v>4</v>
      </c>
      <c r="D1635" s="35">
        <v>71252009.980000034</v>
      </c>
      <c r="E1635" s="35">
        <v>182862</v>
      </c>
      <c r="F1635" s="35">
        <v>70364343.590000004</v>
      </c>
    </row>
    <row r="1636" spans="1:6" x14ac:dyDescent="0.3">
      <c r="A1636" t="s">
        <v>44</v>
      </c>
      <c r="B1636">
        <v>2024</v>
      </c>
      <c r="C1636" t="s">
        <v>13</v>
      </c>
      <c r="D1636" s="35">
        <v>21077206.719999999</v>
      </c>
      <c r="E1636" s="35">
        <v>169510</v>
      </c>
      <c r="F1636" s="35">
        <v>17768119.25</v>
      </c>
    </row>
    <row r="1637" spans="1:6" x14ac:dyDescent="0.3">
      <c r="A1637" t="s">
        <v>44</v>
      </c>
      <c r="B1637">
        <v>2024</v>
      </c>
      <c r="C1637" t="s">
        <v>16</v>
      </c>
      <c r="D1637" s="35">
        <v>4234505.6900000004</v>
      </c>
      <c r="E1637" s="35">
        <v>13677</v>
      </c>
      <c r="F1637" s="35">
        <v>3733731.850000001</v>
      </c>
    </row>
    <row r="1638" spans="1:6" x14ac:dyDescent="0.3">
      <c r="A1638" t="s">
        <v>44</v>
      </c>
      <c r="B1638">
        <v>2024</v>
      </c>
      <c r="C1638" t="s">
        <v>14</v>
      </c>
      <c r="D1638" s="35">
        <v>12294526.16</v>
      </c>
      <c r="E1638" s="35">
        <v>299441</v>
      </c>
      <c r="F1638" s="35">
        <v>8644471.0299999993</v>
      </c>
    </row>
    <row r="1639" spans="1:6" x14ac:dyDescent="0.3">
      <c r="A1639" t="s">
        <v>44</v>
      </c>
      <c r="B1639">
        <v>2024</v>
      </c>
      <c r="C1639" t="s">
        <v>7</v>
      </c>
      <c r="D1639" s="35">
        <v>3231914.48</v>
      </c>
      <c r="E1639" s="35">
        <v>1372</v>
      </c>
      <c r="F1639" s="35">
        <v>3222945.2</v>
      </c>
    </row>
    <row r="1640" spans="1:6" x14ac:dyDescent="0.3">
      <c r="A1640" t="s">
        <v>44</v>
      </c>
      <c r="B1640">
        <v>2024</v>
      </c>
      <c r="C1640" t="s">
        <v>11</v>
      </c>
      <c r="D1640" s="35">
        <v>10153045.869999999</v>
      </c>
      <c r="E1640" s="35">
        <v>34450</v>
      </c>
      <c r="F1640" s="35">
        <v>9825191.5499999989</v>
      </c>
    </row>
    <row r="1641" spans="1:6" x14ac:dyDescent="0.3">
      <c r="A1641" t="s">
        <v>44</v>
      </c>
      <c r="B1641">
        <v>2024</v>
      </c>
      <c r="C1641" t="s">
        <v>3</v>
      </c>
      <c r="D1641" s="35">
        <v>119660828.7</v>
      </c>
      <c r="E1641" s="35">
        <v>138934</v>
      </c>
      <c r="F1641" s="35">
        <v>118340374.8</v>
      </c>
    </row>
    <row r="1642" spans="1:6" x14ac:dyDescent="0.3">
      <c r="A1642" t="s">
        <v>44</v>
      </c>
      <c r="B1642">
        <v>2024</v>
      </c>
      <c r="C1642" t="s">
        <v>12</v>
      </c>
      <c r="D1642" s="35">
        <v>11724970.26</v>
      </c>
      <c r="E1642" s="35">
        <v>294107</v>
      </c>
      <c r="F1642" s="35">
        <v>7064106.9199999999</v>
      </c>
    </row>
    <row r="1643" spans="1:6" x14ac:dyDescent="0.3">
      <c r="A1643" t="s">
        <v>44</v>
      </c>
      <c r="B1643">
        <v>2024</v>
      </c>
      <c r="C1643" t="s">
        <v>2</v>
      </c>
      <c r="D1643" s="35">
        <v>181326755.56999999</v>
      </c>
      <c r="E1643" s="35">
        <v>1229306</v>
      </c>
      <c r="F1643" s="35">
        <v>163973207.53999999</v>
      </c>
    </row>
    <row r="1644" spans="1:6" x14ac:dyDescent="0.3">
      <c r="A1644" t="s">
        <v>44</v>
      </c>
      <c r="B1644">
        <v>2024</v>
      </c>
      <c r="C1644" t="s">
        <v>5</v>
      </c>
      <c r="D1644" s="35">
        <v>24915953.039999999</v>
      </c>
      <c r="E1644" s="35">
        <v>16608</v>
      </c>
      <c r="F1644" s="35">
        <v>24442130.210000001</v>
      </c>
    </row>
    <row r="1645" spans="1:6" x14ac:dyDescent="0.3">
      <c r="A1645" t="s">
        <v>44</v>
      </c>
      <c r="B1645">
        <v>2024</v>
      </c>
      <c r="C1645" t="s">
        <v>17</v>
      </c>
      <c r="D1645" s="35">
        <v>1048916.92</v>
      </c>
      <c r="E1645" s="35">
        <v>119938</v>
      </c>
      <c r="F1645" s="35">
        <v>345887</v>
      </c>
    </row>
    <row r="1646" spans="1:6" x14ac:dyDescent="0.3">
      <c r="A1646" t="s">
        <v>44</v>
      </c>
      <c r="B1646">
        <v>2024</v>
      </c>
      <c r="C1646" t="s">
        <v>9</v>
      </c>
      <c r="D1646" s="35">
        <v>18701756.59</v>
      </c>
      <c r="E1646" s="35">
        <v>435829</v>
      </c>
      <c r="F1646" s="35">
        <v>13108049.869999999</v>
      </c>
    </row>
    <row r="1647" spans="1:6" x14ac:dyDescent="0.3">
      <c r="A1647" t="s">
        <v>44</v>
      </c>
      <c r="B1647">
        <v>2024</v>
      </c>
      <c r="C1647" t="s">
        <v>8</v>
      </c>
      <c r="D1647" s="35">
        <v>32117174.309999999</v>
      </c>
      <c r="E1647" s="35">
        <v>1555</v>
      </c>
      <c r="F1647" s="35">
        <v>32117174.309999999</v>
      </c>
    </row>
    <row r="1648" spans="1:6" x14ac:dyDescent="0.3">
      <c r="A1648" t="s">
        <v>44</v>
      </c>
      <c r="B1648">
        <v>2024</v>
      </c>
      <c r="C1648" t="s">
        <v>6</v>
      </c>
      <c r="D1648" s="35">
        <v>29012587.309999991</v>
      </c>
      <c r="E1648" s="35">
        <v>339129</v>
      </c>
      <c r="F1648" s="35">
        <v>24610525.449999999</v>
      </c>
    </row>
    <row r="1649" spans="1:6" x14ac:dyDescent="0.3">
      <c r="A1649" t="s">
        <v>44</v>
      </c>
      <c r="B1649">
        <v>2024</v>
      </c>
      <c r="C1649" t="s">
        <v>15</v>
      </c>
      <c r="D1649" s="35">
        <v>5052029.91</v>
      </c>
      <c r="E1649" s="35">
        <v>77648</v>
      </c>
      <c r="F1649" s="35">
        <v>3162271.31</v>
      </c>
    </row>
    <row r="1650" spans="1:6" x14ac:dyDescent="0.3">
      <c r="A1650" t="s">
        <v>44</v>
      </c>
      <c r="B1650">
        <v>2024</v>
      </c>
      <c r="C1650" t="s">
        <v>18</v>
      </c>
      <c r="D1650" s="35">
        <v>2375117.8199999998</v>
      </c>
      <c r="E1650" s="35">
        <v>15953</v>
      </c>
      <c r="F1650" s="35">
        <v>2171604.04</v>
      </c>
    </row>
    <row r="1651" spans="1:6" x14ac:dyDescent="0.3">
      <c r="A1651" t="s">
        <v>44</v>
      </c>
      <c r="B1651">
        <v>2025</v>
      </c>
      <c r="C1651" t="s">
        <v>10</v>
      </c>
      <c r="D1651" s="35">
        <v>21766896.210000001</v>
      </c>
      <c r="E1651" s="35">
        <v>485955</v>
      </c>
      <c r="F1651" s="35">
        <v>15369576.960000001</v>
      </c>
    </row>
    <row r="1652" spans="1:6" x14ac:dyDescent="0.3">
      <c r="A1652" t="s">
        <v>44</v>
      </c>
      <c r="B1652">
        <v>2025</v>
      </c>
      <c r="C1652" t="s">
        <v>4</v>
      </c>
      <c r="D1652" s="35">
        <v>71565932.220000014</v>
      </c>
      <c r="E1652" s="35">
        <v>177855</v>
      </c>
      <c r="F1652" s="35">
        <v>70704755.959999993</v>
      </c>
    </row>
    <row r="1653" spans="1:6" x14ac:dyDescent="0.3">
      <c r="A1653" t="s">
        <v>44</v>
      </c>
      <c r="B1653">
        <v>2025</v>
      </c>
      <c r="C1653" t="s">
        <v>13</v>
      </c>
      <c r="D1653" s="35">
        <v>22621570.050000001</v>
      </c>
      <c r="E1653" s="35">
        <v>171805</v>
      </c>
      <c r="F1653" s="35">
        <v>19352211.07</v>
      </c>
    </row>
    <row r="1654" spans="1:6" x14ac:dyDescent="0.3">
      <c r="A1654" t="s">
        <v>44</v>
      </c>
      <c r="B1654">
        <v>2025</v>
      </c>
      <c r="C1654" t="s">
        <v>16</v>
      </c>
      <c r="D1654" s="35">
        <v>3558778.169999999</v>
      </c>
      <c r="E1654" s="35">
        <v>13468</v>
      </c>
      <c r="F1654" s="35">
        <v>3109174.899999999</v>
      </c>
    </row>
    <row r="1655" spans="1:6" x14ac:dyDescent="0.3">
      <c r="A1655" t="s">
        <v>44</v>
      </c>
      <c r="B1655">
        <v>2025</v>
      </c>
      <c r="C1655" t="s">
        <v>14</v>
      </c>
      <c r="D1655" s="35">
        <v>11806837.880000001</v>
      </c>
      <c r="E1655" s="35">
        <v>292239</v>
      </c>
      <c r="F1655" s="35">
        <v>8118866.9700000007</v>
      </c>
    </row>
    <row r="1656" spans="1:6" x14ac:dyDescent="0.3">
      <c r="A1656" t="s">
        <v>44</v>
      </c>
      <c r="B1656">
        <v>2025</v>
      </c>
      <c r="C1656" t="s">
        <v>7</v>
      </c>
      <c r="D1656" s="35">
        <v>4071433.49</v>
      </c>
      <c r="E1656" s="35">
        <v>1573</v>
      </c>
      <c r="F1656" s="35">
        <v>4060559.33</v>
      </c>
    </row>
    <row r="1657" spans="1:6" x14ac:dyDescent="0.3">
      <c r="A1657" t="s">
        <v>44</v>
      </c>
      <c r="B1657">
        <v>2025</v>
      </c>
      <c r="C1657" t="s">
        <v>11</v>
      </c>
      <c r="D1657" s="35">
        <v>13726492.74</v>
      </c>
      <c r="E1657" s="35">
        <v>34525</v>
      </c>
      <c r="F1657" s="35">
        <v>13410883.09</v>
      </c>
    </row>
    <row r="1658" spans="1:6" x14ac:dyDescent="0.3">
      <c r="A1658" t="s">
        <v>44</v>
      </c>
      <c r="B1658">
        <v>2025</v>
      </c>
      <c r="C1658" t="s">
        <v>3</v>
      </c>
      <c r="D1658" s="35">
        <v>129335154.16</v>
      </c>
      <c r="E1658" s="35">
        <v>135521</v>
      </c>
      <c r="F1658" s="35">
        <v>128053534.37</v>
      </c>
    </row>
    <row r="1659" spans="1:6" x14ac:dyDescent="0.3">
      <c r="A1659" t="s">
        <v>44</v>
      </c>
      <c r="B1659">
        <v>2025</v>
      </c>
      <c r="C1659" t="s">
        <v>12</v>
      </c>
      <c r="D1659" s="35">
        <v>10406454.779999999</v>
      </c>
      <c r="E1659" s="35">
        <v>283300</v>
      </c>
      <c r="F1659" s="35">
        <v>5996143.4199999999</v>
      </c>
    </row>
    <row r="1660" spans="1:6" x14ac:dyDescent="0.3">
      <c r="A1660" t="s">
        <v>44</v>
      </c>
      <c r="B1660">
        <v>2025</v>
      </c>
      <c r="C1660" t="s">
        <v>2</v>
      </c>
      <c r="D1660" s="35">
        <v>185324695.67999989</v>
      </c>
      <c r="E1660" s="35">
        <v>1239922</v>
      </c>
      <c r="F1660" s="35">
        <v>166346825.53999999</v>
      </c>
    </row>
    <row r="1661" spans="1:6" x14ac:dyDescent="0.3">
      <c r="A1661" t="s">
        <v>44</v>
      </c>
      <c r="B1661">
        <v>2025</v>
      </c>
      <c r="C1661" t="s">
        <v>5</v>
      </c>
      <c r="D1661" s="35">
        <v>24582625.98</v>
      </c>
      <c r="E1661" s="35">
        <v>15500</v>
      </c>
      <c r="F1661" s="35">
        <v>24033149.280000001</v>
      </c>
    </row>
    <row r="1662" spans="1:6" x14ac:dyDescent="0.3">
      <c r="A1662" t="s">
        <v>44</v>
      </c>
      <c r="B1662">
        <v>2025</v>
      </c>
      <c r="C1662" t="s">
        <v>17</v>
      </c>
      <c r="D1662" s="35">
        <v>1085785.82</v>
      </c>
      <c r="E1662" s="35">
        <v>99845</v>
      </c>
      <c r="F1662" s="35">
        <v>459040.76</v>
      </c>
    </row>
    <row r="1663" spans="1:6" x14ac:dyDescent="0.3">
      <c r="A1663" t="s">
        <v>44</v>
      </c>
      <c r="B1663">
        <v>2025</v>
      </c>
      <c r="C1663" t="s">
        <v>9</v>
      </c>
      <c r="D1663" s="35">
        <v>20181084.100000001</v>
      </c>
      <c r="E1663" s="35">
        <v>424149</v>
      </c>
      <c r="F1663" s="35">
        <v>14881295.609999999</v>
      </c>
    </row>
    <row r="1664" spans="1:6" x14ac:dyDescent="0.3">
      <c r="A1664" t="s">
        <v>44</v>
      </c>
      <c r="B1664">
        <v>2025</v>
      </c>
      <c r="C1664" t="s">
        <v>8</v>
      </c>
      <c r="D1664" s="35">
        <v>32967177.16</v>
      </c>
      <c r="E1664" s="35">
        <v>1469</v>
      </c>
      <c r="F1664" s="35">
        <v>32967177.16</v>
      </c>
    </row>
    <row r="1665" spans="1:6" x14ac:dyDescent="0.3">
      <c r="A1665" t="s">
        <v>44</v>
      </c>
      <c r="B1665">
        <v>2025</v>
      </c>
      <c r="C1665" t="s">
        <v>6</v>
      </c>
      <c r="D1665" s="35">
        <v>30200209.879999992</v>
      </c>
      <c r="E1665" s="35">
        <v>331190</v>
      </c>
      <c r="F1665" s="35">
        <v>25673167.670000002</v>
      </c>
    </row>
    <row r="1666" spans="1:6" x14ac:dyDescent="0.3">
      <c r="A1666" t="s">
        <v>44</v>
      </c>
      <c r="B1666">
        <v>2025</v>
      </c>
      <c r="C1666" t="s">
        <v>15</v>
      </c>
      <c r="D1666" s="35">
        <v>3908154.169999999</v>
      </c>
      <c r="E1666" s="35">
        <v>69489</v>
      </c>
      <c r="F1666" s="35">
        <v>2226399.1800000002</v>
      </c>
    </row>
    <row r="1667" spans="1:6" x14ac:dyDescent="0.3">
      <c r="A1667" t="s">
        <v>44</v>
      </c>
      <c r="B1667">
        <v>2025</v>
      </c>
      <c r="C1667" t="s">
        <v>18</v>
      </c>
      <c r="D1667" s="35">
        <v>2491682.52</v>
      </c>
      <c r="E1667" s="35">
        <v>16066</v>
      </c>
      <c r="F1667" s="35">
        <v>2312726.59</v>
      </c>
    </row>
    <row r="1668" spans="1:6" x14ac:dyDescent="0.3">
      <c r="A1668" t="s">
        <v>45</v>
      </c>
      <c r="B1668">
        <v>2019</v>
      </c>
      <c r="C1668" t="s">
        <v>10</v>
      </c>
      <c r="D1668" s="35">
        <v>128012532.33</v>
      </c>
      <c r="E1668" s="35">
        <v>5208171</v>
      </c>
      <c r="F1668" s="35">
        <v>74635698.530000001</v>
      </c>
    </row>
    <row r="1669" spans="1:6" x14ac:dyDescent="0.3">
      <c r="A1669" t="s">
        <v>45</v>
      </c>
      <c r="B1669">
        <v>2019</v>
      </c>
      <c r="C1669" t="s">
        <v>4</v>
      </c>
      <c r="D1669" s="35">
        <v>318964229.9000001</v>
      </c>
      <c r="E1669" s="35">
        <v>1466057</v>
      </c>
      <c r="F1669" s="35">
        <v>311232257.51999998</v>
      </c>
    </row>
    <row r="1670" spans="1:6" x14ac:dyDescent="0.3">
      <c r="A1670" t="s">
        <v>45</v>
      </c>
      <c r="B1670">
        <v>2019</v>
      </c>
      <c r="C1670" t="s">
        <v>13</v>
      </c>
      <c r="D1670" s="35">
        <v>84116983.600000009</v>
      </c>
      <c r="E1670" s="35">
        <v>1495223</v>
      </c>
      <c r="F1670" s="35">
        <v>55166074.739999987</v>
      </c>
    </row>
    <row r="1671" spans="1:6" x14ac:dyDescent="0.3">
      <c r="A1671" t="s">
        <v>45</v>
      </c>
      <c r="B1671">
        <v>2019</v>
      </c>
      <c r="C1671" t="s">
        <v>16</v>
      </c>
      <c r="D1671" s="35">
        <v>19956092.75</v>
      </c>
      <c r="E1671" s="35">
        <v>116519</v>
      </c>
      <c r="F1671" s="35">
        <v>17415781.600000001</v>
      </c>
    </row>
    <row r="1672" spans="1:6" x14ac:dyDescent="0.3">
      <c r="A1672" t="s">
        <v>45</v>
      </c>
      <c r="B1672">
        <v>2019</v>
      </c>
      <c r="C1672" t="s">
        <v>14</v>
      </c>
      <c r="D1672" s="35">
        <v>42280913.43</v>
      </c>
      <c r="E1672" s="35">
        <v>1136140</v>
      </c>
      <c r="F1672" s="35">
        <v>27074769.120000001</v>
      </c>
    </row>
    <row r="1673" spans="1:6" x14ac:dyDescent="0.3">
      <c r="A1673" t="s">
        <v>45</v>
      </c>
      <c r="B1673">
        <v>2019</v>
      </c>
      <c r="C1673" t="s">
        <v>7</v>
      </c>
      <c r="D1673" s="35">
        <v>282054627.80000001</v>
      </c>
      <c r="E1673" s="35">
        <v>95540</v>
      </c>
      <c r="F1673" s="35">
        <v>280498481.74000013</v>
      </c>
    </row>
    <row r="1674" spans="1:6" x14ac:dyDescent="0.3">
      <c r="A1674" t="s">
        <v>45</v>
      </c>
      <c r="B1674">
        <v>2019</v>
      </c>
      <c r="C1674" t="s">
        <v>11</v>
      </c>
      <c r="D1674" s="35">
        <v>62942360.789999999</v>
      </c>
      <c r="E1674" s="35">
        <v>221527</v>
      </c>
      <c r="F1674" s="35">
        <v>60037398.500000007</v>
      </c>
    </row>
    <row r="1675" spans="1:6" x14ac:dyDescent="0.3">
      <c r="A1675" t="s">
        <v>45</v>
      </c>
      <c r="B1675">
        <v>2019</v>
      </c>
      <c r="C1675" t="s">
        <v>3</v>
      </c>
      <c r="D1675" s="35">
        <v>269267366.79000002</v>
      </c>
      <c r="E1675" s="35">
        <v>1000099</v>
      </c>
      <c r="F1675" s="35">
        <v>251900257.38000011</v>
      </c>
    </row>
    <row r="1676" spans="1:6" x14ac:dyDescent="0.3">
      <c r="A1676" t="s">
        <v>45</v>
      </c>
      <c r="B1676">
        <v>2019</v>
      </c>
      <c r="C1676" t="s">
        <v>12</v>
      </c>
      <c r="D1676" s="35">
        <v>156464759.06</v>
      </c>
      <c r="E1676" s="35">
        <v>2365248</v>
      </c>
      <c r="F1676" s="35">
        <v>111655178.15000001</v>
      </c>
    </row>
    <row r="1677" spans="1:6" x14ac:dyDescent="0.3">
      <c r="A1677" t="s">
        <v>45</v>
      </c>
      <c r="B1677">
        <v>2019</v>
      </c>
      <c r="C1677" t="s">
        <v>2</v>
      </c>
      <c r="D1677" s="35">
        <v>384918905.74999988</v>
      </c>
      <c r="E1677" s="35">
        <v>5857890</v>
      </c>
      <c r="F1677" s="35">
        <v>285264100.63999999</v>
      </c>
    </row>
    <row r="1678" spans="1:6" x14ac:dyDescent="0.3">
      <c r="A1678" t="s">
        <v>45</v>
      </c>
      <c r="B1678">
        <v>2019</v>
      </c>
      <c r="C1678" t="s">
        <v>5</v>
      </c>
      <c r="D1678" s="35">
        <v>194831435.09</v>
      </c>
      <c r="E1678" s="35">
        <v>131267</v>
      </c>
      <c r="F1678" s="35">
        <v>183077315.68000001</v>
      </c>
    </row>
    <row r="1679" spans="1:6" x14ac:dyDescent="0.3">
      <c r="A1679" t="s">
        <v>45</v>
      </c>
      <c r="B1679">
        <v>2019</v>
      </c>
      <c r="C1679" t="s">
        <v>17</v>
      </c>
      <c r="D1679" s="35">
        <v>6489253.8500000006</v>
      </c>
      <c r="E1679" s="35">
        <v>398852</v>
      </c>
      <c r="F1679" s="35">
        <v>1239049.69</v>
      </c>
    </row>
    <row r="1680" spans="1:6" x14ac:dyDescent="0.3">
      <c r="A1680" t="s">
        <v>45</v>
      </c>
      <c r="B1680">
        <v>2019</v>
      </c>
      <c r="C1680" t="s">
        <v>9</v>
      </c>
      <c r="D1680" s="35">
        <v>79577281.409999996</v>
      </c>
      <c r="E1680" s="35">
        <v>2453148</v>
      </c>
      <c r="F1680" s="35">
        <v>37524302.850000009</v>
      </c>
    </row>
    <row r="1681" spans="1:6" x14ac:dyDescent="0.3">
      <c r="A1681" t="s">
        <v>45</v>
      </c>
      <c r="B1681">
        <v>2019</v>
      </c>
      <c r="C1681" t="s">
        <v>8</v>
      </c>
      <c r="D1681" s="35">
        <v>64744291.88000001</v>
      </c>
      <c r="E1681" s="35">
        <v>6729</v>
      </c>
      <c r="F1681" s="35">
        <v>64744291.88000001</v>
      </c>
    </row>
    <row r="1682" spans="1:6" x14ac:dyDescent="0.3">
      <c r="A1682" t="s">
        <v>45</v>
      </c>
      <c r="B1682">
        <v>2019</v>
      </c>
      <c r="C1682" t="s">
        <v>6</v>
      </c>
      <c r="D1682" s="35">
        <v>266962179.46000001</v>
      </c>
      <c r="E1682" s="35">
        <v>2848858</v>
      </c>
      <c r="F1682" s="35">
        <v>235880649.24000001</v>
      </c>
    </row>
    <row r="1683" spans="1:6" x14ac:dyDescent="0.3">
      <c r="A1683" t="s">
        <v>45</v>
      </c>
      <c r="B1683">
        <v>2019</v>
      </c>
      <c r="C1683" t="s">
        <v>15</v>
      </c>
      <c r="D1683" s="35">
        <v>49642656.109999999</v>
      </c>
      <c r="E1683" s="35">
        <v>1505198</v>
      </c>
      <c r="F1683" s="35">
        <v>24236005.32</v>
      </c>
    </row>
    <row r="1684" spans="1:6" x14ac:dyDescent="0.3">
      <c r="A1684" t="s">
        <v>45</v>
      </c>
      <c r="B1684">
        <v>2019</v>
      </c>
      <c r="C1684" t="s">
        <v>18</v>
      </c>
      <c r="D1684" s="35">
        <v>19060887.169999991</v>
      </c>
      <c r="E1684" s="35">
        <v>232685</v>
      </c>
      <c r="F1684" s="35">
        <v>10821407.49</v>
      </c>
    </row>
    <row r="1685" spans="1:6" x14ac:dyDescent="0.3">
      <c r="A1685" t="s">
        <v>45</v>
      </c>
      <c r="B1685">
        <v>2020</v>
      </c>
      <c r="C1685" t="s">
        <v>10</v>
      </c>
      <c r="D1685" s="35">
        <v>141593476.09</v>
      </c>
      <c r="E1685" s="35">
        <v>4940638</v>
      </c>
      <c r="F1685" s="35">
        <v>83793650.580000028</v>
      </c>
    </row>
    <row r="1686" spans="1:6" x14ac:dyDescent="0.3">
      <c r="A1686" t="s">
        <v>45</v>
      </c>
      <c r="B1686">
        <v>2020</v>
      </c>
      <c r="C1686" t="s">
        <v>4</v>
      </c>
      <c r="D1686" s="35">
        <v>372271862.25999999</v>
      </c>
      <c r="E1686" s="35">
        <v>1444411</v>
      </c>
      <c r="F1686" s="35">
        <v>360871048.56999999</v>
      </c>
    </row>
    <row r="1687" spans="1:6" x14ac:dyDescent="0.3">
      <c r="A1687" t="s">
        <v>45</v>
      </c>
      <c r="B1687">
        <v>2020</v>
      </c>
      <c r="C1687" t="s">
        <v>13</v>
      </c>
      <c r="D1687" s="35">
        <v>84920594.760000005</v>
      </c>
      <c r="E1687" s="35">
        <v>1378453</v>
      </c>
      <c r="F1687" s="35">
        <v>57262023.279999986</v>
      </c>
    </row>
    <row r="1688" spans="1:6" x14ac:dyDescent="0.3">
      <c r="A1688" t="s">
        <v>45</v>
      </c>
      <c r="B1688">
        <v>2020</v>
      </c>
      <c r="C1688" t="s">
        <v>16</v>
      </c>
      <c r="D1688" s="35">
        <v>23671167.829999998</v>
      </c>
      <c r="E1688" s="35">
        <v>122857</v>
      </c>
      <c r="F1688" s="35">
        <v>21284052.789999999</v>
      </c>
    </row>
    <row r="1689" spans="1:6" x14ac:dyDescent="0.3">
      <c r="A1689" t="s">
        <v>45</v>
      </c>
      <c r="B1689">
        <v>2020</v>
      </c>
      <c r="C1689" t="s">
        <v>14</v>
      </c>
      <c r="D1689" s="35">
        <v>47080091.459999993</v>
      </c>
      <c r="E1689" s="35">
        <v>1263137</v>
      </c>
      <c r="F1689" s="35">
        <v>26303482.359999999</v>
      </c>
    </row>
    <row r="1690" spans="1:6" x14ac:dyDescent="0.3">
      <c r="A1690" t="s">
        <v>45</v>
      </c>
      <c r="B1690">
        <v>2020</v>
      </c>
      <c r="C1690" t="s">
        <v>7</v>
      </c>
      <c r="D1690" s="35">
        <v>249443874.43000001</v>
      </c>
      <c r="E1690" s="35">
        <v>92250</v>
      </c>
      <c r="F1690" s="35">
        <v>247014431.19999999</v>
      </c>
    </row>
    <row r="1691" spans="1:6" x14ac:dyDescent="0.3">
      <c r="A1691" t="s">
        <v>45</v>
      </c>
      <c r="B1691">
        <v>2020</v>
      </c>
      <c r="C1691" t="s">
        <v>11</v>
      </c>
      <c r="D1691" s="35">
        <v>66470097.579999998</v>
      </c>
      <c r="E1691" s="35">
        <v>249894</v>
      </c>
      <c r="F1691" s="35">
        <v>63604932.299999997</v>
      </c>
    </row>
    <row r="1692" spans="1:6" x14ac:dyDescent="0.3">
      <c r="A1692" t="s">
        <v>45</v>
      </c>
      <c r="B1692">
        <v>2020</v>
      </c>
      <c r="C1692" t="s">
        <v>3</v>
      </c>
      <c r="D1692" s="35">
        <v>287561219.9600001</v>
      </c>
      <c r="E1692" s="35">
        <v>849517</v>
      </c>
      <c r="F1692" s="35">
        <v>272888088.17000002</v>
      </c>
    </row>
    <row r="1693" spans="1:6" x14ac:dyDescent="0.3">
      <c r="A1693" t="s">
        <v>45</v>
      </c>
      <c r="B1693">
        <v>2020</v>
      </c>
      <c r="C1693" t="s">
        <v>12</v>
      </c>
      <c r="D1693" s="35">
        <v>101322362.02</v>
      </c>
      <c r="E1693" s="35">
        <v>1929204</v>
      </c>
      <c r="F1693" s="35">
        <v>63614709.380000003</v>
      </c>
    </row>
    <row r="1694" spans="1:6" x14ac:dyDescent="0.3">
      <c r="A1694" t="s">
        <v>45</v>
      </c>
      <c r="B1694">
        <v>2020</v>
      </c>
      <c r="C1694" t="s">
        <v>2</v>
      </c>
      <c r="D1694" s="35">
        <v>387790399.80000001</v>
      </c>
      <c r="E1694" s="35">
        <v>5848137</v>
      </c>
      <c r="F1694" s="35">
        <v>289093566.44</v>
      </c>
    </row>
    <row r="1695" spans="1:6" x14ac:dyDescent="0.3">
      <c r="A1695" t="s">
        <v>45</v>
      </c>
      <c r="B1695">
        <v>2020</v>
      </c>
      <c r="C1695" t="s">
        <v>5</v>
      </c>
      <c r="D1695" s="35">
        <v>204217130.94</v>
      </c>
      <c r="E1695" s="35">
        <v>126875</v>
      </c>
      <c r="F1695" s="35">
        <v>195961441.31999999</v>
      </c>
    </row>
    <row r="1696" spans="1:6" x14ac:dyDescent="0.3">
      <c r="A1696" t="s">
        <v>45</v>
      </c>
      <c r="B1696">
        <v>2020</v>
      </c>
      <c r="C1696" t="s">
        <v>17</v>
      </c>
      <c r="D1696" s="35">
        <v>6453155.1600000011</v>
      </c>
      <c r="E1696" s="35">
        <v>393918</v>
      </c>
      <c r="F1696" s="35">
        <v>994612.07</v>
      </c>
    </row>
    <row r="1697" spans="1:6" x14ac:dyDescent="0.3">
      <c r="A1697" t="s">
        <v>45</v>
      </c>
      <c r="B1697">
        <v>2020</v>
      </c>
      <c r="C1697" t="s">
        <v>9</v>
      </c>
      <c r="D1697" s="35">
        <v>77403564.979999989</v>
      </c>
      <c r="E1697" s="35">
        <v>2216595</v>
      </c>
      <c r="F1697" s="35">
        <v>33507655.75</v>
      </c>
    </row>
    <row r="1698" spans="1:6" x14ac:dyDescent="0.3">
      <c r="A1698" t="s">
        <v>45</v>
      </c>
      <c r="B1698">
        <v>2020</v>
      </c>
      <c r="C1698" t="s">
        <v>8</v>
      </c>
      <c r="D1698" s="35">
        <v>89802893.74000001</v>
      </c>
      <c r="E1698" s="35">
        <v>7789</v>
      </c>
      <c r="F1698" s="35">
        <v>89802893.74000001</v>
      </c>
    </row>
    <row r="1699" spans="1:6" x14ac:dyDescent="0.3">
      <c r="A1699" t="s">
        <v>45</v>
      </c>
      <c r="B1699">
        <v>2020</v>
      </c>
      <c r="C1699" t="s">
        <v>6</v>
      </c>
      <c r="D1699" s="35">
        <v>258021281.02000001</v>
      </c>
      <c r="E1699" s="35">
        <v>2782391</v>
      </c>
      <c r="F1699" s="35">
        <v>220998255.02000001</v>
      </c>
    </row>
    <row r="1700" spans="1:6" x14ac:dyDescent="0.3">
      <c r="A1700" t="s">
        <v>45</v>
      </c>
      <c r="B1700">
        <v>2020</v>
      </c>
      <c r="C1700" t="s">
        <v>15</v>
      </c>
      <c r="D1700" s="35">
        <v>41030164.819999993</v>
      </c>
      <c r="E1700" s="35">
        <v>1144825</v>
      </c>
      <c r="F1700" s="35">
        <v>19391047.280000001</v>
      </c>
    </row>
    <row r="1701" spans="1:6" x14ac:dyDescent="0.3">
      <c r="A1701" t="s">
        <v>45</v>
      </c>
      <c r="B1701">
        <v>2020</v>
      </c>
      <c r="C1701" t="s">
        <v>18</v>
      </c>
      <c r="D1701" s="35">
        <v>17054082.199999999</v>
      </c>
      <c r="E1701" s="35">
        <v>253449</v>
      </c>
      <c r="F1701" s="35">
        <v>11122483.460000001</v>
      </c>
    </row>
    <row r="1702" spans="1:6" x14ac:dyDescent="0.3">
      <c r="A1702" t="s">
        <v>45</v>
      </c>
      <c r="B1702">
        <v>2021</v>
      </c>
      <c r="C1702" t="s">
        <v>10</v>
      </c>
      <c r="D1702" s="35">
        <v>176481313.90000001</v>
      </c>
      <c r="E1702" s="35">
        <v>4947102</v>
      </c>
      <c r="F1702" s="35">
        <v>120195823.58</v>
      </c>
    </row>
    <row r="1703" spans="1:6" x14ac:dyDescent="0.3">
      <c r="A1703" t="s">
        <v>45</v>
      </c>
      <c r="B1703">
        <v>2021</v>
      </c>
      <c r="C1703" t="s">
        <v>4</v>
      </c>
      <c r="D1703" s="35">
        <v>529535845.76999998</v>
      </c>
      <c r="E1703" s="35">
        <v>1492304</v>
      </c>
      <c r="F1703" s="35">
        <v>518187577.9199999</v>
      </c>
    </row>
    <row r="1704" spans="1:6" x14ac:dyDescent="0.3">
      <c r="A1704" t="s">
        <v>45</v>
      </c>
      <c r="B1704">
        <v>2021</v>
      </c>
      <c r="C1704" t="s">
        <v>13</v>
      </c>
      <c r="D1704" s="35">
        <v>99171953.210000008</v>
      </c>
      <c r="E1704" s="35">
        <v>1462051</v>
      </c>
      <c r="F1704" s="35">
        <v>70096503.350000009</v>
      </c>
    </row>
    <row r="1705" spans="1:6" x14ac:dyDescent="0.3">
      <c r="A1705" t="s">
        <v>45</v>
      </c>
      <c r="B1705">
        <v>2021</v>
      </c>
      <c r="C1705" t="s">
        <v>16</v>
      </c>
      <c r="D1705" s="35">
        <v>32122207.420000009</v>
      </c>
      <c r="E1705" s="35">
        <v>137853</v>
      </c>
      <c r="F1705" s="35">
        <v>29360814.5</v>
      </c>
    </row>
    <row r="1706" spans="1:6" x14ac:dyDescent="0.3">
      <c r="A1706" t="s">
        <v>45</v>
      </c>
      <c r="B1706">
        <v>2021</v>
      </c>
      <c r="C1706" t="s">
        <v>14</v>
      </c>
      <c r="D1706" s="35">
        <v>56063205.719999991</v>
      </c>
      <c r="E1706" s="35">
        <v>1427297</v>
      </c>
      <c r="F1706" s="35">
        <v>33711967.159999996</v>
      </c>
    </row>
    <row r="1707" spans="1:6" x14ac:dyDescent="0.3">
      <c r="A1707" t="s">
        <v>45</v>
      </c>
      <c r="B1707">
        <v>2021</v>
      </c>
      <c r="C1707" t="s">
        <v>7</v>
      </c>
      <c r="D1707" s="35">
        <v>292677880.98000002</v>
      </c>
      <c r="E1707" s="35">
        <v>99453</v>
      </c>
      <c r="F1707" s="35">
        <v>288213819.87</v>
      </c>
    </row>
    <row r="1708" spans="1:6" x14ac:dyDescent="0.3">
      <c r="A1708" t="s">
        <v>45</v>
      </c>
      <c r="B1708">
        <v>2021</v>
      </c>
      <c r="C1708" t="s">
        <v>11</v>
      </c>
      <c r="D1708" s="35">
        <v>72878685.299999997</v>
      </c>
      <c r="E1708" s="35">
        <v>256101</v>
      </c>
      <c r="F1708" s="35">
        <v>69187234.260000005</v>
      </c>
    </row>
    <row r="1709" spans="1:6" x14ac:dyDescent="0.3">
      <c r="A1709" t="s">
        <v>45</v>
      </c>
      <c r="B1709">
        <v>2021</v>
      </c>
      <c r="C1709" t="s">
        <v>3</v>
      </c>
      <c r="D1709" s="35">
        <v>437438239.33999997</v>
      </c>
      <c r="E1709" s="35">
        <v>976244</v>
      </c>
      <c r="F1709" s="35">
        <v>421627645.94999999</v>
      </c>
    </row>
    <row r="1710" spans="1:6" x14ac:dyDescent="0.3">
      <c r="A1710" t="s">
        <v>45</v>
      </c>
      <c r="B1710">
        <v>2021</v>
      </c>
      <c r="C1710" t="s">
        <v>12</v>
      </c>
      <c r="D1710" s="35">
        <v>104139840.52</v>
      </c>
      <c r="E1710" s="35">
        <v>2063022</v>
      </c>
      <c r="F1710" s="35">
        <v>69523696.370000005</v>
      </c>
    </row>
    <row r="1711" spans="1:6" x14ac:dyDescent="0.3">
      <c r="A1711" t="s">
        <v>45</v>
      </c>
      <c r="B1711">
        <v>2021</v>
      </c>
      <c r="C1711" t="s">
        <v>2</v>
      </c>
      <c r="D1711" s="35">
        <v>440532482.58000022</v>
      </c>
      <c r="E1711" s="35">
        <v>6060353</v>
      </c>
      <c r="F1711" s="35">
        <v>346196298.02999997</v>
      </c>
    </row>
    <row r="1712" spans="1:6" x14ac:dyDescent="0.3">
      <c r="A1712" t="s">
        <v>45</v>
      </c>
      <c r="B1712">
        <v>2021</v>
      </c>
      <c r="C1712" t="s">
        <v>5</v>
      </c>
      <c r="D1712" s="35">
        <v>249979990.86999989</v>
      </c>
      <c r="E1712" s="35">
        <v>136673</v>
      </c>
      <c r="F1712" s="35">
        <v>240898101.53</v>
      </c>
    </row>
    <row r="1713" spans="1:6" x14ac:dyDescent="0.3">
      <c r="A1713" t="s">
        <v>45</v>
      </c>
      <c r="B1713">
        <v>2021</v>
      </c>
      <c r="C1713" t="s">
        <v>17</v>
      </c>
      <c r="D1713" s="35">
        <v>6737707.2699999996</v>
      </c>
      <c r="E1713" s="35">
        <v>436476</v>
      </c>
      <c r="F1713" s="35">
        <v>1245571.02</v>
      </c>
    </row>
    <row r="1714" spans="1:6" x14ac:dyDescent="0.3">
      <c r="A1714" t="s">
        <v>45</v>
      </c>
      <c r="B1714">
        <v>2021</v>
      </c>
      <c r="C1714" t="s">
        <v>9</v>
      </c>
      <c r="D1714" s="35">
        <v>77829021.239999995</v>
      </c>
      <c r="E1714" s="35">
        <v>2350812</v>
      </c>
      <c r="F1714" s="35">
        <v>33867288.289999992</v>
      </c>
    </row>
    <row r="1715" spans="1:6" x14ac:dyDescent="0.3">
      <c r="A1715" t="s">
        <v>45</v>
      </c>
      <c r="B1715">
        <v>2021</v>
      </c>
      <c r="C1715" t="s">
        <v>8</v>
      </c>
      <c r="D1715" s="35">
        <v>104703801.97</v>
      </c>
      <c r="E1715" s="35">
        <v>6467</v>
      </c>
      <c r="F1715" s="35">
        <v>104624650.68000001</v>
      </c>
    </row>
    <row r="1716" spans="1:6" x14ac:dyDescent="0.3">
      <c r="A1716" t="s">
        <v>45</v>
      </c>
      <c r="B1716">
        <v>2021</v>
      </c>
      <c r="C1716" t="s">
        <v>6</v>
      </c>
      <c r="D1716" s="35">
        <v>301931226.67000008</v>
      </c>
      <c r="E1716" s="35">
        <v>2959678</v>
      </c>
      <c r="F1716" s="35">
        <v>257958039.12</v>
      </c>
    </row>
    <row r="1717" spans="1:6" x14ac:dyDescent="0.3">
      <c r="A1717" t="s">
        <v>45</v>
      </c>
      <c r="B1717">
        <v>2021</v>
      </c>
      <c r="C1717" t="s">
        <v>15</v>
      </c>
      <c r="D1717" s="35">
        <v>37988837.050000019</v>
      </c>
      <c r="E1717" s="35">
        <v>996342</v>
      </c>
      <c r="F1717" s="35">
        <v>18278226.16</v>
      </c>
    </row>
    <row r="1718" spans="1:6" x14ac:dyDescent="0.3">
      <c r="A1718" t="s">
        <v>45</v>
      </c>
      <c r="B1718">
        <v>2021</v>
      </c>
      <c r="C1718" t="s">
        <v>18</v>
      </c>
      <c r="D1718" s="35">
        <v>18316942.95999999</v>
      </c>
      <c r="E1718" s="35">
        <v>234662</v>
      </c>
      <c r="F1718" s="35">
        <v>13430382.84</v>
      </c>
    </row>
    <row r="1719" spans="1:6" x14ac:dyDescent="0.3">
      <c r="A1719" t="s">
        <v>45</v>
      </c>
      <c r="B1719">
        <v>2022</v>
      </c>
      <c r="C1719" t="s">
        <v>10</v>
      </c>
      <c r="D1719" s="35">
        <v>240322257.88</v>
      </c>
      <c r="E1719" s="35">
        <v>5337020</v>
      </c>
      <c r="F1719" s="35">
        <v>183777966.83000001</v>
      </c>
    </row>
    <row r="1720" spans="1:6" x14ac:dyDescent="0.3">
      <c r="A1720" t="s">
        <v>45</v>
      </c>
      <c r="B1720">
        <v>2022</v>
      </c>
      <c r="C1720" t="s">
        <v>4</v>
      </c>
      <c r="D1720" s="35">
        <v>725689175.93999994</v>
      </c>
      <c r="E1720" s="35">
        <v>1664488</v>
      </c>
      <c r="F1720" s="35">
        <v>718316556.92000008</v>
      </c>
    </row>
    <row r="1721" spans="1:6" x14ac:dyDescent="0.3">
      <c r="A1721" t="s">
        <v>45</v>
      </c>
      <c r="B1721">
        <v>2022</v>
      </c>
      <c r="C1721" t="s">
        <v>13</v>
      </c>
      <c r="D1721" s="35">
        <v>101562503.59</v>
      </c>
      <c r="E1721" s="35">
        <v>1502822</v>
      </c>
      <c r="F1721" s="35">
        <v>74545779.890000001</v>
      </c>
    </row>
    <row r="1722" spans="1:6" x14ac:dyDescent="0.3">
      <c r="A1722" t="s">
        <v>45</v>
      </c>
      <c r="B1722">
        <v>2022</v>
      </c>
      <c r="C1722" t="s">
        <v>16</v>
      </c>
      <c r="D1722" s="35">
        <v>34138053.840000004</v>
      </c>
      <c r="E1722" s="35">
        <v>143864</v>
      </c>
      <c r="F1722" s="35">
        <v>31539910.18</v>
      </c>
    </row>
    <row r="1723" spans="1:6" x14ac:dyDescent="0.3">
      <c r="A1723" t="s">
        <v>45</v>
      </c>
      <c r="B1723">
        <v>2022</v>
      </c>
      <c r="C1723" t="s">
        <v>14</v>
      </c>
      <c r="D1723" s="35">
        <v>67007215.269999988</v>
      </c>
      <c r="E1723" s="35">
        <v>1612083</v>
      </c>
      <c r="F1723" s="35">
        <v>45180646.130000003</v>
      </c>
    </row>
    <row r="1724" spans="1:6" x14ac:dyDescent="0.3">
      <c r="A1724" t="s">
        <v>45</v>
      </c>
      <c r="B1724">
        <v>2022</v>
      </c>
      <c r="C1724" t="s">
        <v>7</v>
      </c>
      <c r="D1724" s="35">
        <v>334904899.70999998</v>
      </c>
      <c r="E1724" s="35">
        <v>107449</v>
      </c>
      <c r="F1724" s="35">
        <v>333641075.56999999</v>
      </c>
    </row>
    <row r="1725" spans="1:6" x14ac:dyDescent="0.3">
      <c r="A1725" t="s">
        <v>45</v>
      </c>
      <c r="B1725">
        <v>2022</v>
      </c>
      <c r="C1725" t="s">
        <v>11</v>
      </c>
      <c r="D1725" s="35">
        <v>80637652.74000001</v>
      </c>
      <c r="E1725" s="35">
        <v>278052</v>
      </c>
      <c r="F1725" s="35">
        <v>76909995.969999984</v>
      </c>
    </row>
    <row r="1726" spans="1:6" x14ac:dyDescent="0.3">
      <c r="A1726" t="s">
        <v>45</v>
      </c>
      <c r="B1726">
        <v>2022</v>
      </c>
      <c r="C1726" t="s">
        <v>3</v>
      </c>
      <c r="D1726" s="35">
        <v>533119531.35000002</v>
      </c>
      <c r="E1726" s="35">
        <v>1104645</v>
      </c>
      <c r="F1726" s="35">
        <v>517374468.93999988</v>
      </c>
    </row>
    <row r="1727" spans="1:6" x14ac:dyDescent="0.3">
      <c r="A1727" t="s">
        <v>45</v>
      </c>
      <c r="B1727">
        <v>2022</v>
      </c>
      <c r="C1727" t="s">
        <v>12</v>
      </c>
      <c r="D1727" s="35">
        <v>107949207.97</v>
      </c>
      <c r="E1727" s="35">
        <v>2478359</v>
      </c>
      <c r="F1727" s="35">
        <v>70048447.469999999</v>
      </c>
    </row>
    <row r="1728" spans="1:6" x14ac:dyDescent="0.3">
      <c r="A1728" t="s">
        <v>45</v>
      </c>
      <c r="B1728">
        <v>2022</v>
      </c>
      <c r="C1728" t="s">
        <v>2</v>
      </c>
      <c r="D1728" s="35">
        <v>527254749.44999999</v>
      </c>
      <c r="E1728" s="35">
        <v>6501514</v>
      </c>
      <c r="F1728" s="35">
        <v>439273294.50999987</v>
      </c>
    </row>
    <row r="1729" spans="1:6" x14ac:dyDescent="0.3">
      <c r="A1729" t="s">
        <v>45</v>
      </c>
      <c r="B1729">
        <v>2022</v>
      </c>
      <c r="C1729" t="s">
        <v>5</v>
      </c>
      <c r="D1729" s="35">
        <v>295109305.87</v>
      </c>
      <c r="E1729" s="35">
        <v>147176</v>
      </c>
      <c r="F1729" s="35">
        <v>284568322.38999999</v>
      </c>
    </row>
    <row r="1730" spans="1:6" x14ac:dyDescent="0.3">
      <c r="A1730" t="s">
        <v>45</v>
      </c>
      <c r="B1730">
        <v>2022</v>
      </c>
      <c r="C1730" t="s">
        <v>17</v>
      </c>
      <c r="D1730" s="35">
        <v>6537260.9100000001</v>
      </c>
      <c r="E1730" s="35">
        <v>461113</v>
      </c>
      <c r="F1730" s="35">
        <v>1173800.77</v>
      </c>
    </row>
    <row r="1731" spans="1:6" x14ac:dyDescent="0.3">
      <c r="A1731" t="s">
        <v>45</v>
      </c>
      <c r="B1731">
        <v>2022</v>
      </c>
      <c r="C1731" t="s">
        <v>9</v>
      </c>
      <c r="D1731" s="35">
        <v>77277874.890000001</v>
      </c>
      <c r="E1731" s="35">
        <v>2485266</v>
      </c>
      <c r="F1731" s="35">
        <v>28337547.370000001</v>
      </c>
    </row>
    <row r="1732" spans="1:6" x14ac:dyDescent="0.3">
      <c r="A1732" t="s">
        <v>45</v>
      </c>
      <c r="B1732">
        <v>2022</v>
      </c>
      <c r="C1732" t="s">
        <v>8</v>
      </c>
      <c r="D1732" s="35">
        <v>132390364.88</v>
      </c>
      <c r="E1732" s="35">
        <v>6616</v>
      </c>
      <c r="F1732" s="35">
        <v>132179264.5</v>
      </c>
    </row>
    <row r="1733" spans="1:6" x14ac:dyDescent="0.3">
      <c r="A1733" t="s">
        <v>45</v>
      </c>
      <c r="B1733">
        <v>2022</v>
      </c>
      <c r="C1733" t="s">
        <v>6</v>
      </c>
      <c r="D1733" s="35">
        <v>357522514.76999998</v>
      </c>
      <c r="E1733" s="35">
        <v>3308912</v>
      </c>
      <c r="F1733" s="35">
        <v>313779412.51999998</v>
      </c>
    </row>
    <row r="1734" spans="1:6" x14ac:dyDescent="0.3">
      <c r="A1734" t="s">
        <v>45</v>
      </c>
      <c r="B1734">
        <v>2022</v>
      </c>
      <c r="C1734" t="s">
        <v>15</v>
      </c>
      <c r="D1734" s="35">
        <v>33803137.00999999</v>
      </c>
      <c r="E1734" s="35">
        <v>906665</v>
      </c>
      <c r="F1734" s="35">
        <v>16728116.210000001</v>
      </c>
    </row>
    <row r="1735" spans="1:6" x14ac:dyDescent="0.3">
      <c r="A1735" t="s">
        <v>45</v>
      </c>
      <c r="B1735">
        <v>2022</v>
      </c>
      <c r="C1735" t="s">
        <v>18</v>
      </c>
      <c r="D1735" s="35">
        <v>25062262.510000002</v>
      </c>
      <c r="E1735" s="35">
        <v>217498</v>
      </c>
      <c r="F1735" s="35">
        <v>20031083.989999998</v>
      </c>
    </row>
    <row r="1736" spans="1:6" x14ac:dyDescent="0.3">
      <c r="A1736" t="s">
        <v>45</v>
      </c>
      <c r="B1736">
        <v>2023</v>
      </c>
      <c r="C1736" t="s">
        <v>10</v>
      </c>
      <c r="D1736" s="35">
        <v>197089090.83000001</v>
      </c>
      <c r="E1736" s="35">
        <v>4607926</v>
      </c>
      <c r="F1736" s="35">
        <v>156256174.22</v>
      </c>
    </row>
    <row r="1737" spans="1:6" x14ac:dyDescent="0.3">
      <c r="A1737" t="s">
        <v>45</v>
      </c>
      <c r="B1737">
        <v>2023</v>
      </c>
      <c r="C1737" t="s">
        <v>4</v>
      </c>
      <c r="D1737" s="35">
        <v>744454277.62999988</v>
      </c>
      <c r="E1737" s="35">
        <v>1585039</v>
      </c>
      <c r="F1737" s="35">
        <v>739383802.98999989</v>
      </c>
    </row>
    <row r="1738" spans="1:6" x14ac:dyDescent="0.3">
      <c r="A1738" t="s">
        <v>45</v>
      </c>
      <c r="B1738">
        <v>2023</v>
      </c>
      <c r="C1738" t="s">
        <v>13</v>
      </c>
      <c r="D1738" s="35">
        <v>96807938.000000015</v>
      </c>
      <c r="E1738" s="35">
        <v>1473743</v>
      </c>
      <c r="F1738" s="35">
        <v>74070061.930000022</v>
      </c>
    </row>
    <row r="1739" spans="1:6" x14ac:dyDescent="0.3">
      <c r="A1739" t="s">
        <v>45</v>
      </c>
      <c r="B1739">
        <v>2023</v>
      </c>
      <c r="C1739" t="s">
        <v>16</v>
      </c>
      <c r="D1739" s="35">
        <v>34562570.119999997</v>
      </c>
      <c r="E1739" s="35">
        <v>128838</v>
      </c>
      <c r="F1739" s="35">
        <v>32673212.059999999</v>
      </c>
    </row>
    <row r="1740" spans="1:6" x14ac:dyDescent="0.3">
      <c r="A1740" t="s">
        <v>45</v>
      </c>
      <c r="B1740">
        <v>2023</v>
      </c>
      <c r="C1740" t="s">
        <v>14</v>
      </c>
      <c r="D1740" s="35">
        <v>58100432.419999979</v>
      </c>
      <c r="E1740" s="35">
        <v>1543834</v>
      </c>
      <c r="F1740" s="35">
        <v>39714481.380000003</v>
      </c>
    </row>
    <row r="1741" spans="1:6" x14ac:dyDescent="0.3">
      <c r="A1741" t="s">
        <v>45</v>
      </c>
      <c r="B1741">
        <v>2023</v>
      </c>
      <c r="C1741" t="s">
        <v>7</v>
      </c>
      <c r="D1741" s="35">
        <v>312587435.05000001</v>
      </c>
      <c r="E1741" s="35">
        <v>98467</v>
      </c>
      <c r="F1741" s="35">
        <v>311067188.58999997</v>
      </c>
    </row>
    <row r="1742" spans="1:6" x14ac:dyDescent="0.3">
      <c r="A1742" t="s">
        <v>45</v>
      </c>
      <c r="B1742">
        <v>2023</v>
      </c>
      <c r="C1742" t="s">
        <v>11</v>
      </c>
      <c r="D1742" s="35">
        <v>94504821.829999998</v>
      </c>
      <c r="E1742" s="35">
        <v>243690</v>
      </c>
      <c r="F1742" s="35">
        <v>91853691.030000001</v>
      </c>
    </row>
    <row r="1743" spans="1:6" x14ac:dyDescent="0.3">
      <c r="A1743" t="s">
        <v>45</v>
      </c>
      <c r="B1743">
        <v>2023</v>
      </c>
      <c r="C1743" t="s">
        <v>3</v>
      </c>
      <c r="D1743" s="35">
        <v>565207495.33000004</v>
      </c>
      <c r="E1743" s="35">
        <v>1109150</v>
      </c>
      <c r="F1743" s="35">
        <v>552735749.37</v>
      </c>
    </row>
    <row r="1744" spans="1:6" x14ac:dyDescent="0.3">
      <c r="A1744" t="s">
        <v>45</v>
      </c>
      <c r="B1744">
        <v>2023</v>
      </c>
      <c r="C1744" t="s">
        <v>12</v>
      </c>
      <c r="D1744" s="35">
        <v>95741118.299999982</v>
      </c>
      <c r="E1744" s="35">
        <v>2629960</v>
      </c>
      <c r="F1744" s="35">
        <v>62284843.869999997</v>
      </c>
    </row>
    <row r="1745" spans="1:6" x14ac:dyDescent="0.3">
      <c r="A1745" t="s">
        <v>45</v>
      </c>
      <c r="B1745">
        <v>2023</v>
      </c>
      <c r="C1745" t="s">
        <v>2</v>
      </c>
      <c r="D1745" s="35">
        <v>479159641.00000012</v>
      </c>
      <c r="E1745" s="35">
        <v>6054887</v>
      </c>
      <c r="F1745" s="35">
        <v>411798929.33999997</v>
      </c>
    </row>
    <row r="1746" spans="1:6" x14ac:dyDescent="0.3">
      <c r="A1746" t="s">
        <v>45</v>
      </c>
      <c r="B1746">
        <v>2023</v>
      </c>
      <c r="C1746" t="s">
        <v>5</v>
      </c>
      <c r="D1746" s="35">
        <v>275826624.17999989</v>
      </c>
      <c r="E1746" s="35">
        <v>149326</v>
      </c>
      <c r="F1746" s="35">
        <v>265083379.84</v>
      </c>
    </row>
    <row r="1747" spans="1:6" x14ac:dyDescent="0.3">
      <c r="A1747" t="s">
        <v>45</v>
      </c>
      <c r="B1747">
        <v>2023</v>
      </c>
      <c r="C1747" t="s">
        <v>17</v>
      </c>
      <c r="D1747" s="35">
        <v>5020648.3299999991</v>
      </c>
      <c r="E1747" s="35">
        <v>430761</v>
      </c>
      <c r="F1747" s="35">
        <v>1185815.01</v>
      </c>
    </row>
    <row r="1748" spans="1:6" x14ac:dyDescent="0.3">
      <c r="A1748" t="s">
        <v>45</v>
      </c>
      <c r="B1748">
        <v>2023</v>
      </c>
      <c r="C1748" t="s">
        <v>9</v>
      </c>
      <c r="D1748" s="35">
        <v>74491447.909999996</v>
      </c>
      <c r="E1748" s="35">
        <v>2315826</v>
      </c>
      <c r="F1748" s="35">
        <v>32518717.579999998</v>
      </c>
    </row>
    <row r="1749" spans="1:6" x14ac:dyDescent="0.3">
      <c r="A1749" t="s">
        <v>45</v>
      </c>
      <c r="B1749">
        <v>2023</v>
      </c>
      <c r="C1749" t="s">
        <v>8</v>
      </c>
      <c r="D1749" s="35">
        <v>139460492.83000001</v>
      </c>
      <c r="E1749" s="35">
        <v>7109</v>
      </c>
      <c r="F1749" s="35">
        <v>138750310.00999999</v>
      </c>
    </row>
    <row r="1750" spans="1:6" x14ac:dyDescent="0.3">
      <c r="A1750" t="s">
        <v>45</v>
      </c>
      <c r="B1750">
        <v>2023</v>
      </c>
      <c r="C1750" t="s">
        <v>6</v>
      </c>
      <c r="D1750" s="35">
        <v>308310568.11000001</v>
      </c>
      <c r="E1750" s="35">
        <v>3220548</v>
      </c>
      <c r="F1750" s="35">
        <v>269964884.88999999</v>
      </c>
    </row>
    <row r="1751" spans="1:6" x14ac:dyDescent="0.3">
      <c r="A1751" t="s">
        <v>45</v>
      </c>
      <c r="B1751">
        <v>2023</v>
      </c>
      <c r="C1751" t="s">
        <v>15</v>
      </c>
      <c r="D1751" s="35">
        <v>24530451.109999999</v>
      </c>
      <c r="E1751" s="35">
        <v>706138</v>
      </c>
      <c r="F1751" s="35">
        <v>12614083</v>
      </c>
    </row>
    <row r="1752" spans="1:6" x14ac:dyDescent="0.3">
      <c r="A1752" t="s">
        <v>45</v>
      </c>
      <c r="B1752">
        <v>2023</v>
      </c>
      <c r="C1752" t="s">
        <v>18</v>
      </c>
      <c r="D1752" s="35">
        <v>17377979.629999999</v>
      </c>
      <c r="E1752" s="35">
        <v>124387</v>
      </c>
      <c r="F1752" s="35">
        <v>14792565.41</v>
      </c>
    </row>
    <row r="1753" spans="1:6" x14ac:dyDescent="0.3">
      <c r="A1753" t="s">
        <v>45</v>
      </c>
      <c r="B1753">
        <v>2024</v>
      </c>
      <c r="C1753" t="s">
        <v>10</v>
      </c>
      <c r="D1753" s="35">
        <v>196321069.47</v>
      </c>
      <c r="E1753" s="35">
        <v>4080404</v>
      </c>
      <c r="F1753" s="35">
        <v>156916189.38999999</v>
      </c>
    </row>
    <row r="1754" spans="1:6" x14ac:dyDescent="0.3">
      <c r="A1754" t="s">
        <v>45</v>
      </c>
      <c r="B1754">
        <v>2024</v>
      </c>
      <c r="C1754" t="s">
        <v>4</v>
      </c>
      <c r="D1754" s="35">
        <v>608229980.03999996</v>
      </c>
      <c r="E1754" s="35">
        <v>1429338</v>
      </c>
      <c r="F1754" s="35">
        <v>603228507.5799998</v>
      </c>
    </row>
    <row r="1755" spans="1:6" x14ac:dyDescent="0.3">
      <c r="A1755" t="s">
        <v>45</v>
      </c>
      <c r="B1755">
        <v>2024</v>
      </c>
      <c r="C1755" t="s">
        <v>13</v>
      </c>
      <c r="D1755" s="35">
        <v>87823177.650000021</v>
      </c>
      <c r="E1755" s="35">
        <v>1254216</v>
      </c>
      <c r="F1755" s="35">
        <v>68972088.11999999</v>
      </c>
    </row>
    <row r="1756" spans="1:6" x14ac:dyDescent="0.3">
      <c r="A1756" t="s">
        <v>45</v>
      </c>
      <c r="B1756">
        <v>2024</v>
      </c>
      <c r="C1756" t="s">
        <v>16</v>
      </c>
      <c r="D1756" s="35">
        <v>32677551.5</v>
      </c>
      <c r="E1756" s="35">
        <v>116972</v>
      </c>
      <c r="F1756" s="35">
        <v>30862009.559999999</v>
      </c>
    </row>
    <row r="1757" spans="1:6" x14ac:dyDescent="0.3">
      <c r="A1757" t="s">
        <v>45</v>
      </c>
      <c r="B1757">
        <v>2024</v>
      </c>
      <c r="C1757" t="s">
        <v>14</v>
      </c>
      <c r="D1757" s="35">
        <v>63126553.75</v>
      </c>
      <c r="E1757" s="35">
        <v>1427475</v>
      </c>
      <c r="F1757" s="35">
        <v>44312825.710000001</v>
      </c>
    </row>
    <row r="1758" spans="1:6" x14ac:dyDescent="0.3">
      <c r="A1758" t="s">
        <v>45</v>
      </c>
      <c r="B1758">
        <v>2024</v>
      </c>
      <c r="C1758" t="s">
        <v>7</v>
      </c>
      <c r="D1758" s="35">
        <v>270337823.39999998</v>
      </c>
      <c r="E1758" s="35">
        <v>77327</v>
      </c>
      <c r="F1758" s="35">
        <v>269661004.22000003</v>
      </c>
    </row>
    <row r="1759" spans="1:6" x14ac:dyDescent="0.3">
      <c r="A1759" t="s">
        <v>45</v>
      </c>
      <c r="B1759">
        <v>2024</v>
      </c>
      <c r="C1759" t="s">
        <v>11</v>
      </c>
      <c r="D1759" s="35">
        <v>86990289.170000002</v>
      </c>
      <c r="E1759" s="35">
        <v>222809</v>
      </c>
      <c r="F1759" s="35">
        <v>84678255.600000009</v>
      </c>
    </row>
    <row r="1760" spans="1:6" x14ac:dyDescent="0.3">
      <c r="A1760" t="s">
        <v>45</v>
      </c>
      <c r="B1760">
        <v>2024</v>
      </c>
      <c r="C1760" t="s">
        <v>3</v>
      </c>
      <c r="D1760" s="35">
        <v>549868571.80000007</v>
      </c>
      <c r="E1760" s="35">
        <v>998033</v>
      </c>
      <c r="F1760" s="35">
        <v>538300087.8599999</v>
      </c>
    </row>
    <row r="1761" spans="1:6" x14ac:dyDescent="0.3">
      <c r="A1761" t="s">
        <v>45</v>
      </c>
      <c r="B1761">
        <v>2024</v>
      </c>
      <c r="C1761" t="s">
        <v>12</v>
      </c>
      <c r="D1761" s="35">
        <v>88466394.690000013</v>
      </c>
      <c r="E1761" s="35">
        <v>2396807</v>
      </c>
      <c r="F1761" s="35">
        <v>56397095.260000013</v>
      </c>
    </row>
    <row r="1762" spans="1:6" x14ac:dyDescent="0.3">
      <c r="A1762" t="s">
        <v>45</v>
      </c>
      <c r="B1762">
        <v>2024</v>
      </c>
      <c r="C1762" t="s">
        <v>2</v>
      </c>
      <c r="D1762" s="35">
        <v>490659395.88000011</v>
      </c>
      <c r="E1762" s="35">
        <v>5685488</v>
      </c>
      <c r="F1762" s="35">
        <v>420250519.23000002</v>
      </c>
    </row>
    <row r="1763" spans="1:6" x14ac:dyDescent="0.3">
      <c r="A1763" t="s">
        <v>45</v>
      </c>
      <c r="B1763">
        <v>2024</v>
      </c>
      <c r="C1763" t="s">
        <v>5</v>
      </c>
      <c r="D1763" s="35">
        <v>232120884.68000001</v>
      </c>
      <c r="E1763" s="35">
        <v>124823</v>
      </c>
      <c r="F1763" s="35">
        <v>223427346</v>
      </c>
    </row>
    <row r="1764" spans="1:6" x14ac:dyDescent="0.3">
      <c r="A1764" t="s">
        <v>45</v>
      </c>
      <c r="B1764">
        <v>2024</v>
      </c>
      <c r="C1764" t="s">
        <v>17</v>
      </c>
      <c r="D1764" s="35">
        <v>4603429.9200000018</v>
      </c>
      <c r="E1764" s="35">
        <v>387980</v>
      </c>
      <c r="F1764" s="35">
        <v>1128239.72</v>
      </c>
    </row>
    <row r="1765" spans="1:6" x14ac:dyDescent="0.3">
      <c r="A1765" t="s">
        <v>45</v>
      </c>
      <c r="B1765">
        <v>2024</v>
      </c>
      <c r="C1765" t="s">
        <v>9</v>
      </c>
      <c r="D1765" s="35">
        <v>65426531.309999987</v>
      </c>
      <c r="E1765" s="35">
        <v>2039443</v>
      </c>
      <c r="F1765" s="35">
        <v>31458385.98</v>
      </c>
    </row>
    <row r="1766" spans="1:6" x14ac:dyDescent="0.3">
      <c r="A1766" t="s">
        <v>45</v>
      </c>
      <c r="B1766">
        <v>2024</v>
      </c>
      <c r="C1766" t="s">
        <v>8</v>
      </c>
      <c r="D1766" s="35">
        <v>154921425.09</v>
      </c>
      <c r="E1766" s="35">
        <v>7139</v>
      </c>
      <c r="F1766" s="35">
        <v>151819922.06</v>
      </c>
    </row>
    <row r="1767" spans="1:6" x14ac:dyDescent="0.3">
      <c r="A1767" t="s">
        <v>45</v>
      </c>
      <c r="B1767">
        <v>2024</v>
      </c>
      <c r="C1767" t="s">
        <v>6</v>
      </c>
      <c r="D1767" s="35">
        <v>226794414.51000011</v>
      </c>
      <c r="E1767" s="35">
        <v>2909834</v>
      </c>
      <c r="F1767" s="35">
        <v>183531606.53999999</v>
      </c>
    </row>
    <row r="1768" spans="1:6" x14ac:dyDescent="0.3">
      <c r="A1768" t="s">
        <v>45</v>
      </c>
      <c r="B1768">
        <v>2024</v>
      </c>
      <c r="C1768" t="s">
        <v>15</v>
      </c>
      <c r="D1768" s="35">
        <v>20735932.420000002</v>
      </c>
      <c r="E1768" s="35">
        <v>531035</v>
      </c>
      <c r="F1768" s="35">
        <v>11362898.76</v>
      </c>
    </row>
    <row r="1769" spans="1:6" x14ac:dyDescent="0.3">
      <c r="A1769" t="s">
        <v>45</v>
      </c>
      <c r="B1769">
        <v>2024</v>
      </c>
      <c r="C1769" t="s">
        <v>18</v>
      </c>
      <c r="D1769" s="35">
        <v>15460747.17</v>
      </c>
      <c r="E1769" s="35">
        <v>107757</v>
      </c>
      <c r="F1769" s="35">
        <v>13030493.619999999</v>
      </c>
    </row>
    <row r="1770" spans="1:6" x14ac:dyDescent="0.3">
      <c r="A1770" t="s">
        <v>45</v>
      </c>
      <c r="B1770">
        <v>2025</v>
      </c>
      <c r="C1770" t="s">
        <v>10</v>
      </c>
      <c r="D1770" s="35">
        <v>208664311.31</v>
      </c>
      <c r="E1770" s="35">
        <v>3872543</v>
      </c>
      <c r="F1770" s="35">
        <v>170717541.03</v>
      </c>
    </row>
    <row r="1771" spans="1:6" x14ac:dyDescent="0.3">
      <c r="A1771" t="s">
        <v>45</v>
      </c>
      <c r="B1771">
        <v>2025</v>
      </c>
      <c r="C1771" t="s">
        <v>4</v>
      </c>
      <c r="D1771" s="35">
        <v>610492548.01999998</v>
      </c>
      <c r="E1771" s="35">
        <v>1392952</v>
      </c>
      <c r="F1771" s="35">
        <v>600095781.33000004</v>
      </c>
    </row>
    <row r="1772" spans="1:6" x14ac:dyDescent="0.3">
      <c r="A1772" t="s">
        <v>45</v>
      </c>
      <c r="B1772">
        <v>2025</v>
      </c>
      <c r="C1772" t="s">
        <v>13</v>
      </c>
      <c r="D1772" s="35">
        <v>98060614.649999991</v>
      </c>
      <c r="E1772" s="35">
        <v>1180680</v>
      </c>
      <c r="F1772" s="35">
        <v>79687249.090000004</v>
      </c>
    </row>
    <row r="1773" spans="1:6" x14ac:dyDescent="0.3">
      <c r="A1773" t="s">
        <v>45</v>
      </c>
      <c r="B1773">
        <v>2025</v>
      </c>
      <c r="C1773" t="s">
        <v>16</v>
      </c>
      <c r="D1773" s="35">
        <v>32551595.54999999</v>
      </c>
      <c r="E1773" s="35">
        <v>114678</v>
      </c>
      <c r="F1773" s="35">
        <v>30599732.430000011</v>
      </c>
    </row>
    <row r="1774" spans="1:6" x14ac:dyDescent="0.3">
      <c r="A1774" t="s">
        <v>45</v>
      </c>
      <c r="B1774">
        <v>2025</v>
      </c>
      <c r="C1774" t="s">
        <v>14</v>
      </c>
      <c r="D1774" s="35">
        <v>66462593.49000001</v>
      </c>
      <c r="E1774" s="35">
        <v>1351890</v>
      </c>
      <c r="F1774" s="35">
        <v>50187142.020000003</v>
      </c>
    </row>
    <row r="1775" spans="1:6" x14ac:dyDescent="0.3">
      <c r="A1775" t="s">
        <v>45</v>
      </c>
      <c r="B1775">
        <v>2025</v>
      </c>
      <c r="C1775" t="s">
        <v>7</v>
      </c>
      <c r="D1775" s="35">
        <v>274908807.42000008</v>
      </c>
      <c r="E1775" s="35">
        <v>72514</v>
      </c>
      <c r="F1775" s="35">
        <v>274338030.91000003</v>
      </c>
    </row>
    <row r="1776" spans="1:6" x14ac:dyDescent="0.3">
      <c r="A1776" t="s">
        <v>45</v>
      </c>
      <c r="B1776">
        <v>2025</v>
      </c>
      <c r="C1776" t="s">
        <v>11</v>
      </c>
      <c r="D1776" s="35">
        <v>81539595.629999995</v>
      </c>
      <c r="E1776" s="35">
        <v>193792</v>
      </c>
      <c r="F1776" s="35">
        <v>77833013.789999977</v>
      </c>
    </row>
    <row r="1777" spans="1:6" x14ac:dyDescent="0.3">
      <c r="A1777" t="s">
        <v>45</v>
      </c>
      <c r="B1777">
        <v>2025</v>
      </c>
      <c r="C1777" t="s">
        <v>3</v>
      </c>
      <c r="D1777" s="35">
        <v>553852753.80999994</v>
      </c>
      <c r="E1777" s="35">
        <v>935769</v>
      </c>
      <c r="F1777" s="35">
        <v>543137538.84000003</v>
      </c>
    </row>
    <row r="1778" spans="1:6" x14ac:dyDescent="0.3">
      <c r="A1778" t="s">
        <v>45</v>
      </c>
      <c r="B1778">
        <v>2025</v>
      </c>
      <c r="C1778" t="s">
        <v>12</v>
      </c>
      <c r="D1778" s="35">
        <v>86377460.280000031</v>
      </c>
      <c r="E1778" s="35">
        <v>2207891</v>
      </c>
      <c r="F1778" s="35">
        <v>55857981.13000001</v>
      </c>
    </row>
    <row r="1779" spans="1:6" x14ac:dyDescent="0.3">
      <c r="A1779" t="s">
        <v>45</v>
      </c>
      <c r="B1779">
        <v>2025</v>
      </c>
      <c r="C1779" t="s">
        <v>2</v>
      </c>
      <c r="D1779" s="35">
        <v>567485826.17000008</v>
      </c>
      <c r="E1779" s="35">
        <v>5527897</v>
      </c>
      <c r="F1779" s="35">
        <v>498184068.19999999</v>
      </c>
    </row>
    <row r="1780" spans="1:6" x14ac:dyDescent="0.3">
      <c r="A1780" t="s">
        <v>45</v>
      </c>
      <c r="B1780">
        <v>2025</v>
      </c>
      <c r="C1780" t="s">
        <v>5</v>
      </c>
      <c r="D1780" s="35">
        <v>260594405.80000001</v>
      </c>
      <c r="E1780" s="35">
        <v>119990</v>
      </c>
      <c r="F1780" s="35">
        <v>250466718.1500001</v>
      </c>
    </row>
    <row r="1781" spans="1:6" x14ac:dyDescent="0.3">
      <c r="A1781" t="s">
        <v>45</v>
      </c>
      <c r="B1781">
        <v>2025</v>
      </c>
      <c r="C1781" t="s">
        <v>17</v>
      </c>
      <c r="D1781" s="35">
        <v>3992441.3599999989</v>
      </c>
      <c r="E1781" s="35">
        <v>369128</v>
      </c>
      <c r="F1781" s="35">
        <v>837091.35</v>
      </c>
    </row>
    <row r="1782" spans="1:6" x14ac:dyDescent="0.3">
      <c r="A1782" t="s">
        <v>45</v>
      </c>
      <c r="B1782">
        <v>2025</v>
      </c>
      <c r="C1782" t="s">
        <v>9</v>
      </c>
      <c r="D1782" s="35">
        <v>66974422.159999996</v>
      </c>
      <c r="E1782" s="35">
        <v>1908723</v>
      </c>
      <c r="F1782" s="35">
        <v>37099657.830000013</v>
      </c>
    </row>
    <row r="1783" spans="1:6" x14ac:dyDescent="0.3">
      <c r="A1783" t="s">
        <v>45</v>
      </c>
      <c r="B1783">
        <v>2025</v>
      </c>
      <c r="C1783" t="s">
        <v>8</v>
      </c>
      <c r="D1783" s="35">
        <v>151133636.61000001</v>
      </c>
      <c r="E1783" s="35">
        <v>6686</v>
      </c>
      <c r="F1783" s="35">
        <v>149556486.90999991</v>
      </c>
    </row>
    <row r="1784" spans="1:6" x14ac:dyDescent="0.3">
      <c r="A1784" t="s">
        <v>45</v>
      </c>
      <c r="B1784">
        <v>2025</v>
      </c>
      <c r="C1784" t="s">
        <v>6</v>
      </c>
      <c r="D1784" s="35">
        <v>230906300.24000001</v>
      </c>
      <c r="E1784" s="35">
        <v>2738956</v>
      </c>
      <c r="F1784" s="35">
        <v>190742269.99000001</v>
      </c>
    </row>
    <row r="1785" spans="1:6" x14ac:dyDescent="0.3">
      <c r="A1785" t="s">
        <v>45</v>
      </c>
      <c r="B1785">
        <v>2025</v>
      </c>
      <c r="C1785" t="s">
        <v>15</v>
      </c>
      <c r="D1785" s="35">
        <v>25784120.469999999</v>
      </c>
      <c r="E1785" s="35">
        <v>423986</v>
      </c>
      <c r="F1785" s="35">
        <v>17797222.329999998</v>
      </c>
    </row>
    <row r="1786" spans="1:6" x14ac:dyDescent="0.3">
      <c r="A1786" t="s">
        <v>45</v>
      </c>
      <c r="B1786">
        <v>2025</v>
      </c>
      <c r="C1786" t="s">
        <v>18</v>
      </c>
      <c r="D1786" s="35">
        <v>18294791.699999999</v>
      </c>
      <c r="E1786" s="35">
        <v>104346</v>
      </c>
      <c r="F1786" s="35">
        <v>13073077.83</v>
      </c>
    </row>
    <row r="1787" spans="1:6" x14ac:dyDescent="0.3">
      <c r="A1787" t="s">
        <v>46</v>
      </c>
      <c r="B1787">
        <v>2019</v>
      </c>
      <c r="C1787" t="s">
        <v>10</v>
      </c>
      <c r="D1787" s="35">
        <v>75770971.439999998</v>
      </c>
      <c r="E1787" s="35">
        <v>2273539</v>
      </c>
      <c r="F1787" s="35">
        <v>46717707.869999997</v>
      </c>
    </row>
    <row r="1788" spans="1:6" x14ac:dyDescent="0.3">
      <c r="A1788" t="s">
        <v>46</v>
      </c>
      <c r="B1788">
        <v>2019</v>
      </c>
      <c r="C1788" t="s">
        <v>4</v>
      </c>
      <c r="D1788" s="35">
        <v>185686922.09</v>
      </c>
      <c r="E1788" s="35">
        <v>605523</v>
      </c>
      <c r="F1788" s="35">
        <v>182049915.00999999</v>
      </c>
    </row>
    <row r="1789" spans="1:6" x14ac:dyDescent="0.3">
      <c r="A1789" t="s">
        <v>46</v>
      </c>
      <c r="B1789">
        <v>2019</v>
      </c>
      <c r="C1789" t="s">
        <v>13</v>
      </c>
      <c r="D1789" s="35">
        <v>61575134.899999991</v>
      </c>
      <c r="E1789" s="35">
        <v>671563</v>
      </c>
      <c r="F1789" s="35">
        <v>47739046.229999989</v>
      </c>
    </row>
    <row r="1790" spans="1:6" x14ac:dyDescent="0.3">
      <c r="A1790" t="s">
        <v>46</v>
      </c>
      <c r="B1790">
        <v>2019</v>
      </c>
      <c r="C1790" t="s">
        <v>16</v>
      </c>
      <c r="D1790" s="35">
        <v>17553010.969999999</v>
      </c>
      <c r="E1790" s="35">
        <v>65064</v>
      </c>
      <c r="F1790" s="35">
        <v>15521165.93</v>
      </c>
    </row>
    <row r="1791" spans="1:6" x14ac:dyDescent="0.3">
      <c r="A1791" t="s">
        <v>46</v>
      </c>
      <c r="B1791">
        <v>2019</v>
      </c>
      <c r="C1791" t="s">
        <v>14</v>
      </c>
      <c r="D1791" s="35">
        <v>45876443.280000009</v>
      </c>
      <c r="E1791" s="35">
        <v>971437</v>
      </c>
      <c r="F1791" s="35">
        <v>31266038.09</v>
      </c>
    </row>
    <row r="1792" spans="1:6" x14ac:dyDescent="0.3">
      <c r="A1792" t="s">
        <v>46</v>
      </c>
      <c r="B1792">
        <v>2019</v>
      </c>
      <c r="C1792" t="s">
        <v>7</v>
      </c>
      <c r="D1792" s="35">
        <v>61107322.700000003</v>
      </c>
      <c r="E1792" s="35">
        <v>25276</v>
      </c>
      <c r="F1792" s="35">
        <v>60400253.900000013</v>
      </c>
    </row>
    <row r="1793" spans="1:6" x14ac:dyDescent="0.3">
      <c r="A1793" t="s">
        <v>46</v>
      </c>
      <c r="B1793">
        <v>2019</v>
      </c>
      <c r="C1793" t="s">
        <v>11</v>
      </c>
      <c r="D1793" s="35">
        <v>129069524.22</v>
      </c>
      <c r="E1793" s="35">
        <v>83376</v>
      </c>
      <c r="F1793" s="35">
        <v>128096243.15000001</v>
      </c>
    </row>
    <row r="1794" spans="1:6" x14ac:dyDescent="0.3">
      <c r="A1794" t="s">
        <v>46</v>
      </c>
      <c r="B1794">
        <v>2019</v>
      </c>
      <c r="C1794" t="s">
        <v>3</v>
      </c>
      <c r="D1794" s="35">
        <v>159586140.34</v>
      </c>
      <c r="E1794" s="35">
        <v>550165</v>
      </c>
      <c r="F1794" s="35">
        <v>150822139.88</v>
      </c>
    </row>
    <row r="1795" spans="1:6" x14ac:dyDescent="0.3">
      <c r="A1795" t="s">
        <v>46</v>
      </c>
      <c r="B1795">
        <v>2019</v>
      </c>
      <c r="C1795" t="s">
        <v>12</v>
      </c>
      <c r="D1795" s="35">
        <v>130764825.23999999</v>
      </c>
      <c r="E1795" s="35">
        <v>1448783</v>
      </c>
      <c r="F1795" s="35">
        <v>100157732.79000001</v>
      </c>
    </row>
    <row r="1796" spans="1:6" x14ac:dyDescent="0.3">
      <c r="A1796" t="s">
        <v>46</v>
      </c>
      <c r="B1796">
        <v>2019</v>
      </c>
      <c r="C1796" t="s">
        <v>2</v>
      </c>
      <c r="D1796" s="35">
        <v>502321282.31</v>
      </c>
      <c r="E1796" s="35">
        <v>4292055</v>
      </c>
      <c r="F1796" s="35">
        <v>388493445.45999998</v>
      </c>
    </row>
    <row r="1797" spans="1:6" x14ac:dyDescent="0.3">
      <c r="A1797" t="s">
        <v>46</v>
      </c>
      <c r="B1797">
        <v>2019</v>
      </c>
      <c r="C1797" t="s">
        <v>5</v>
      </c>
      <c r="D1797" s="35">
        <v>176096331.11000001</v>
      </c>
      <c r="E1797" s="35">
        <v>75012</v>
      </c>
      <c r="F1797" s="35">
        <v>167071122.41999999</v>
      </c>
    </row>
    <row r="1798" spans="1:6" x14ac:dyDescent="0.3">
      <c r="A1798" t="s">
        <v>46</v>
      </c>
      <c r="B1798">
        <v>2019</v>
      </c>
      <c r="C1798" t="s">
        <v>17</v>
      </c>
      <c r="D1798" s="35">
        <v>10805846.800000001</v>
      </c>
      <c r="E1798" s="35">
        <v>225011</v>
      </c>
      <c r="F1798" s="35">
        <v>1909296.01</v>
      </c>
    </row>
    <row r="1799" spans="1:6" x14ac:dyDescent="0.3">
      <c r="A1799" t="s">
        <v>46</v>
      </c>
      <c r="B1799">
        <v>2019</v>
      </c>
      <c r="C1799" t="s">
        <v>9</v>
      </c>
      <c r="D1799" s="35">
        <v>67260322.409999996</v>
      </c>
      <c r="E1799" s="35">
        <v>1756563</v>
      </c>
      <c r="F1799" s="35">
        <v>29534385.449999992</v>
      </c>
    </row>
    <row r="1800" spans="1:6" x14ac:dyDescent="0.3">
      <c r="A1800" t="s">
        <v>46</v>
      </c>
      <c r="B1800">
        <v>2019</v>
      </c>
      <c r="C1800" t="s">
        <v>8</v>
      </c>
      <c r="D1800" s="35">
        <v>84495886.830000013</v>
      </c>
      <c r="E1800" s="35">
        <v>6501</v>
      </c>
      <c r="F1800" s="35">
        <v>84495886.830000013</v>
      </c>
    </row>
    <row r="1801" spans="1:6" x14ac:dyDescent="0.3">
      <c r="A1801" t="s">
        <v>46</v>
      </c>
      <c r="B1801">
        <v>2019</v>
      </c>
      <c r="C1801" t="s">
        <v>6</v>
      </c>
      <c r="D1801" s="35">
        <v>163818929.12</v>
      </c>
      <c r="E1801" s="35">
        <v>2013682</v>
      </c>
      <c r="F1801" s="35">
        <v>139133211.16</v>
      </c>
    </row>
    <row r="1802" spans="1:6" x14ac:dyDescent="0.3">
      <c r="A1802" t="s">
        <v>46</v>
      </c>
      <c r="B1802">
        <v>2019</v>
      </c>
      <c r="C1802" t="s">
        <v>15</v>
      </c>
      <c r="D1802" s="35">
        <v>50327590.349999987</v>
      </c>
      <c r="E1802" s="35">
        <v>916343</v>
      </c>
      <c r="F1802" s="35">
        <v>30370542.239999998</v>
      </c>
    </row>
    <row r="1803" spans="1:6" x14ac:dyDescent="0.3">
      <c r="A1803" t="s">
        <v>46</v>
      </c>
      <c r="B1803">
        <v>2019</v>
      </c>
      <c r="C1803" t="s">
        <v>18</v>
      </c>
      <c r="D1803" s="35">
        <v>8574901.8400000017</v>
      </c>
      <c r="E1803" s="35">
        <v>99515</v>
      </c>
      <c r="F1803" s="35">
        <v>4268326.21</v>
      </c>
    </row>
    <row r="1804" spans="1:6" x14ac:dyDescent="0.3">
      <c r="A1804" t="s">
        <v>46</v>
      </c>
      <c r="B1804">
        <v>2020</v>
      </c>
      <c r="C1804" t="s">
        <v>10</v>
      </c>
      <c r="D1804" s="35">
        <v>73478897.299999997</v>
      </c>
      <c r="E1804" s="35">
        <v>2402701</v>
      </c>
      <c r="F1804" s="35">
        <v>54729725.420000017</v>
      </c>
    </row>
    <row r="1805" spans="1:6" x14ac:dyDescent="0.3">
      <c r="A1805" t="s">
        <v>46</v>
      </c>
      <c r="B1805">
        <v>2020</v>
      </c>
      <c r="C1805" t="s">
        <v>4</v>
      </c>
      <c r="D1805" s="35">
        <v>207968934.53</v>
      </c>
      <c r="E1805" s="35">
        <v>652150</v>
      </c>
      <c r="F1805" s="35">
        <v>206092819.90000001</v>
      </c>
    </row>
    <row r="1806" spans="1:6" x14ac:dyDescent="0.3">
      <c r="A1806" t="s">
        <v>46</v>
      </c>
      <c r="B1806">
        <v>2020</v>
      </c>
      <c r="C1806" t="s">
        <v>13</v>
      </c>
      <c r="D1806" s="35">
        <v>63439074.560000002</v>
      </c>
      <c r="E1806" s="35">
        <v>722292</v>
      </c>
      <c r="F1806" s="35">
        <v>51784509.70000001</v>
      </c>
    </row>
    <row r="1807" spans="1:6" x14ac:dyDescent="0.3">
      <c r="A1807" t="s">
        <v>46</v>
      </c>
      <c r="B1807">
        <v>2020</v>
      </c>
      <c r="C1807" t="s">
        <v>16</v>
      </c>
      <c r="D1807" s="35">
        <v>18405979.640000001</v>
      </c>
      <c r="E1807" s="35">
        <v>65671</v>
      </c>
      <c r="F1807" s="35">
        <v>17073074.289999999</v>
      </c>
    </row>
    <row r="1808" spans="1:6" x14ac:dyDescent="0.3">
      <c r="A1808" t="s">
        <v>46</v>
      </c>
      <c r="B1808">
        <v>2020</v>
      </c>
      <c r="C1808" t="s">
        <v>14</v>
      </c>
      <c r="D1808" s="35">
        <v>44644065.25999999</v>
      </c>
      <c r="E1808" s="35">
        <v>1068735</v>
      </c>
      <c r="F1808" s="35">
        <v>33112147.23</v>
      </c>
    </row>
    <row r="1809" spans="1:6" x14ac:dyDescent="0.3">
      <c r="A1809" t="s">
        <v>46</v>
      </c>
      <c r="B1809">
        <v>2020</v>
      </c>
      <c r="C1809" t="s">
        <v>7</v>
      </c>
      <c r="D1809" s="35">
        <v>77153745.310000017</v>
      </c>
      <c r="E1809" s="35">
        <v>28888</v>
      </c>
      <c r="F1809" s="35">
        <v>75802950.700000003</v>
      </c>
    </row>
    <row r="1810" spans="1:6" x14ac:dyDescent="0.3">
      <c r="A1810" t="s">
        <v>46</v>
      </c>
      <c r="B1810">
        <v>2020</v>
      </c>
      <c r="C1810" t="s">
        <v>11</v>
      </c>
      <c r="D1810" s="35">
        <v>159230433.78</v>
      </c>
      <c r="E1810" s="35">
        <v>99416</v>
      </c>
      <c r="F1810" s="35">
        <v>157805983.25</v>
      </c>
    </row>
    <row r="1811" spans="1:6" x14ac:dyDescent="0.3">
      <c r="A1811" t="s">
        <v>46</v>
      </c>
      <c r="B1811">
        <v>2020</v>
      </c>
      <c r="C1811" t="s">
        <v>3</v>
      </c>
      <c r="D1811" s="35">
        <v>214382103.03999999</v>
      </c>
      <c r="E1811" s="35">
        <v>536669</v>
      </c>
      <c r="F1811" s="35">
        <v>207557592.41999999</v>
      </c>
    </row>
    <row r="1812" spans="1:6" x14ac:dyDescent="0.3">
      <c r="A1812" t="s">
        <v>46</v>
      </c>
      <c r="B1812">
        <v>2020</v>
      </c>
      <c r="C1812" t="s">
        <v>12</v>
      </c>
      <c r="D1812" s="35">
        <v>156423283.75999999</v>
      </c>
      <c r="E1812" s="35">
        <v>1302215</v>
      </c>
      <c r="F1812" s="35">
        <v>134274968.41</v>
      </c>
    </row>
    <row r="1813" spans="1:6" x14ac:dyDescent="0.3">
      <c r="A1813" t="s">
        <v>46</v>
      </c>
      <c r="B1813">
        <v>2020</v>
      </c>
      <c r="C1813" t="s">
        <v>2</v>
      </c>
      <c r="D1813" s="35">
        <v>510010255.56999999</v>
      </c>
      <c r="E1813" s="35">
        <v>4612267</v>
      </c>
      <c r="F1813" s="35">
        <v>419960660.44999999</v>
      </c>
    </row>
    <row r="1814" spans="1:6" x14ac:dyDescent="0.3">
      <c r="A1814" t="s">
        <v>46</v>
      </c>
      <c r="B1814">
        <v>2020</v>
      </c>
      <c r="C1814" t="s">
        <v>5</v>
      </c>
      <c r="D1814" s="35">
        <v>204402280.94</v>
      </c>
      <c r="E1814" s="35">
        <v>86281</v>
      </c>
      <c r="F1814" s="35">
        <v>198604153.65000001</v>
      </c>
    </row>
    <row r="1815" spans="1:6" x14ac:dyDescent="0.3">
      <c r="A1815" t="s">
        <v>46</v>
      </c>
      <c r="B1815">
        <v>2020</v>
      </c>
      <c r="C1815" t="s">
        <v>17</v>
      </c>
      <c r="D1815" s="35">
        <v>8017959.6200000001</v>
      </c>
      <c r="E1815" s="35">
        <v>248286</v>
      </c>
      <c r="F1815" s="35">
        <v>2225202.4</v>
      </c>
    </row>
    <row r="1816" spans="1:6" x14ac:dyDescent="0.3">
      <c r="A1816" t="s">
        <v>46</v>
      </c>
      <c r="B1816">
        <v>2020</v>
      </c>
      <c r="C1816" t="s">
        <v>9</v>
      </c>
      <c r="D1816" s="35">
        <v>66648158.710000008</v>
      </c>
      <c r="E1816" s="35">
        <v>1871865</v>
      </c>
      <c r="F1816" s="35">
        <v>33564101.619999997</v>
      </c>
    </row>
    <row r="1817" spans="1:6" x14ac:dyDescent="0.3">
      <c r="A1817" t="s">
        <v>46</v>
      </c>
      <c r="B1817">
        <v>2020</v>
      </c>
      <c r="C1817" t="s">
        <v>8</v>
      </c>
      <c r="D1817" s="35">
        <v>103955297.02</v>
      </c>
      <c r="E1817" s="35">
        <v>8285</v>
      </c>
      <c r="F1817" s="35">
        <v>103955297.02</v>
      </c>
    </row>
    <row r="1818" spans="1:6" x14ac:dyDescent="0.3">
      <c r="A1818" t="s">
        <v>46</v>
      </c>
      <c r="B1818">
        <v>2020</v>
      </c>
      <c r="C1818" t="s">
        <v>6</v>
      </c>
      <c r="D1818" s="35">
        <v>162655836.25999999</v>
      </c>
      <c r="E1818" s="35">
        <v>2099863</v>
      </c>
      <c r="F1818" s="35">
        <v>140048489.90000001</v>
      </c>
    </row>
    <row r="1819" spans="1:6" x14ac:dyDescent="0.3">
      <c r="A1819" t="s">
        <v>46</v>
      </c>
      <c r="B1819">
        <v>2020</v>
      </c>
      <c r="C1819" t="s">
        <v>15</v>
      </c>
      <c r="D1819" s="35">
        <v>38612097.110000007</v>
      </c>
      <c r="E1819" s="35">
        <v>812388</v>
      </c>
      <c r="F1819" s="35">
        <v>23014747.5</v>
      </c>
    </row>
    <row r="1820" spans="1:6" x14ac:dyDescent="0.3">
      <c r="A1820" t="s">
        <v>46</v>
      </c>
      <c r="B1820">
        <v>2020</v>
      </c>
      <c r="C1820" t="s">
        <v>18</v>
      </c>
      <c r="D1820" s="35">
        <v>8267417.8399999999</v>
      </c>
      <c r="E1820" s="35">
        <v>93559</v>
      </c>
      <c r="F1820" s="35">
        <v>5353735.459999999</v>
      </c>
    </row>
    <row r="1821" spans="1:6" x14ac:dyDescent="0.3">
      <c r="A1821" t="s">
        <v>46</v>
      </c>
      <c r="B1821">
        <v>2021</v>
      </c>
      <c r="C1821" t="s">
        <v>10</v>
      </c>
      <c r="D1821" s="35">
        <v>103106615.42</v>
      </c>
      <c r="E1821" s="35">
        <v>2703127</v>
      </c>
      <c r="F1821" s="35">
        <v>72683997.760000005</v>
      </c>
    </row>
    <row r="1822" spans="1:6" x14ac:dyDescent="0.3">
      <c r="A1822" t="s">
        <v>46</v>
      </c>
      <c r="B1822">
        <v>2021</v>
      </c>
      <c r="C1822" t="s">
        <v>4</v>
      </c>
      <c r="D1822" s="35">
        <v>266193709.52999991</v>
      </c>
      <c r="E1822" s="35">
        <v>742758</v>
      </c>
      <c r="F1822" s="35">
        <v>262709502.06000009</v>
      </c>
    </row>
    <row r="1823" spans="1:6" x14ac:dyDescent="0.3">
      <c r="A1823" t="s">
        <v>46</v>
      </c>
      <c r="B1823">
        <v>2021</v>
      </c>
      <c r="C1823" t="s">
        <v>13</v>
      </c>
      <c r="D1823" s="35">
        <v>73134335.699999988</v>
      </c>
      <c r="E1823" s="35">
        <v>807071</v>
      </c>
      <c r="F1823" s="35">
        <v>57528610.940000013</v>
      </c>
    </row>
    <row r="1824" spans="1:6" x14ac:dyDescent="0.3">
      <c r="A1824" t="s">
        <v>46</v>
      </c>
      <c r="B1824">
        <v>2021</v>
      </c>
      <c r="C1824" t="s">
        <v>16</v>
      </c>
      <c r="D1824" s="35">
        <v>22966836.469999999</v>
      </c>
      <c r="E1824" s="35">
        <v>70080</v>
      </c>
      <c r="F1824" s="35">
        <v>21096418</v>
      </c>
    </row>
    <row r="1825" spans="1:6" x14ac:dyDescent="0.3">
      <c r="A1825" t="s">
        <v>46</v>
      </c>
      <c r="B1825">
        <v>2021</v>
      </c>
      <c r="C1825" t="s">
        <v>14</v>
      </c>
      <c r="D1825" s="35">
        <v>51194463.310000002</v>
      </c>
      <c r="E1825" s="35">
        <v>1191243</v>
      </c>
      <c r="F1825" s="35">
        <v>38055662.080000013</v>
      </c>
    </row>
    <row r="1826" spans="1:6" x14ac:dyDescent="0.3">
      <c r="A1826" t="s">
        <v>46</v>
      </c>
      <c r="B1826">
        <v>2021</v>
      </c>
      <c r="C1826" t="s">
        <v>7</v>
      </c>
      <c r="D1826" s="35">
        <v>92148240.140000001</v>
      </c>
      <c r="E1826" s="35">
        <v>33083</v>
      </c>
      <c r="F1826" s="35">
        <v>89087202.300000012</v>
      </c>
    </row>
    <row r="1827" spans="1:6" x14ac:dyDescent="0.3">
      <c r="A1827" t="s">
        <v>46</v>
      </c>
      <c r="B1827">
        <v>2021</v>
      </c>
      <c r="C1827" t="s">
        <v>11</v>
      </c>
      <c r="D1827" s="35">
        <v>172994145.72999999</v>
      </c>
      <c r="E1827" s="35">
        <v>111493</v>
      </c>
      <c r="F1827" s="35">
        <v>170828869.97</v>
      </c>
    </row>
    <row r="1828" spans="1:6" x14ac:dyDescent="0.3">
      <c r="A1828" t="s">
        <v>46</v>
      </c>
      <c r="B1828">
        <v>2021</v>
      </c>
      <c r="C1828" t="s">
        <v>3</v>
      </c>
      <c r="D1828" s="35">
        <v>296844101.02999997</v>
      </c>
      <c r="E1828" s="35">
        <v>666296</v>
      </c>
      <c r="F1828" s="35">
        <v>288096488.73999989</v>
      </c>
    </row>
    <row r="1829" spans="1:6" x14ac:dyDescent="0.3">
      <c r="A1829" t="s">
        <v>46</v>
      </c>
      <c r="B1829">
        <v>2021</v>
      </c>
      <c r="C1829" t="s">
        <v>12</v>
      </c>
      <c r="D1829" s="35">
        <v>175298258.19999999</v>
      </c>
      <c r="E1829" s="35">
        <v>1519943</v>
      </c>
      <c r="F1829" s="35">
        <v>153584948.8000001</v>
      </c>
    </row>
    <row r="1830" spans="1:6" x14ac:dyDescent="0.3">
      <c r="A1830" t="s">
        <v>46</v>
      </c>
      <c r="B1830">
        <v>2021</v>
      </c>
      <c r="C1830" t="s">
        <v>2</v>
      </c>
      <c r="D1830" s="35">
        <v>591789954.75999999</v>
      </c>
      <c r="E1830" s="35">
        <v>5155110</v>
      </c>
      <c r="F1830" s="35">
        <v>486471273.62000012</v>
      </c>
    </row>
    <row r="1831" spans="1:6" x14ac:dyDescent="0.3">
      <c r="A1831" t="s">
        <v>46</v>
      </c>
      <c r="B1831">
        <v>2021</v>
      </c>
      <c r="C1831" t="s">
        <v>5</v>
      </c>
      <c r="D1831" s="35">
        <v>207267426.09</v>
      </c>
      <c r="E1831" s="35">
        <v>93371</v>
      </c>
      <c r="F1831" s="35">
        <v>201093491.81999999</v>
      </c>
    </row>
    <row r="1832" spans="1:6" x14ac:dyDescent="0.3">
      <c r="A1832" t="s">
        <v>46</v>
      </c>
      <c r="B1832">
        <v>2021</v>
      </c>
      <c r="C1832" t="s">
        <v>17</v>
      </c>
      <c r="D1832" s="35">
        <v>11288158.960000001</v>
      </c>
      <c r="E1832" s="35">
        <v>302950</v>
      </c>
      <c r="F1832" s="35">
        <v>3257234.46</v>
      </c>
    </row>
    <row r="1833" spans="1:6" x14ac:dyDescent="0.3">
      <c r="A1833" t="s">
        <v>46</v>
      </c>
      <c r="B1833">
        <v>2021</v>
      </c>
      <c r="C1833" t="s">
        <v>9</v>
      </c>
      <c r="D1833" s="35">
        <v>73673476.150000006</v>
      </c>
      <c r="E1833" s="35">
        <v>2171422</v>
      </c>
      <c r="F1833" s="35">
        <v>34374616.960000001</v>
      </c>
    </row>
    <row r="1834" spans="1:6" x14ac:dyDescent="0.3">
      <c r="A1834" t="s">
        <v>46</v>
      </c>
      <c r="B1834">
        <v>2021</v>
      </c>
      <c r="C1834" t="s">
        <v>8</v>
      </c>
      <c r="D1834" s="35">
        <v>116931812.73999999</v>
      </c>
      <c r="E1834" s="35">
        <v>8021</v>
      </c>
      <c r="F1834" s="35">
        <v>116832698.86</v>
      </c>
    </row>
    <row r="1835" spans="1:6" x14ac:dyDescent="0.3">
      <c r="A1835" t="s">
        <v>46</v>
      </c>
      <c r="B1835">
        <v>2021</v>
      </c>
      <c r="C1835" t="s">
        <v>6</v>
      </c>
      <c r="D1835" s="35">
        <v>176637012.65000001</v>
      </c>
      <c r="E1835" s="35">
        <v>2317776</v>
      </c>
      <c r="F1835" s="35">
        <v>148796302.99000001</v>
      </c>
    </row>
    <row r="1836" spans="1:6" x14ac:dyDescent="0.3">
      <c r="A1836" t="s">
        <v>46</v>
      </c>
      <c r="B1836">
        <v>2021</v>
      </c>
      <c r="C1836" t="s">
        <v>15</v>
      </c>
      <c r="D1836" s="35">
        <v>36424932.779999986</v>
      </c>
      <c r="E1836" s="35">
        <v>741018</v>
      </c>
      <c r="F1836" s="35">
        <v>17151411.649999991</v>
      </c>
    </row>
    <row r="1837" spans="1:6" x14ac:dyDescent="0.3">
      <c r="A1837" t="s">
        <v>46</v>
      </c>
      <c r="B1837">
        <v>2021</v>
      </c>
      <c r="C1837" t="s">
        <v>18</v>
      </c>
      <c r="D1837" s="35">
        <v>9203798.5199999996</v>
      </c>
      <c r="E1837" s="35">
        <v>93759</v>
      </c>
      <c r="F1837" s="35">
        <v>5223822.8600000003</v>
      </c>
    </row>
    <row r="1838" spans="1:6" x14ac:dyDescent="0.3">
      <c r="A1838" t="s">
        <v>46</v>
      </c>
      <c r="B1838">
        <v>2022</v>
      </c>
      <c r="C1838" t="s">
        <v>10</v>
      </c>
      <c r="D1838" s="35">
        <v>119607776.95</v>
      </c>
      <c r="E1838" s="35">
        <v>2958598</v>
      </c>
      <c r="F1838" s="35">
        <v>84392883.389999986</v>
      </c>
    </row>
    <row r="1839" spans="1:6" x14ac:dyDescent="0.3">
      <c r="A1839" t="s">
        <v>46</v>
      </c>
      <c r="B1839">
        <v>2022</v>
      </c>
      <c r="C1839" t="s">
        <v>4</v>
      </c>
      <c r="D1839" s="35">
        <v>312237278.72000003</v>
      </c>
      <c r="E1839" s="35">
        <v>823374</v>
      </c>
      <c r="F1839" s="35">
        <v>308909002.72000003</v>
      </c>
    </row>
    <row r="1840" spans="1:6" x14ac:dyDescent="0.3">
      <c r="A1840" t="s">
        <v>46</v>
      </c>
      <c r="B1840">
        <v>2022</v>
      </c>
      <c r="C1840" t="s">
        <v>13</v>
      </c>
      <c r="D1840" s="35">
        <v>75190710.340000004</v>
      </c>
      <c r="E1840" s="35">
        <v>854064</v>
      </c>
      <c r="F1840" s="35">
        <v>57401270.130000003</v>
      </c>
    </row>
    <row r="1841" spans="1:6" x14ac:dyDescent="0.3">
      <c r="A1841" t="s">
        <v>46</v>
      </c>
      <c r="B1841">
        <v>2022</v>
      </c>
      <c r="C1841" t="s">
        <v>16</v>
      </c>
      <c r="D1841" s="35">
        <v>24664672.460000008</v>
      </c>
      <c r="E1841" s="35">
        <v>72277</v>
      </c>
      <c r="F1841" s="35">
        <v>22754486.800000001</v>
      </c>
    </row>
    <row r="1842" spans="1:6" x14ac:dyDescent="0.3">
      <c r="A1842" t="s">
        <v>46</v>
      </c>
      <c r="B1842">
        <v>2022</v>
      </c>
      <c r="C1842" t="s">
        <v>14</v>
      </c>
      <c r="D1842" s="35">
        <v>56048781.399999999</v>
      </c>
      <c r="E1842" s="35">
        <v>1368529</v>
      </c>
      <c r="F1842" s="35">
        <v>40637986.109999999</v>
      </c>
    </row>
    <row r="1843" spans="1:6" x14ac:dyDescent="0.3">
      <c r="A1843" t="s">
        <v>46</v>
      </c>
      <c r="B1843">
        <v>2022</v>
      </c>
      <c r="C1843" t="s">
        <v>7</v>
      </c>
      <c r="D1843" s="35">
        <v>103110893.38</v>
      </c>
      <c r="E1843" s="35">
        <v>38408</v>
      </c>
      <c r="F1843" s="35">
        <v>101042468.59999999</v>
      </c>
    </row>
    <row r="1844" spans="1:6" x14ac:dyDescent="0.3">
      <c r="A1844" t="s">
        <v>46</v>
      </c>
      <c r="B1844">
        <v>2022</v>
      </c>
      <c r="C1844" t="s">
        <v>11</v>
      </c>
      <c r="D1844" s="35">
        <v>133813510.58</v>
      </c>
      <c r="E1844" s="35">
        <v>123774</v>
      </c>
      <c r="F1844" s="35">
        <v>130863302.34</v>
      </c>
    </row>
    <row r="1845" spans="1:6" x14ac:dyDescent="0.3">
      <c r="A1845" t="s">
        <v>46</v>
      </c>
      <c r="B1845">
        <v>2022</v>
      </c>
      <c r="C1845" t="s">
        <v>3</v>
      </c>
      <c r="D1845" s="35">
        <v>374835635.07000011</v>
      </c>
      <c r="E1845" s="35">
        <v>769006</v>
      </c>
      <c r="F1845" s="35">
        <v>363444633.67000002</v>
      </c>
    </row>
    <row r="1846" spans="1:6" x14ac:dyDescent="0.3">
      <c r="A1846" t="s">
        <v>46</v>
      </c>
      <c r="B1846">
        <v>2022</v>
      </c>
      <c r="C1846" t="s">
        <v>12</v>
      </c>
      <c r="D1846" s="35">
        <v>116591688.45</v>
      </c>
      <c r="E1846" s="35">
        <v>1809685</v>
      </c>
      <c r="F1846" s="35">
        <v>87071907.940000027</v>
      </c>
    </row>
    <row r="1847" spans="1:6" x14ac:dyDescent="0.3">
      <c r="A1847" t="s">
        <v>46</v>
      </c>
      <c r="B1847">
        <v>2022</v>
      </c>
      <c r="C1847" t="s">
        <v>2</v>
      </c>
      <c r="D1847" s="35">
        <v>673591656.1500001</v>
      </c>
      <c r="E1847" s="35">
        <v>5571006</v>
      </c>
      <c r="F1847" s="35">
        <v>548824673.83000004</v>
      </c>
    </row>
    <row r="1848" spans="1:6" x14ac:dyDescent="0.3">
      <c r="A1848" t="s">
        <v>46</v>
      </c>
      <c r="B1848">
        <v>2022</v>
      </c>
      <c r="C1848" t="s">
        <v>5</v>
      </c>
      <c r="D1848" s="35">
        <v>207503234.80000001</v>
      </c>
      <c r="E1848" s="35">
        <v>97311</v>
      </c>
      <c r="F1848" s="35">
        <v>200243713.86000001</v>
      </c>
    </row>
    <row r="1849" spans="1:6" x14ac:dyDescent="0.3">
      <c r="A1849" t="s">
        <v>46</v>
      </c>
      <c r="B1849">
        <v>2022</v>
      </c>
      <c r="C1849" t="s">
        <v>17</v>
      </c>
      <c r="D1849" s="35">
        <v>11284586.74</v>
      </c>
      <c r="E1849" s="35">
        <v>307211</v>
      </c>
      <c r="F1849" s="35">
        <v>3255751.41</v>
      </c>
    </row>
    <row r="1850" spans="1:6" x14ac:dyDescent="0.3">
      <c r="A1850" t="s">
        <v>46</v>
      </c>
      <c r="B1850">
        <v>2022</v>
      </c>
      <c r="C1850" t="s">
        <v>9</v>
      </c>
      <c r="D1850" s="35">
        <v>81697886.290000021</v>
      </c>
      <c r="E1850" s="35">
        <v>2409996</v>
      </c>
      <c r="F1850" s="35">
        <v>34011312.369999997</v>
      </c>
    </row>
    <row r="1851" spans="1:6" x14ac:dyDescent="0.3">
      <c r="A1851" t="s">
        <v>46</v>
      </c>
      <c r="B1851">
        <v>2022</v>
      </c>
      <c r="C1851" t="s">
        <v>8</v>
      </c>
      <c r="D1851" s="35">
        <v>135003113.49000001</v>
      </c>
      <c r="E1851" s="35">
        <v>8309</v>
      </c>
      <c r="F1851" s="35">
        <v>134936317.93000001</v>
      </c>
    </row>
    <row r="1852" spans="1:6" x14ac:dyDescent="0.3">
      <c r="A1852" t="s">
        <v>46</v>
      </c>
      <c r="B1852">
        <v>2022</v>
      </c>
      <c r="C1852" t="s">
        <v>6</v>
      </c>
      <c r="D1852" s="35">
        <v>189064382.22999999</v>
      </c>
      <c r="E1852" s="35">
        <v>2563225</v>
      </c>
      <c r="F1852" s="35">
        <v>154967672.25</v>
      </c>
    </row>
    <row r="1853" spans="1:6" x14ac:dyDescent="0.3">
      <c r="A1853" t="s">
        <v>46</v>
      </c>
      <c r="B1853">
        <v>2022</v>
      </c>
      <c r="C1853" t="s">
        <v>15</v>
      </c>
      <c r="D1853" s="35">
        <v>35098229.840000004</v>
      </c>
      <c r="E1853" s="35">
        <v>667363</v>
      </c>
      <c r="F1853" s="35">
        <v>14905716.01</v>
      </c>
    </row>
    <row r="1854" spans="1:6" x14ac:dyDescent="0.3">
      <c r="A1854" t="s">
        <v>46</v>
      </c>
      <c r="B1854">
        <v>2022</v>
      </c>
      <c r="C1854" t="s">
        <v>18</v>
      </c>
      <c r="D1854" s="35">
        <v>9703579.4799999986</v>
      </c>
      <c r="E1854" s="35">
        <v>88613</v>
      </c>
      <c r="F1854" s="35">
        <v>6272776.0300000003</v>
      </c>
    </row>
    <row r="1855" spans="1:6" x14ac:dyDescent="0.3">
      <c r="A1855" t="s">
        <v>46</v>
      </c>
      <c r="B1855">
        <v>2023</v>
      </c>
      <c r="C1855" t="s">
        <v>10</v>
      </c>
      <c r="D1855" s="35">
        <v>127809151.78</v>
      </c>
      <c r="E1855" s="35">
        <v>2939885</v>
      </c>
      <c r="F1855" s="35">
        <v>95427068.460000023</v>
      </c>
    </row>
    <row r="1856" spans="1:6" x14ac:dyDescent="0.3">
      <c r="A1856" t="s">
        <v>46</v>
      </c>
      <c r="B1856">
        <v>2023</v>
      </c>
      <c r="C1856" t="s">
        <v>4</v>
      </c>
      <c r="D1856" s="35">
        <v>397841993.27999997</v>
      </c>
      <c r="E1856" s="35">
        <v>868623</v>
      </c>
      <c r="F1856" s="35">
        <v>395098172.69000012</v>
      </c>
    </row>
    <row r="1857" spans="1:6" x14ac:dyDescent="0.3">
      <c r="A1857" t="s">
        <v>46</v>
      </c>
      <c r="B1857">
        <v>2023</v>
      </c>
      <c r="C1857" t="s">
        <v>13</v>
      </c>
      <c r="D1857" s="35">
        <v>68540465.359999999</v>
      </c>
      <c r="E1857" s="35">
        <v>857483</v>
      </c>
      <c r="F1857" s="35">
        <v>51910373.219999991</v>
      </c>
    </row>
    <row r="1858" spans="1:6" x14ac:dyDescent="0.3">
      <c r="A1858" t="s">
        <v>46</v>
      </c>
      <c r="B1858">
        <v>2023</v>
      </c>
      <c r="C1858" t="s">
        <v>16</v>
      </c>
      <c r="D1858" s="35">
        <v>28301747.170000002</v>
      </c>
      <c r="E1858" s="35">
        <v>73073</v>
      </c>
      <c r="F1858" s="35">
        <v>26667905.609999999</v>
      </c>
    </row>
    <row r="1859" spans="1:6" x14ac:dyDescent="0.3">
      <c r="A1859" t="s">
        <v>46</v>
      </c>
      <c r="B1859">
        <v>2023</v>
      </c>
      <c r="C1859" t="s">
        <v>14</v>
      </c>
      <c r="D1859" s="35">
        <v>60776485.960000001</v>
      </c>
      <c r="E1859" s="35">
        <v>1401525</v>
      </c>
      <c r="F1859" s="35">
        <v>44122376.600000009</v>
      </c>
    </row>
    <row r="1860" spans="1:6" x14ac:dyDescent="0.3">
      <c r="A1860" t="s">
        <v>46</v>
      </c>
      <c r="B1860">
        <v>2023</v>
      </c>
      <c r="C1860" t="s">
        <v>7</v>
      </c>
      <c r="D1860" s="35">
        <v>106184396.87</v>
      </c>
      <c r="E1860" s="35">
        <v>37195</v>
      </c>
      <c r="F1860" s="35">
        <v>104405357.40000001</v>
      </c>
    </row>
    <row r="1861" spans="1:6" x14ac:dyDescent="0.3">
      <c r="A1861" t="s">
        <v>46</v>
      </c>
      <c r="B1861">
        <v>2023</v>
      </c>
      <c r="C1861" t="s">
        <v>11</v>
      </c>
      <c r="D1861" s="35">
        <v>131437156.7</v>
      </c>
      <c r="E1861" s="35">
        <v>119521</v>
      </c>
      <c r="F1861" s="35">
        <v>128652519.92</v>
      </c>
    </row>
    <row r="1862" spans="1:6" x14ac:dyDescent="0.3">
      <c r="A1862" t="s">
        <v>46</v>
      </c>
      <c r="B1862">
        <v>2023</v>
      </c>
      <c r="C1862" t="s">
        <v>3</v>
      </c>
      <c r="D1862" s="35">
        <v>459913900.86000001</v>
      </c>
      <c r="E1862" s="35">
        <v>795781</v>
      </c>
      <c r="F1862" s="35">
        <v>449934354.57999998</v>
      </c>
    </row>
    <row r="1863" spans="1:6" x14ac:dyDescent="0.3">
      <c r="A1863" t="s">
        <v>46</v>
      </c>
      <c r="B1863">
        <v>2023</v>
      </c>
      <c r="C1863" t="s">
        <v>12</v>
      </c>
      <c r="D1863" s="35">
        <v>108972210.42</v>
      </c>
      <c r="E1863" s="35">
        <v>1932317</v>
      </c>
      <c r="F1863" s="35">
        <v>83026491.029999971</v>
      </c>
    </row>
    <row r="1864" spans="1:6" x14ac:dyDescent="0.3">
      <c r="A1864" t="s">
        <v>46</v>
      </c>
      <c r="B1864">
        <v>2023</v>
      </c>
      <c r="C1864" t="s">
        <v>2</v>
      </c>
      <c r="D1864" s="35">
        <v>700190491.3499999</v>
      </c>
      <c r="E1864" s="35">
        <v>5595410</v>
      </c>
      <c r="F1864" s="35">
        <v>571344368.00999999</v>
      </c>
    </row>
    <row r="1865" spans="1:6" x14ac:dyDescent="0.3">
      <c r="A1865" t="s">
        <v>46</v>
      </c>
      <c r="B1865">
        <v>2023</v>
      </c>
      <c r="C1865" t="s">
        <v>5</v>
      </c>
      <c r="D1865" s="35">
        <v>193377498.80000001</v>
      </c>
      <c r="E1865" s="35">
        <v>96277</v>
      </c>
      <c r="F1865" s="35">
        <v>186844115.56</v>
      </c>
    </row>
    <row r="1866" spans="1:6" x14ac:dyDescent="0.3">
      <c r="A1866" t="s">
        <v>46</v>
      </c>
      <c r="B1866">
        <v>2023</v>
      </c>
      <c r="C1866" t="s">
        <v>17</v>
      </c>
      <c r="D1866" s="35">
        <v>14013432.039999999</v>
      </c>
      <c r="E1866" s="35">
        <v>317527</v>
      </c>
      <c r="F1866" s="35">
        <v>4278524.6700000009</v>
      </c>
    </row>
    <row r="1867" spans="1:6" x14ac:dyDescent="0.3">
      <c r="A1867" t="s">
        <v>46</v>
      </c>
      <c r="B1867">
        <v>2023</v>
      </c>
      <c r="C1867" t="s">
        <v>9</v>
      </c>
      <c r="D1867" s="35">
        <v>89956216.709999993</v>
      </c>
      <c r="E1867" s="35">
        <v>2415465</v>
      </c>
      <c r="F1867" s="35">
        <v>42153391.689999998</v>
      </c>
    </row>
    <row r="1868" spans="1:6" x14ac:dyDescent="0.3">
      <c r="A1868" t="s">
        <v>46</v>
      </c>
      <c r="B1868">
        <v>2023</v>
      </c>
      <c r="C1868" t="s">
        <v>8</v>
      </c>
      <c r="D1868" s="35">
        <v>153696358.52000001</v>
      </c>
      <c r="E1868" s="35">
        <v>9070</v>
      </c>
      <c r="F1868" s="35">
        <v>153524553.74000001</v>
      </c>
    </row>
    <row r="1869" spans="1:6" x14ac:dyDescent="0.3">
      <c r="A1869" t="s">
        <v>46</v>
      </c>
      <c r="B1869">
        <v>2023</v>
      </c>
      <c r="C1869" t="s">
        <v>6</v>
      </c>
      <c r="D1869" s="35">
        <v>196071309.40000001</v>
      </c>
      <c r="E1869" s="35">
        <v>2623845</v>
      </c>
      <c r="F1869" s="35">
        <v>165734930.66</v>
      </c>
    </row>
    <row r="1870" spans="1:6" x14ac:dyDescent="0.3">
      <c r="A1870" t="s">
        <v>46</v>
      </c>
      <c r="B1870">
        <v>2023</v>
      </c>
      <c r="C1870" t="s">
        <v>15</v>
      </c>
      <c r="D1870" s="35">
        <v>35342828.289999992</v>
      </c>
      <c r="E1870" s="35">
        <v>603093</v>
      </c>
      <c r="F1870" s="35">
        <v>21585728.850000009</v>
      </c>
    </row>
    <row r="1871" spans="1:6" x14ac:dyDescent="0.3">
      <c r="A1871" t="s">
        <v>46</v>
      </c>
      <c r="B1871">
        <v>2023</v>
      </c>
      <c r="C1871" t="s">
        <v>18</v>
      </c>
      <c r="D1871" s="35">
        <v>11288649.779999999</v>
      </c>
      <c r="E1871" s="35">
        <v>72484</v>
      </c>
      <c r="F1871" s="35">
        <v>9075369.959999999</v>
      </c>
    </row>
    <row r="1872" spans="1:6" x14ac:dyDescent="0.3">
      <c r="A1872" t="s">
        <v>46</v>
      </c>
      <c r="B1872">
        <v>2024</v>
      </c>
      <c r="C1872" t="s">
        <v>10</v>
      </c>
      <c r="D1872" s="35">
        <v>130877568.95</v>
      </c>
      <c r="E1872" s="35">
        <v>2642266</v>
      </c>
      <c r="F1872" s="35">
        <v>103345677.55</v>
      </c>
    </row>
    <row r="1873" spans="1:6" x14ac:dyDescent="0.3">
      <c r="A1873" t="s">
        <v>46</v>
      </c>
      <c r="B1873">
        <v>2024</v>
      </c>
      <c r="C1873" t="s">
        <v>4</v>
      </c>
      <c r="D1873" s="35">
        <v>370844005.72000003</v>
      </c>
      <c r="E1873" s="35">
        <v>791140</v>
      </c>
      <c r="F1873" s="35">
        <v>368137326.86000007</v>
      </c>
    </row>
    <row r="1874" spans="1:6" x14ac:dyDescent="0.3">
      <c r="A1874" t="s">
        <v>46</v>
      </c>
      <c r="B1874">
        <v>2024</v>
      </c>
      <c r="C1874" t="s">
        <v>13</v>
      </c>
      <c r="D1874" s="35">
        <v>66618705.889999993</v>
      </c>
      <c r="E1874" s="35">
        <v>736992</v>
      </c>
      <c r="F1874" s="35">
        <v>53092349.850000009</v>
      </c>
    </row>
    <row r="1875" spans="1:6" x14ac:dyDescent="0.3">
      <c r="A1875" t="s">
        <v>46</v>
      </c>
      <c r="B1875">
        <v>2024</v>
      </c>
      <c r="C1875" t="s">
        <v>16</v>
      </c>
      <c r="D1875" s="35">
        <v>30114592.829999998</v>
      </c>
      <c r="E1875" s="35">
        <v>65227</v>
      </c>
      <c r="F1875" s="35">
        <v>28885192.989999998</v>
      </c>
    </row>
    <row r="1876" spans="1:6" x14ac:dyDescent="0.3">
      <c r="A1876" t="s">
        <v>46</v>
      </c>
      <c r="B1876">
        <v>2024</v>
      </c>
      <c r="C1876" t="s">
        <v>14</v>
      </c>
      <c r="D1876" s="35">
        <v>64998507.760000013</v>
      </c>
      <c r="E1876" s="35">
        <v>1324927</v>
      </c>
      <c r="F1876" s="35">
        <v>49610966.880000003</v>
      </c>
    </row>
    <row r="1877" spans="1:6" x14ac:dyDescent="0.3">
      <c r="A1877" t="s">
        <v>46</v>
      </c>
      <c r="B1877">
        <v>2024</v>
      </c>
      <c r="C1877" t="s">
        <v>7</v>
      </c>
      <c r="D1877" s="35">
        <v>96887554.509999976</v>
      </c>
      <c r="E1877" s="35">
        <v>31490</v>
      </c>
      <c r="F1877" s="35">
        <v>96139232.030000001</v>
      </c>
    </row>
    <row r="1878" spans="1:6" x14ac:dyDescent="0.3">
      <c r="A1878" t="s">
        <v>46</v>
      </c>
      <c r="B1878">
        <v>2024</v>
      </c>
      <c r="C1878" t="s">
        <v>11</v>
      </c>
      <c r="D1878" s="35">
        <v>124826008.59999999</v>
      </c>
      <c r="E1878" s="35">
        <v>106174</v>
      </c>
      <c r="F1878" s="35">
        <v>122908914.62</v>
      </c>
    </row>
    <row r="1879" spans="1:6" x14ac:dyDescent="0.3">
      <c r="A1879" t="s">
        <v>46</v>
      </c>
      <c r="B1879">
        <v>2024</v>
      </c>
      <c r="C1879" t="s">
        <v>3</v>
      </c>
      <c r="D1879" s="35">
        <v>472391134.97000003</v>
      </c>
      <c r="E1879" s="35">
        <v>717966</v>
      </c>
      <c r="F1879" s="35">
        <v>463904341.98000002</v>
      </c>
    </row>
    <row r="1880" spans="1:6" x14ac:dyDescent="0.3">
      <c r="A1880" t="s">
        <v>46</v>
      </c>
      <c r="B1880">
        <v>2024</v>
      </c>
      <c r="C1880" t="s">
        <v>12</v>
      </c>
      <c r="D1880" s="35">
        <v>94329110.88000001</v>
      </c>
      <c r="E1880" s="35">
        <v>1793529</v>
      </c>
      <c r="F1880" s="35">
        <v>69584504.370000005</v>
      </c>
    </row>
    <row r="1881" spans="1:6" x14ac:dyDescent="0.3">
      <c r="A1881" t="s">
        <v>46</v>
      </c>
      <c r="B1881">
        <v>2024</v>
      </c>
      <c r="C1881" t="s">
        <v>2</v>
      </c>
      <c r="D1881" s="35">
        <v>681268145.4799999</v>
      </c>
      <c r="E1881" s="35">
        <v>5132495</v>
      </c>
      <c r="F1881" s="35">
        <v>586121424.32999992</v>
      </c>
    </row>
    <row r="1882" spans="1:6" x14ac:dyDescent="0.3">
      <c r="A1882" t="s">
        <v>46</v>
      </c>
      <c r="B1882">
        <v>2024</v>
      </c>
      <c r="C1882" t="s">
        <v>5</v>
      </c>
      <c r="D1882" s="35">
        <v>186835354.64999989</v>
      </c>
      <c r="E1882" s="35">
        <v>89653</v>
      </c>
      <c r="F1882" s="35">
        <v>181184929.03</v>
      </c>
    </row>
    <row r="1883" spans="1:6" x14ac:dyDescent="0.3">
      <c r="A1883" t="s">
        <v>46</v>
      </c>
      <c r="B1883">
        <v>2024</v>
      </c>
      <c r="C1883" t="s">
        <v>17</v>
      </c>
      <c r="D1883" s="35">
        <v>13706593.18</v>
      </c>
      <c r="E1883" s="35">
        <v>301649</v>
      </c>
      <c r="F1883" s="35">
        <v>4040000.49</v>
      </c>
    </row>
    <row r="1884" spans="1:6" x14ac:dyDescent="0.3">
      <c r="A1884" t="s">
        <v>46</v>
      </c>
      <c r="B1884">
        <v>2024</v>
      </c>
      <c r="C1884" t="s">
        <v>9</v>
      </c>
      <c r="D1884" s="35">
        <v>106523454.28</v>
      </c>
      <c r="E1884" s="35">
        <v>2214485</v>
      </c>
      <c r="F1884" s="35">
        <v>68707919.879999995</v>
      </c>
    </row>
    <row r="1885" spans="1:6" x14ac:dyDescent="0.3">
      <c r="A1885" t="s">
        <v>46</v>
      </c>
      <c r="B1885">
        <v>2024</v>
      </c>
      <c r="C1885" t="s">
        <v>8</v>
      </c>
      <c r="D1885" s="35">
        <v>171317946</v>
      </c>
      <c r="E1885" s="35">
        <v>8772</v>
      </c>
      <c r="F1885" s="35">
        <v>170359714.47</v>
      </c>
    </row>
    <row r="1886" spans="1:6" x14ac:dyDescent="0.3">
      <c r="A1886" t="s">
        <v>46</v>
      </c>
      <c r="B1886">
        <v>2024</v>
      </c>
      <c r="C1886" t="s">
        <v>6</v>
      </c>
      <c r="D1886" s="35">
        <v>177447768.75</v>
      </c>
      <c r="E1886" s="35">
        <v>2480755</v>
      </c>
      <c r="F1886" s="35">
        <v>147981945.91999999</v>
      </c>
    </row>
    <row r="1887" spans="1:6" x14ac:dyDescent="0.3">
      <c r="A1887" t="s">
        <v>46</v>
      </c>
      <c r="B1887">
        <v>2024</v>
      </c>
      <c r="C1887" t="s">
        <v>15</v>
      </c>
      <c r="D1887" s="35">
        <v>32152492.79999999</v>
      </c>
      <c r="E1887" s="35">
        <v>558117</v>
      </c>
      <c r="F1887" s="35">
        <v>18979020.40000001</v>
      </c>
    </row>
    <row r="1888" spans="1:6" x14ac:dyDescent="0.3">
      <c r="A1888" t="s">
        <v>46</v>
      </c>
      <c r="B1888">
        <v>2024</v>
      </c>
      <c r="C1888" t="s">
        <v>18</v>
      </c>
      <c r="D1888" s="35">
        <v>13971782.609999999</v>
      </c>
      <c r="E1888" s="35">
        <v>68567</v>
      </c>
      <c r="F1888" s="35">
        <v>12305992.109999999</v>
      </c>
    </row>
    <row r="1889" spans="1:6" x14ac:dyDescent="0.3">
      <c r="A1889" t="s">
        <v>46</v>
      </c>
      <c r="B1889">
        <v>2025</v>
      </c>
      <c r="C1889" t="s">
        <v>10</v>
      </c>
      <c r="D1889" s="35">
        <v>133139056.54000001</v>
      </c>
      <c r="E1889" s="35">
        <v>2542517</v>
      </c>
      <c r="F1889" s="35">
        <v>104642098.04000001</v>
      </c>
    </row>
    <row r="1890" spans="1:6" x14ac:dyDescent="0.3">
      <c r="A1890" t="s">
        <v>46</v>
      </c>
      <c r="B1890">
        <v>2025</v>
      </c>
      <c r="C1890" t="s">
        <v>4</v>
      </c>
      <c r="D1890" s="35">
        <v>359038211.70999992</v>
      </c>
      <c r="E1890" s="35">
        <v>750439</v>
      </c>
      <c r="F1890" s="35">
        <v>356284273.92000002</v>
      </c>
    </row>
    <row r="1891" spans="1:6" x14ac:dyDescent="0.3">
      <c r="A1891" t="s">
        <v>46</v>
      </c>
      <c r="B1891">
        <v>2025</v>
      </c>
      <c r="C1891" t="s">
        <v>13</v>
      </c>
      <c r="D1891" s="35">
        <v>77304688.480000004</v>
      </c>
      <c r="E1891" s="35">
        <v>696807</v>
      </c>
      <c r="F1891" s="35">
        <v>64883217.18</v>
      </c>
    </row>
    <row r="1892" spans="1:6" x14ac:dyDescent="0.3">
      <c r="A1892" t="s">
        <v>46</v>
      </c>
      <c r="B1892">
        <v>2025</v>
      </c>
      <c r="C1892" t="s">
        <v>16</v>
      </c>
      <c r="D1892" s="35">
        <v>31092500.539999999</v>
      </c>
      <c r="E1892" s="35">
        <v>63496</v>
      </c>
      <c r="F1892" s="35">
        <v>30101584.289999999</v>
      </c>
    </row>
    <row r="1893" spans="1:6" x14ac:dyDescent="0.3">
      <c r="A1893" t="s">
        <v>46</v>
      </c>
      <c r="B1893">
        <v>2025</v>
      </c>
      <c r="C1893" t="s">
        <v>14</v>
      </c>
      <c r="D1893" s="35">
        <v>69554596.539999992</v>
      </c>
      <c r="E1893" s="35">
        <v>1306825</v>
      </c>
      <c r="F1893" s="35">
        <v>53118459.469999999</v>
      </c>
    </row>
    <row r="1894" spans="1:6" x14ac:dyDescent="0.3">
      <c r="A1894" t="s">
        <v>46</v>
      </c>
      <c r="B1894">
        <v>2025</v>
      </c>
      <c r="C1894" t="s">
        <v>7</v>
      </c>
      <c r="D1894" s="35">
        <v>93729233.210000008</v>
      </c>
      <c r="E1894" s="35">
        <v>28567</v>
      </c>
      <c r="F1894" s="35">
        <v>93063370.480000019</v>
      </c>
    </row>
    <row r="1895" spans="1:6" x14ac:dyDescent="0.3">
      <c r="A1895" t="s">
        <v>46</v>
      </c>
      <c r="B1895">
        <v>2025</v>
      </c>
      <c r="C1895" t="s">
        <v>11</v>
      </c>
      <c r="D1895" s="35">
        <v>125556284.56</v>
      </c>
      <c r="E1895" s="35">
        <v>100451</v>
      </c>
      <c r="F1895" s="35">
        <v>122090306.78</v>
      </c>
    </row>
    <row r="1896" spans="1:6" x14ac:dyDescent="0.3">
      <c r="A1896" t="s">
        <v>46</v>
      </c>
      <c r="B1896">
        <v>2025</v>
      </c>
      <c r="C1896" t="s">
        <v>3</v>
      </c>
      <c r="D1896" s="35">
        <v>504004669.29000008</v>
      </c>
      <c r="E1896" s="35">
        <v>673075</v>
      </c>
      <c r="F1896" s="35">
        <v>495395242.74000001</v>
      </c>
    </row>
    <row r="1897" spans="1:6" x14ac:dyDescent="0.3">
      <c r="A1897" t="s">
        <v>46</v>
      </c>
      <c r="B1897">
        <v>2025</v>
      </c>
      <c r="C1897" t="s">
        <v>12</v>
      </c>
      <c r="D1897" s="35">
        <v>84439494.480000019</v>
      </c>
      <c r="E1897" s="35">
        <v>1568834</v>
      </c>
      <c r="F1897" s="35">
        <v>60049454.030000001</v>
      </c>
    </row>
    <row r="1898" spans="1:6" x14ac:dyDescent="0.3">
      <c r="A1898" t="s">
        <v>46</v>
      </c>
      <c r="B1898">
        <v>2025</v>
      </c>
      <c r="C1898" t="s">
        <v>2</v>
      </c>
      <c r="D1898" s="35">
        <v>724993432.75</v>
      </c>
      <c r="E1898" s="35">
        <v>4969088</v>
      </c>
      <c r="F1898" s="35">
        <v>633140135.01999998</v>
      </c>
    </row>
    <row r="1899" spans="1:6" x14ac:dyDescent="0.3">
      <c r="A1899" t="s">
        <v>46</v>
      </c>
      <c r="B1899">
        <v>2025</v>
      </c>
      <c r="C1899" t="s">
        <v>5</v>
      </c>
      <c r="D1899" s="35">
        <v>204141171.99000001</v>
      </c>
      <c r="E1899" s="35">
        <v>86022</v>
      </c>
      <c r="F1899" s="35">
        <v>195477710.06</v>
      </c>
    </row>
    <row r="1900" spans="1:6" x14ac:dyDescent="0.3">
      <c r="A1900" t="s">
        <v>46</v>
      </c>
      <c r="B1900">
        <v>2025</v>
      </c>
      <c r="C1900" t="s">
        <v>17</v>
      </c>
      <c r="D1900" s="35">
        <v>11423117.449999999</v>
      </c>
      <c r="E1900" s="35">
        <v>296238</v>
      </c>
      <c r="F1900" s="35">
        <v>2990477.42</v>
      </c>
    </row>
    <row r="1901" spans="1:6" x14ac:dyDescent="0.3">
      <c r="A1901" t="s">
        <v>46</v>
      </c>
      <c r="B1901">
        <v>2025</v>
      </c>
      <c r="C1901" t="s">
        <v>9</v>
      </c>
      <c r="D1901" s="35">
        <v>113321184.19</v>
      </c>
      <c r="E1901" s="35">
        <v>2102730</v>
      </c>
      <c r="F1901" s="35">
        <v>79246702.530000001</v>
      </c>
    </row>
    <row r="1902" spans="1:6" x14ac:dyDescent="0.3">
      <c r="A1902" t="s">
        <v>46</v>
      </c>
      <c r="B1902">
        <v>2025</v>
      </c>
      <c r="C1902" t="s">
        <v>8</v>
      </c>
      <c r="D1902" s="35">
        <v>167961948.87</v>
      </c>
      <c r="E1902" s="35">
        <v>8609</v>
      </c>
      <c r="F1902" s="35">
        <v>166371027.28</v>
      </c>
    </row>
    <row r="1903" spans="1:6" x14ac:dyDescent="0.3">
      <c r="A1903" t="s">
        <v>46</v>
      </c>
      <c r="B1903">
        <v>2025</v>
      </c>
      <c r="C1903" t="s">
        <v>6</v>
      </c>
      <c r="D1903" s="35">
        <v>186335822.13</v>
      </c>
      <c r="E1903" s="35">
        <v>2329732</v>
      </c>
      <c r="F1903" s="35">
        <v>163191360.41999999</v>
      </c>
    </row>
    <row r="1904" spans="1:6" x14ac:dyDescent="0.3">
      <c r="A1904" t="s">
        <v>46</v>
      </c>
      <c r="B1904">
        <v>2025</v>
      </c>
      <c r="C1904" t="s">
        <v>15</v>
      </c>
      <c r="D1904" s="35">
        <v>29885957.109999999</v>
      </c>
      <c r="E1904" s="35">
        <v>508671</v>
      </c>
      <c r="F1904" s="35">
        <v>17505517.239999998</v>
      </c>
    </row>
    <row r="1905" spans="1:6" x14ac:dyDescent="0.3">
      <c r="A1905" t="s">
        <v>46</v>
      </c>
      <c r="B1905">
        <v>2025</v>
      </c>
      <c r="C1905" t="s">
        <v>18</v>
      </c>
      <c r="D1905" s="35">
        <v>14431089.390000001</v>
      </c>
      <c r="E1905" s="35">
        <v>69624</v>
      </c>
      <c r="F1905" s="35">
        <v>12486721.140000001</v>
      </c>
    </row>
    <row r="1906" spans="1:6" x14ac:dyDescent="0.3">
      <c r="A1906" t="s">
        <v>47</v>
      </c>
      <c r="B1906">
        <v>2019</v>
      </c>
      <c r="C1906" t="s">
        <v>10</v>
      </c>
      <c r="D1906" s="35">
        <v>13007999.15</v>
      </c>
      <c r="E1906" s="35">
        <v>317741</v>
      </c>
      <c r="F1906" s="35">
        <v>6926428.5500000007</v>
      </c>
    </row>
    <row r="1907" spans="1:6" x14ac:dyDescent="0.3">
      <c r="A1907" t="s">
        <v>47</v>
      </c>
      <c r="B1907">
        <v>2019</v>
      </c>
      <c r="C1907" t="s">
        <v>4</v>
      </c>
      <c r="D1907" s="35">
        <v>33915441.210000001</v>
      </c>
      <c r="E1907" s="35">
        <v>103229</v>
      </c>
      <c r="F1907" s="35">
        <v>33412087.469999999</v>
      </c>
    </row>
    <row r="1908" spans="1:6" x14ac:dyDescent="0.3">
      <c r="A1908" t="s">
        <v>47</v>
      </c>
      <c r="B1908">
        <v>2019</v>
      </c>
      <c r="C1908" t="s">
        <v>13</v>
      </c>
      <c r="D1908" s="35">
        <v>24646841.850000009</v>
      </c>
      <c r="E1908" s="35">
        <v>116594</v>
      </c>
      <c r="F1908" s="35">
        <v>21396026.98</v>
      </c>
    </row>
    <row r="1909" spans="1:6" x14ac:dyDescent="0.3">
      <c r="A1909" t="s">
        <v>47</v>
      </c>
      <c r="B1909">
        <v>2019</v>
      </c>
      <c r="C1909" t="s">
        <v>16</v>
      </c>
      <c r="D1909" s="35">
        <v>2862635.56</v>
      </c>
      <c r="E1909" s="35">
        <v>11955</v>
      </c>
      <c r="F1909" s="35">
        <v>2534728.3200000012</v>
      </c>
    </row>
    <row r="1910" spans="1:6" x14ac:dyDescent="0.3">
      <c r="A1910" t="s">
        <v>47</v>
      </c>
      <c r="B1910">
        <v>2019</v>
      </c>
      <c r="C1910" t="s">
        <v>14</v>
      </c>
      <c r="D1910" s="35">
        <v>8526576.5800000001</v>
      </c>
      <c r="E1910" s="35">
        <v>230347</v>
      </c>
      <c r="F1910" s="35">
        <v>4733608.59</v>
      </c>
    </row>
    <row r="1911" spans="1:6" x14ac:dyDescent="0.3">
      <c r="A1911" t="s">
        <v>47</v>
      </c>
      <c r="B1911">
        <v>2019</v>
      </c>
      <c r="C1911" t="s">
        <v>7</v>
      </c>
      <c r="D1911" s="35">
        <v>5208117.16</v>
      </c>
      <c r="E1911" s="35">
        <v>2508</v>
      </c>
      <c r="F1911" s="35">
        <v>5201375.68</v>
      </c>
    </row>
    <row r="1912" spans="1:6" x14ac:dyDescent="0.3">
      <c r="A1912" t="s">
        <v>47</v>
      </c>
      <c r="B1912">
        <v>2019</v>
      </c>
      <c r="C1912" t="s">
        <v>11</v>
      </c>
      <c r="D1912" s="35">
        <v>9284260.8599999994</v>
      </c>
      <c r="E1912" s="35">
        <v>29288</v>
      </c>
      <c r="F1912" s="35">
        <v>8990200.4099999964</v>
      </c>
    </row>
    <row r="1913" spans="1:6" x14ac:dyDescent="0.3">
      <c r="A1913" t="s">
        <v>47</v>
      </c>
      <c r="B1913">
        <v>2019</v>
      </c>
      <c r="C1913" t="s">
        <v>3</v>
      </c>
      <c r="D1913" s="35">
        <v>21234173.100000001</v>
      </c>
      <c r="E1913" s="35">
        <v>128226</v>
      </c>
      <c r="F1913" s="35">
        <v>19376734.48</v>
      </c>
    </row>
    <row r="1914" spans="1:6" x14ac:dyDescent="0.3">
      <c r="A1914" t="s">
        <v>47</v>
      </c>
      <c r="B1914">
        <v>2019</v>
      </c>
      <c r="C1914" t="s">
        <v>12</v>
      </c>
      <c r="D1914" s="35">
        <v>20908962.559999999</v>
      </c>
      <c r="E1914" s="35">
        <v>372719</v>
      </c>
      <c r="F1914" s="35">
        <v>11728356.880000001</v>
      </c>
    </row>
    <row r="1915" spans="1:6" x14ac:dyDescent="0.3">
      <c r="A1915" t="s">
        <v>47</v>
      </c>
      <c r="B1915">
        <v>2019</v>
      </c>
      <c r="C1915" t="s">
        <v>2</v>
      </c>
      <c r="D1915" s="35">
        <v>108939172.11</v>
      </c>
      <c r="E1915" s="35">
        <v>991815</v>
      </c>
      <c r="F1915" s="35">
        <v>81652547.670000002</v>
      </c>
    </row>
    <row r="1916" spans="1:6" x14ac:dyDescent="0.3">
      <c r="A1916" t="s">
        <v>47</v>
      </c>
      <c r="B1916">
        <v>2019</v>
      </c>
      <c r="C1916" t="s">
        <v>5</v>
      </c>
      <c r="D1916" s="35">
        <v>23152394.91</v>
      </c>
      <c r="E1916" s="35">
        <v>13642</v>
      </c>
      <c r="F1916" s="35">
        <v>22284492.940000009</v>
      </c>
    </row>
    <row r="1917" spans="1:6" x14ac:dyDescent="0.3">
      <c r="A1917" t="s">
        <v>47</v>
      </c>
      <c r="B1917">
        <v>2019</v>
      </c>
      <c r="C1917" t="s">
        <v>17</v>
      </c>
      <c r="D1917" s="35">
        <v>1749423.05</v>
      </c>
      <c r="E1917" s="35">
        <v>60201</v>
      </c>
      <c r="F1917" s="35">
        <v>115768.33</v>
      </c>
    </row>
    <row r="1918" spans="1:6" x14ac:dyDescent="0.3">
      <c r="A1918" t="s">
        <v>47</v>
      </c>
      <c r="B1918">
        <v>2019</v>
      </c>
      <c r="C1918" t="s">
        <v>9</v>
      </c>
      <c r="D1918" s="35">
        <v>9465926.6699999999</v>
      </c>
      <c r="E1918" s="35">
        <v>299531</v>
      </c>
      <c r="F1918" s="35">
        <v>4272424.91</v>
      </c>
    </row>
    <row r="1919" spans="1:6" x14ac:dyDescent="0.3">
      <c r="A1919" t="s">
        <v>47</v>
      </c>
      <c r="B1919">
        <v>2019</v>
      </c>
      <c r="C1919" t="s">
        <v>8</v>
      </c>
      <c r="D1919" s="35">
        <v>13090398.17</v>
      </c>
      <c r="E1919" s="35">
        <v>1159</v>
      </c>
      <c r="F1919" s="35">
        <v>13090398.17</v>
      </c>
    </row>
    <row r="1920" spans="1:6" x14ac:dyDescent="0.3">
      <c r="A1920" t="s">
        <v>47</v>
      </c>
      <c r="B1920">
        <v>2019</v>
      </c>
      <c r="C1920" t="s">
        <v>6</v>
      </c>
      <c r="D1920" s="35">
        <v>36425444.889999993</v>
      </c>
      <c r="E1920" s="35">
        <v>519745</v>
      </c>
      <c r="F1920" s="35">
        <v>29035865.309999999</v>
      </c>
    </row>
    <row r="1921" spans="1:6" x14ac:dyDescent="0.3">
      <c r="A1921" t="s">
        <v>47</v>
      </c>
      <c r="B1921">
        <v>2019</v>
      </c>
      <c r="C1921" t="s">
        <v>15</v>
      </c>
      <c r="D1921" s="35">
        <v>10046209.02</v>
      </c>
      <c r="E1921" s="35">
        <v>191819</v>
      </c>
      <c r="F1921" s="35">
        <v>5779105.7699999996</v>
      </c>
    </row>
    <row r="1922" spans="1:6" x14ac:dyDescent="0.3">
      <c r="A1922" t="s">
        <v>47</v>
      </c>
      <c r="B1922">
        <v>2019</v>
      </c>
      <c r="C1922" t="s">
        <v>18</v>
      </c>
      <c r="D1922" s="35">
        <v>2286509.4700000002</v>
      </c>
      <c r="E1922" s="35">
        <v>20134</v>
      </c>
      <c r="F1922" s="35">
        <v>1249554.82</v>
      </c>
    </row>
    <row r="1923" spans="1:6" x14ac:dyDescent="0.3">
      <c r="A1923" t="s">
        <v>47</v>
      </c>
      <c r="B1923">
        <v>2020</v>
      </c>
      <c r="C1923" t="s">
        <v>10</v>
      </c>
      <c r="D1923" s="35">
        <v>13320139.630000001</v>
      </c>
      <c r="E1923" s="35">
        <v>330743</v>
      </c>
      <c r="F1923" s="35">
        <v>7389949.9300000006</v>
      </c>
    </row>
    <row r="1924" spans="1:6" x14ac:dyDescent="0.3">
      <c r="A1924" t="s">
        <v>47</v>
      </c>
      <c r="B1924">
        <v>2020</v>
      </c>
      <c r="C1924" t="s">
        <v>4</v>
      </c>
      <c r="D1924" s="35">
        <v>36247359.93</v>
      </c>
      <c r="E1924" s="35">
        <v>107102</v>
      </c>
      <c r="F1924" s="35">
        <v>35738403.590000004</v>
      </c>
    </row>
    <row r="1925" spans="1:6" x14ac:dyDescent="0.3">
      <c r="A1925" t="s">
        <v>47</v>
      </c>
      <c r="B1925">
        <v>2020</v>
      </c>
      <c r="C1925" t="s">
        <v>13</v>
      </c>
      <c r="D1925" s="35">
        <v>25922310.960000001</v>
      </c>
      <c r="E1925" s="35">
        <v>120184</v>
      </c>
      <c r="F1925" s="35">
        <v>22137632.370000001</v>
      </c>
    </row>
    <row r="1926" spans="1:6" x14ac:dyDescent="0.3">
      <c r="A1926" t="s">
        <v>47</v>
      </c>
      <c r="B1926">
        <v>2020</v>
      </c>
      <c r="C1926" t="s">
        <v>16</v>
      </c>
      <c r="D1926" s="35">
        <v>3757145.129999999</v>
      </c>
      <c r="E1926" s="35">
        <v>13795</v>
      </c>
      <c r="F1926" s="35">
        <v>3384896.330000001</v>
      </c>
    </row>
    <row r="1927" spans="1:6" x14ac:dyDescent="0.3">
      <c r="A1927" t="s">
        <v>47</v>
      </c>
      <c r="B1927">
        <v>2020</v>
      </c>
      <c r="C1927" t="s">
        <v>14</v>
      </c>
      <c r="D1927" s="35">
        <v>8377635.7699999996</v>
      </c>
      <c r="E1927" s="35">
        <v>234344</v>
      </c>
      <c r="F1927" s="35">
        <v>4005681.7300000009</v>
      </c>
    </row>
    <row r="1928" spans="1:6" x14ac:dyDescent="0.3">
      <c r="A1928" t="s">
        <v>47</v>
      </c>
      <c r="B1928">
        <v>2020</v>
      </c>
      <c r="C1928" t="s">
        <v>7</v>
      </c>
      <c r="D1928" s="35">
        <v>5437562.0099999998</v>
      </c>
      <c r="E1928" s="35">
        <v>2275</v>
      </c>
      <c r="F1928" s="35">
        <v>5411393.2400000002</v>
      </c>
    </row>
    <row r="1929" spans="1:6" x14ac:dyDescent="0.3">
      <c r="A1929" t="s">
        <v>47</v>
      </c>
      <c r="B1929">
        <v>2020</v>
      </c>
      <c r="C1929" t="s">
        <v>11</v>
      </c>
      <c r="D1929" s="35">
        <v>14550029.76</v>
      </c>
      <c r="E1929" s="35">
        <v>41622</v>
      </c>
      <c r="F1929" s="35">
        <v>13980561.279999999</v>
      </c>
    </row>
    <row r="1930" spans="1:6" x14ac:dyDescent="0.3">
      <c r="A1930" t="s">
        <v>47</v>
      </c>
      <c r="B1930">
        <v>2020</v>
      </c>
      <c r="C1930" t="s">
        <v>3</v>
      </c>
      <c r="D1930" s="35">
        <v>25049274.289999999</v>
      </c>
      <c r="E1930" s="35">
        <v>106028</v>
      </c>
      <c r="F1930" s="35">
        <v>23227007.170000002</v>
      </c>
    </row>
    <row r="1931" spans="1:6" x14ac:dyDescent="0.3">
      <c r="A1931" t="s">
        <v>47</v>
      </c>
      <c r="B1931">
        <v>2020</v>
      </c>
      <c r="C1931" t="s">
        <v>12</v>
      </c>
      <c r="D1931" s="35">
        <v>17143488.34</v>
      </c>
      <c r="E1931" s="35">
        <v>290216</v>
      </c>
      <c r="F1931" s="35">
        <v>9726190.0199999996</v>
      </c>
    </row>
    <row r="1932" spans="1:6" x14ac:dyDescent="0.3">
      <c r="A1932" t="s">
        <v>47</v>
      </c>
      <c r="B1932">
        <v>2020</v>
      </c>
      <c r="C1932" t="s">
        <v>2</v>
      </c>
      <c r="D1932" s="35">
        <v>111711217.64</v>
      </c>
      <c r="E1932" s="35">
        <v>1028601</v>
      </c>
      <c r="F1932" s="35">
        <v>84536691.550000012</v>
      </c>
    </row>
    <row r="1933" spans="1:6" x14ac:dyDescent="0.3">
      <c r="A1933" t="s">
        <v>47</v>
      </c>
      <c r="B1933">
        <v>2020</v>
      </c>
      <c r="C1933" t="s">
        <v>5</v>
      </c>
      <c r="D1933" s="35">
        <v>28105234.73</v>
      </c>
      <c r="E1933" s="35">
        <v>15155</v>
      </c>
      <c r="F1933" s="35">
        <v>26992590.210000001</v>
      </c>
    </row>
    <row r="1934" spans="1:6" x14ac:dyDescent="0.3">
      <c r="A1934" t="s">
        <v>47</v>
      </c>
      <c r="B1934">
        <v>2020</v>
      </c>
      <c r="C1934" t="s">
        <v>17</v>
      </c>
      <c r="D1934" s="35">
        <v>2030417.78</v>
      </c>
      <c r="E1934" s="35">
        <v>59835</v>
      </c>
      <c r="F1934" s="35">
        <v>204758.03</v>
      </c>
    </row>
    <row r="1935" spans="1:6" x14ac:dyDescent="0.3">
      <c r="A1935" t="s">
        <v>47</v>
      </c>
      <c r="B1935">
        <v>2020</v>
      </c>
      <c r="C1935" t="s">
        <v>9</v>
      </c>
      <c r="D1935" s="35">
        <v>8492280.7000000011</v>
      </c>
      <c r="E1935" s="35">
        <v>271206</v>
      </c>
      <c r="F1935" s="35">
        <v>3436213.45</v>
      </c>
    </row>
    <row r="1936" spans="1:6" x14ac:dyDescent="0.3">
      <c r="A1936" t="s">
        <v>47</v>
      </c>
      <c r="B1936">
        <v>2020</v>
      </c>
      <c r="C1936" t="s">
        <v>8</v>
      </c>
      <c r="D1936" s="35">
        <v>20072922.59</v>
      </c>
      <c r="E1936" s="35">
        <v>1491</v>
      </c>
      <c r="F1936" s="35">
        <v>19881936.309999999</v>
      </c>
    </row>
    <row r="1937" spans="1:6" x14ac:dyDescent="0.3">
      <c r="A1937" t="s">
        <v>47</v>
      </c>
      <c r="B1937">
        <v>2020</v>
      </c>
      <c r="C1937" t="s">
        <v>6</v>
      </c>
      <c r="D1937" s="35">
        <v>34236756.299999997</v>
      </c>
      <c r="E1937" s="35">
        <v>501604</v>
      </c>
      <c r="F1937" s="35">
        <v>26361111.370000001</v>
      </c>
    </row>
    <row r="1938" spans="1:6" x14ac:dyDescent="0.3">
      <c r="A1938" t="s">
        <v>47</v>
      </c>
      <c r="B1938">
        <v>2020</v>
      </c>
      <c r="C1938" t="s">
        <v>15</v>
      </c>
      <c r="D1938" s="35">
        <v>6829174.1099999994</v>
      </c>
      <c r="E1938" s="35">
        <v>151000</v>
      </c>
      <c r="F1938" s="35">
        <v>2781245.32</v>
      </c>
    </row>
    <row r="1939" spans="1:6" x14ac:dyDescent="0.3">
      <c r="A1939" t="s">
        <v>47</v>
      </c>
      <c r="B1939">
        <v>2020</v>
      </c>
      <c r="C1939" t="s">
        <v>18</v>
      </c>
      <c r="D1939" s="35">
        <v>3676445.72</v>
      </c>
      <c r="E1939" s="35">
        <v>26685</v>
      </c>
      <c r="F1939" s="35">
        <v>2448287.87</v>
      </c>
    </row>
    <row r="1940" spans="1:6" x14ac:dyDescent="0.3">
      <c r="A1940" t="s">
        <v>47</v>
      </c>
      <c r="B1940">
        <v>2021</v>
      </c>
      <c r="C1940" t="s">
        <v>10</v>
      </c>
      <c r="D1940" s="35">
        <v>16009736.210000001</v>
      </c>
      <c r="E1940" s="35">
        <v>371928</v>
      </c>
      <c r="F1940" s="35">
        <v>9959794.3200000022</v>
      </c>
    </row>
    <row r="1941" spans="1:6" x14ac:dyDescent="0.3">
      <c r="A1941" t="s">
        <v>47</v>
      </c>
      <c r="B1941">
        <v>2021</v>
      </c>
      <c r="C1941" t="s">
        <v>4</v>
      </c>
      <c r="D1941" s="35">
        <v>37772836.459999993</v>
      </c>
      <c r="E1941" s="35">
        <v>120993</v>
      </c>
      <c r="F1941" s="35">
        <v>37187179.020000003</v>
      </c>
    </row>
    <row r="1942" spans="1:6" x14ac:dyDescent="0.3">
      <c r="A1942" t="s">
        <v>47</v>
      </c>
      <c r="B1942">
        <v>2021</v>
      </c>
      <c r="C1942" t="s">
        <v>13</v>
      </c>
      <c r="D1942" s="35">
        <v>29239581.75</v>
      </c>
      <c r="E1942" s="35">
        <v>139941</v>
      </c>
      <c r="F1942" s="35">
        <v>24407050.420000002</v>
      </c>
    </row>
    <row r="1943" spans="1:6" x14ac:dyDescent="0.3">
      <c r="A1943" t="s">
        <v>47</v>
      </c>
      <c r="B1943">
        <v>2021</v>
      </c>
      <c r="C1943" t="s">
        <v>16</v>
      </c>
      <c r="D1943" s="35">
        <v>4149822.0500000012</v>
      </c>
      <c r="E1943" s="35">
        <v>15293</v>
      </c>
      <c r="F1943" s="35">
        <v>3561811.1600000011</v>
      </c>
    </row>
    <row r="1944" spans="1:6" x14ac:dyDescent="0.3">
      <c r="A1944" t="s">
        <v>47</v>
      </c>
      <c r="B1944">
        <v>2021</v>
      </c>
      <c r="C1944" t="s">
        <v>14</v>
      </c>
      <c r="D1944" s="35">
        <v>8701701.6000000015</v>
      </c>
      <c r="E1944" s="35">
        <v>267952</v>
      </c>
      <c r="F1944" s="35">
        <v>3854812.8900000011</v>
      </c>
    </row>
    <row r="1945" spans="1:6" x14ac:dyDescent="0.3">
      <c r="A1945" t="s">
        <v>47</v>
      </c>
      <c r="B1945">
        <v>2021</v>
      </c>
      <c r="C1945" t="s">
        <v>7</v>
      </c>
      <c r="D1945" s="35">
        <v>5690178.8500000006</v>
      </c>
      <c r="E1945" s="35">
        <v>2464</v>
      </c>
      <c r="F1945" s="35">
        <v>5653747.4800000004</v>
      </c>
    </row>
    <row r="1946" spans="1:6" x14ac:dyDescent="0.3">
      <c r="A1946" t="s">
        <v>47</v>
      </c>
      <c r="B1946">
        <v>2021</v>
      </c>
      <c r="C1946" t="s">
        <v>11</v>
      </c>
      <c r="D1946" s="35">
        <v>43304151.909999996</v>
      </c>
      <c r="E1946" s="35">
        <v>62925</v>
      </c>
      <c r="F1946" s="35">
        <v>42655933.130000003</v>
      </c>
    </row>
    <row r="1947" spans="1:6" x14ac:dyDescent="0.3">
      <c r="A1947" t="s">
        <v>47</v>
      </c>
      <c r="B1947">
        <v>2021</v>
      </c>
      <c r="C1947" t="s">
        <v>3</v>
      </c>
      <c r="D1947" s="35">
        <v>33296410.359999999</v>
      </c>
      <c r="E1947" s="35">
        <v>135290</v>
      </c>
      <c r="F1947" s="35">
        <v>30813813.620000001</v>
      </c>
    </row>
    <row r="1948" spans="1:6" x14ac:dyDescent="0.3">
      <c r="A1948" t="s">
        <v>47</v>
      </c>
      <c r="B1948">
        <v>2021</v>
      </c>
      <c r="C1948" t="s">
        <v>12</v>
      </c>
      <c r="D1948" s="35">
        <v>14885349.949999999</v>
      </c>
      <c r="E1948" s="35">
        <v>332366</v>
      </c>
      <c r="F1948" s="35">
        <v>8153836</v>
      </c>
    </row>
    <row r="1949" spans="1:6" x14ac:dyDescent="0.3">
      <c r="A1949" t="s">
        <v>47</v>
      </c>
      <c r="B1949">
        <v>2021</v>
      </c>
      <c r="C1949" t="s">
        <v>2</v>
      </c>
      <c r="D1949" s="35">
        <v>113552948.64</v>
      </c>
      <c r="E1949" s="35">
        <v>1139183</v>
      </c>
      <c r="F1949" s="35">
        <v>86988460.410000026</v>
      </c>
    </row>
    <row r="1950" spans="1:6" x14ac:dyDescent="0.3">
      <c r="A1950" t="s">
        <v>47</v>
      </c>
      <c r="B1950">
        <v>2021</v>
      </c>
      <c r="C1950" t="s">
        <v>5</v>
      </c>
      <c r="D1950" s="35">
        <v>35578803.290000007</v>
      </c>
      <c r="E1950" s="35">
        <v>19090</v>
      </c>
      <c r="F1950" s="35">
        <v>33805280.280000009</v>
      </c>
    </row>
    <row r="1951" spans="1:6" x14ac:dyDescent="0.3">
      <c r="A1951" t="s">
        <v>47</v>
      </c>
      <c r="B1951">
        <v>2021</v>
      </c>
      <c r="C1951" t="s">
        <v>17</v>
      </c>
      <c r="D1951" s="35">
        <v>3683245.879999999</v>
      </c>
      <c r="E1951" s="35">
        <v>72962</v>
      </c>
      <c r="F1951" s="35">
        <v>195228.63</v>
      </c>
    </row>
    <row r="1952" spans="1:6" x14ac:dyDescent="0.3">
      <c r="A1952" t="s">
        <v>47</v>
      </c>
      <c r="B1952">
        <v>2021</v>
      </c>
      <c r="C1952" t="s">
        <v>9</v>
      </c>
      <c r="D1952" s="35">
        <v>8132612.3900000006</v>
      </c>
      <c r="E1952" s="35">
        <v>302339</v>
      </c>
      <c r="F1952" s="35">
        <v>2603645.290000001</v>
      </c>
    </row>
    <row r="1953" spans="1:6" x14ac:dyDescent="0.3">
      <c r="A1953" t="s">
        <v>47</v>
      </c>
      <c r="B1953">
        <v>2021</v>
      </c>
      <c r="C1953" t="s">
        <v>8</v>
      </c>
      <c r="D1953" s="35">
        <v>20447257.18</v>
      </c>
      <c r="E1953" s="35">
        <v>1770</v>
      </c>
      <c r="F1953" s="35">
        <v>19451288.920000002</v>
      </c>
    </row>
    <row r="1954" spans="1:6" x14ac:dyDescent="0.3">
      <c r="A1954" t="s">
        <v>47</v>
      </c>
      <c r="B1954">
        <v>2021</v>
      </c>
      <c r="C1954" t="s">
        <v>6</v>
      </c>
      <c r="D1954" s="35">
        <v>34022475.049999997</v>
      </c>
      <c r="E1954" s="35">
        <v>536346</v>
      </c>
      <c r="F1954" s="35">
        <v>25566582.149999999</v>
      </c>
    </row>
    <row r="1955" spans="1:6" x14ac:dyDescent="0.3">
      <c r="A1955" t="s">
        <v>47</v>
      </c>
      <c r="B1955">
        <v>2021</v>
      </c>
      <c r="C1955" t="s">
        <v>15</v>
      </c>
      <c r="D1955" s="35">
        <v>7003655.7999999989</v>
      </c>
      <c r="E1955" s="35">
        <v>144606</v>
      </c>
      <c r="F1955" s="35">
        <v>3286178.58</v>
      </c>
    </row>
    <row r="1956" spans="1:6" x14ac:dyDescent="0.3">
      <c r="A1956" t="s">
        <v>47</v>
      </c>
      <c r="B1956">
        <v>2021</v>
      </c>
      <c r="C1956" t="s">
        <v>18</v>
      </c>
      <c r="D1956" s="35">
        <v>14379675.890000001</v>
      </c>
      <c r="E1956" s="35">
        <v>33635</v>
      </c>
      <c r="F1956" s="35">
        <v>11946094.970000001</v>
      </c>
    </row>
    <row r="1957" spans="1:6" x14ac:dyDescent="0.3">
      <c r="A1957" t="s">
        <v>47</v>
      </c>
      <c r="B1957">
        <v>2022</v>
      </c>
      <c r="C1957" t="s">
        <v>10</v>
      </c>
      <c r="D1957" s="35">
        <v>17216096.580000009</v>
      </c>
      <c r="E1957" s="35">
        <v>371627</v>
      </c>
      <c r="F1957" s="35">
        <v>11781724.869999999</v>
      </c>
    </row>
    <row r="1958" spans="1:6" x14ac:dyDescent="0.3">
      <c r="A1958" t="s">
        <v>47</v>
      </c>
      <c r="B1958">
        <v>2022</v>
      </c>
      <c r="C1958" t="s">
        <v>4</v>
      </c>
      <c r="D1958" s="35">
        <v>39187555.82</v>
      </c>
      <c r="E1958" s="35">
        <v>125380</v>
      </c>
      <c r="F1958" s="35">
        <v>38635822.559999987</v>
      </c>
    </row>
    <row r="1959" spans="1:6" x14ac:dyDescent="0.3">
      <c r="A1959" t="s">
        <v>47</v>
      </c>
      <c r="B1959">
        <v>2022</v>
      </c>
      <c r="C1959" t="s">
        <v>13</v>
      </c>
      <c r="D1959" s="35">
        <v>29632902.440000009</v>
      </c>
      <c r="E1959" s="35">
        <v>156633</v>
      </c>
      <c r="F1959" s="35">
        <v>23506148.27</v>
      </c>
    </row>
    <row r="1960" spans="1:6" x14ac:dyDescent="0.3">
      <c r="A1960" t="s">
        <v>47</v>
      </c>
      <c r="B1960">
        <v>2022</v>
      </c>
      <c r="C1960" t="s">
        <v>16</v>
      </c>
      <c r="D1960" s="35">
        <v>3740394.0100000012</v>
      </c>
      <c r="E1960" s="35">
        <v>14106</v>
      </c>
      <c r="F1960" s="35">
        <v>3304545.899999999</v>
      </c>
    </row>
    <row r="1961" spans="1:6" x14ac:dyDescent="0.3">
      <c r="A1961" t="s">
        <v>47</v>
      </c>
      <c r="B1961">
        <v>2022</v>
      </c>
      <c r="C1961" t="s">
        <v>14</v>
      </c>
      <c r="D1961" s="35">
        <v>12334501.16</v>
      </c>
      <c r="E1961" s="35">
        <v>299008</v>
      </c>
      <c r="F1961" s="35">
        <v>4603524.8899999997</v>
      </c>
    </row>
    <row r="1962" spans="1:6" x14ac:dyDescent="0.3">
      <c r="A1962" t="s">
        <v>47</v>
      </c>
      <c r="B1962">
        <v>2022</v>
      </c>
      <c r="C1962" t="s">
        <v>7</v>
      </c>
      <c r="D1962" s="35">
        <v>6851394.0599999996</v>
      </c>
      <c r="E1962" s="35">
        <v>2520</v>
      </c>
      <c r="F1962" s="35">
        <v>6844882.0099999998</v>
      </c>
    </row>
    <row r="1963" spans="1:6" x14ac:dyDescent="0.3">
      <c r="A1963" t="s">
        <v>47</v>
      </c>
      <c r="B1963">
        <v>2022</v>
      </c>
      <c r="C1963" t="s">
        <v>11</v>
      </c>
      <c r="D1963" s="35">
        <v>53801471.900000013</v>
      </c>
      <c r="E1963" s="35">
        <v>123737</v>
      </c>
      <c r="F1963" s="35">
        <v>52987836.070000008</v>
      </c>
    </row>
    <row r="1964" spans="1:6" x14ac:dyDescent="0.3">
      <c r="A1964" t="s">
        <v>47</v>
      </c>
      <c r="B1964">
        <v>2022</v>
      </c>
      <c r="C1964" t="s">
        <v>3</v>
      </c>
      <c r="D1964" s="35">
        <v>47643851.730000012</v>
      </c>
      <c r="E1964" s="35">
        <v>168124</v>
      </c>
      <c r="F1964" s="35">
        <v>42099939.719999999</v>
      </c>
    </row>
    <row r="1965" spans="1:6" x14ac:dyDescent="0.3">
      <c r="A1965" t="s">
        <v>47</v>
      </c>
      <c r="B1965">
        <v>2022</v>
      </c>
      <c r="C1965" t="s">
        <v>12</v>
      </c>
      <c r="D1965" s="35">
        <v>14346722.859999999</v>
      </c>
      <c r="E1965" s="35">
        <v>409607</v>
      </c>
      <c r="F1965" s="35">
        <v>6786352.0700000012</v>
      </c>
    </row>
    <row r="1966" spans="1:6" x14ac:dyDescent="0.3">
      <c r="A1966" t="s">
        <v>47</v>
      </c>
      <c r="B1966">
        <v>2022</v>
      </c>
      <c r="C1966" t="s">
        <v>2</v>
      </c>
      <c r="D1966" s="35">
        <v>127185289.64</v>
      </c>
      <c r="E1966" s="35">
        <v>1178872</v>
      </c>
      <c r="F1966" s="35">
        <v>101466228.65000001</v>
      </c>
    </row>
    <row r="1967" spans="1:6" x14ac:dyDescent="0.3">
      <c r="A1967" t="s">
        <v>47</v>
      </c>
      <c r="B1967">
        <v>2022</v>
      </c>
      <c r="C1967" t="s">
        <v>5</v>
      </c>
      <c r="D1967" s="35">
        <v>40778330.760000013</v>
      </c>
      <c r="E1967" s="35">
        <v>22939</v>
      </c>
      <c r="F1967" s="35">
        <v>36756248.329999991</v>
      </c>
    </row>
    <row r="1968" spans="1:6" x14ac:dyDescent="0.3">
      <c r="A1968" t="s">
        <v>47</v>
      </c>
      <c r="B1968">
        <v>2022</v>
      </c>
      <c r="C1968" t="s">
        <v>17</v>
      </c>
      <c r="D1968" s="35">
        <v>4191286.03</v>
      </c>
      <c r="E1968" s="35">
        <v>98609</v>
      </c>
      <c r="F1968" s="35">
        <v>578249.59</v>
      </c>
    </row>
    <row r="1969" spans="1:6" x14ac:dyDescent="0.3">
      <c r="A1969" t="s">
        <v>47</v>
      </c>
      <c r="B1969">
        <v>2022</v>
      </c>
      <c r="C1969" t="s">
        <v>9</v>
      </c>
      <c r="D1969" s="35">
        <v>7377945.2100000009</v>
      </c>
      <c r="E1969" s="35">
        <v>343171</v>
      </c>
      <c r="F1969" s="35">
        <v>1746183.370000001</v>
      </c>
    </row>
    <row r="1970" spans="1:6" x14ac:dyDescent="0.3">
      <c r="A1970" t="s">
        <v>47</v>
      </c>
      <c r="B1970">
        <v>2022</v>
      </c>
      <c r="C1970" t="s">
        <v>8</v>
      </c>
      <c r="D1970" s="35">
        <v>22600870.59</v>
      </c>
      <c r="E1970" s="35">
        <v>2398</v>
      </c>
      <c r="F1970" s="35">
        <v>21770815.600000001</v>
      </c>
    </row>
    <row r="1971" spans="1:6" x14ac:dyDescent="0.3">
      <c r="A1971" t="s">
        <v>47</v>
      </c>
      <c r="B1971">
        <v>2022</v>
      </c>
      <c r="C1971" t="s">
        <v>6</v>
      </c>
      <c r="D1971" s="35">
        <v>35585811.969999999</v>
      </c>
      <c r="E1971" s="35">
        <v>568054</v>
      </c>
      <c r="F1971" s="35">
        <v>23985819.02999999</v>
      </c>
    </row>
    <row r="1972" spans="1:6" x14ac:dyDescent="0.3">
      <c r="A1972" t="s">
        <v>47</v>
      </c>
      <c r="B1972">
        <v>2022</v>
      </c>
      <c r="C1972" t="s">
        <v>15</v>
      </c>
      <c r="D1972" s="35">
        <v>6083846.5600000015</v>
      </c>
      <c r="E1972" s="35">
        <v>128322</v>
      </c>
      <c r="F1972" s="35">
        <v>2330343.870000001</v>
      </c>
    </row>
    <row r="1973" spans="1:6" x14ac:dyDescent="0.3">
      <c r="A1973" t="s">
        <v>47</v>
      </c>
      <c r="B1973">
        <v>2022</v>
      </c>
      <c r="C1973" t="s">
        <v>18</v>
      </c>
      <c r="D1973" s="35">
        <v>15054056.75</v>
      </c>
      <c r="E1973" s="35">
        <v>37626</v>
      </c>
      <c r="F1973" s="35">
        <v>10935736.130000001</v>
      </c>
    </row>
    <row r="1974" spans="1:6" x14ac:dyDescent="0.3">
      <c r="A1974" t="s">
        <v>47</v>
      </c>
      <c r="B1974">
        <v>2023</v>
      </c>
      <c r="C1974" t="s">
        <v>10</v>
      </c>
      <c r="D1974" s="35">
        <v>19193811.899999999</v>
      </c>
      <c r="E1974" s="35">
        <v>387759</v>
      </c>
      <c r="F1974" s="35">
        <v>13203491.98</v>
      </c>
    </row>
    <row r="1975" spans="1:6" x14ac:dyDescent="0.3">
      <c r="A1975" t="s">
        <v>47</v>
      </c>
      <c r="B1975">
        <v>2023</v>
      </c>
      <c r="C1975" t="s">
        <v>4</v>
      </c>
      <c r="D1975" s="35">
        <v>54165423.600000009</v>
      </c>
      <c r="E1975" s="35">
        <v>136699</v>
      </c>
      <c r="F1975" s="35">
        <v>53591900.929999977</v>
      </c>
    </row>
    <row r="1976" spans="1:6" x14ac:dyDescent="0.3">
      <c r="A1976" t="s">
        <v>47</v>
      </c>
      <c r="B1976">
        <v>2023</v>
      </c>
      <c r="C1976" t="s">
        <v>13</v>
      </c>
      <c r="D1976" s="35">
        <v>17787960.899999999</v>
      </c>
      <c r="E1976" s="35">
        <v>150969</v>
      </c>
      <c r="F1976" s="35">
        <v>12552541.960000001</v>
      </c>
    </row>
    <row r="1977" spans="1:6" x14ac:dyDescent="0.3">
      <c r="A1977" t="s">
        <v>47</v>
      </c>
      <c r="B1977">
        <v>2023</v>
      </c>
      <c r="C1977" t="s">
        <v>16</v>
      </c>
      <c r="D1977" s="35">
        <v>3538171.44</v>
      </c>
      <c r="E1977" s="35">
        <v>14565</v>
      </c>
      <c r="F1977" s="35">
        <v>3110327.77</v>
      </c>
    </row>
    <row r="1978" spans="1:6" x14ac:dyDescent="0.3">
      <c r="A1978" t="s">
        <v>47</v>
      </c>
      <c r="B1978">
        <v>2023</v>
      </c>
      <c r="C1978" t="s">
        <v>14</v>
      </c>
      <c r="D1978" s="35">
        <v>13595006.1</v>
      </c>
      <c r="E1978" s="35">
        <v>304338</v>
      </c>
      <c r="F1978" s="35">
        <v>6065235.0700000003</v>
      </c>
    </row>
    <row r="1979" spans="1:6" x14ac:dyDescent="0.3">
      <c r="A1979" t="s">
        <v>47</v>
      </c>
      <c r="B1979">
        <v>2023</v>
      </c>
      <c r="C1979" t="s">
        <v>7</v>
      </c>
      <c r="D1979" s="35">
        <v>7577074.8700000001</v>
      </c>
      <c r="E1979" s="35">
        <v>2515</v>
      </c>
      <c r="F1979" s="35">
        <v>7570914.1400000006</v>
      </c>
    </row>
    <row r="1980" spans="1:6" x14ac:dyDescent="0.3">
      <c r="A1980" t="s">
        <v>47</v>
      </c>
      <c r="B1980">
        <v>2023</v>
      </c>
      <c r="C1980" t="s">
        <v>11</v>
      </c>
      <c r="D1980" s="35">
        <v>30906112.739999998</v>
      </c>
      <c r="E1980" s="35">
        <v>65032</v>
      </c>
      <c r="F1980" s="35">
        <v>30270976.550000001</v>
      </c>
    </row>
    <row r="1981" spans="1:6" x14ac:dyDescent="0.3">
      <c r="A1981" t="s">
        <v>47</v>
      </c>
      <c r="B1981">
        <v>2023</v>
      </c>
      <c r="C1981" t="s">
        <v>3</v>
      </c>
      <c r="D1981" s="35">
        <v>52062350.070000008</v>
      </c>
      <c r="E1981" s="35">
        <v>156855</v>
      </c>
      <c r="F1981" s="35">
        <v>46904019.390000001</v>
      </c>
    </row>
    <row r="1982" spans="1:6" x14ac:dyDescent="0.3">
      <c r="A1982" t="s">
        <v>47</v>
      </c>
      <c r="B1982">
        <v>2023</v>
      </c>
      <c r="C1982" t="s">
        <v>12</v>
      </c>
      <c r="D1982" s="35">
        <v>14496390.34</v>
      </c>
      <c r="E1982" s="35">
        <v>426271</v>
      </c>
      <c r="F1982" s="35">
        <v>6391089.0499999998</v>
      </c>
    </row>
    <row r="1983" spans="1:6" x14ac:dyDescent="0.3">
      <c r="A1983" t="s">
        <v>47</v>
      </c>
      <c r="B1983">
        <v>2023</v>
      </c>
      <c r="C1983" t="s">
        <v>2</v>
      </c>
      <c r="D1983" s="35">
        <v>139639756.91999999</v>
      </c>
      <c r="E1983" s="35">
        <v>1240439</v>
      </c>
      <c r="F1983" s="35">
        <v>109141268.56</v>
      </c>
    </row>
    <row r="1984" spans="1:6" x14ac:dyDescent="0.3">
      <c r="A1984" t="s">
        <v>47</v>
      </c>
      <c r="B1984">
        <v>2023</v>
      </c>
      <c r="C1984" t="s">
        <v>5</v>
      </c>
      <c r="D1984" s="35">
        <v>35576816.710000008</v>
      </c>
      <c r="E1984" s="35">
        <v>20841</v>
      </c>
      <c r="F1984" s="35">
        <v>31281163.48</v>
      </c>
    </row>
    <row r="1985" spans="1:6" x14ac:dyDescent="0.3">
      <c r="A1985" t="s">
        <v>47</v>
      </c>
      <c r="B1985">
        <v>2023</v>
      </c>
      <c r="C1985" t="s">
        <v>17</v>
      </c>
      <c r="D1985" s="35">
        <v>4246614.1099999994</v>
      </c>
      <c r="E1985" s="35">
        <v>88540</v>
      </c>
      <c r="F1985" s="35">
        <v>538066.33000000007</v>
      </c>
    </row>
    <row r="1986" spans="1:6" x14ac:dyDescent="0.3">
      <c r="A1986" t="s">
        <v>47</v>
      </c>
      <c r="B1986">
        <v>2023</v>
      </c>
      <c r="C1986" t="s">
        <v>9</v>
      </c>
      <c r="D1986" s="35">
        <v>7587372.1200000001</v>
      </c>
      <c r="E1986" s="35">
        <v>329395</v>
      </c>
      <c r="F1986" s="35">
        <v>1630856.54</v>
      </c>
    </row>
    <row r="1987" spans="1:6" x14ac:dyDescent="0.3">
      <c r="A1987" t="s">
        <v>47</v>
      </c>
      <c r="B1987">
        <v>2023</v>
      </c>
      <c r="C1987" t="s">
        <v>8</v>
      </c>
      <c r="D1987" s="35">
        <v>18982968.859999999</v>
      </c>
      <c r="E1987" s="35">
        <v>2001</v>
      </c>
      <c r="F1987" s="35">
        <v>18785694.829999998</v>
      </c>
    </row>
    <row r="1988" spans="1:6" x14ac:dyDescent="0.3">
      <c r="A1988" t="s">
        <v>47</v>
      </c>
      <c r="B1988">
        <v>2023</v>
      </c>
      <c r="C1988" t="s">
        <v>6</v>
      </c>
      <c r="D1988" s="35">
        <v>37280974.719999991</v>
      </c>
      <c r="E1988" s="35">
        <v>544835</v>
      </c>
      <c r="F1988" s="35">
        <v>25579448.649999999</v>
      </c>
    </row>
    <row r="1989" spans="1:6" x14ac:dyDescent="0.3">
      <c r="A1989" t="s">
        <v>47</v>
      </c>
      <c r="B1989">
        <v>2023</v>
      </c>
      <c r="C1989" t="s">
        <v>15</v>
      </c>
      <c r="D1989" s="35">
        <v>4122163.3199999989</v>
      </c>
      <c r="E1989" s="35">
        <v>110693</v>
      </c>
      <c r="F1989" s="35">
        <v>1556700.86</v>
      </c>
    </row>
    <row r="1990" spans="1:6" x14ac:dyDescent="0.3">
      <c r="A1990" t="s">
        <v>47</v>
      </c>
      <c r="B1990">
        <v>2023</v>
      </c>
      <c r="C1990" t="s">
        <v>18</v>
      </c>
      <c r="D1990" s="35">
        <v>7701654.9199999999</v>
      </c>
      <c r="E1990" s="35">
        <v>20046</v>
      </c>
      <c r="F1990" s="35">
        <v>2288266.2999999998</v>
      </c>
    </row>
    <row r="1991" spans="1:6" x14ac:dyDescent="0.3">
      <c r="A1991" t="s">
        <v>47</v>
      </c>
      <c r="B1991">
        <v>2024</v>
      </c>
      <c r="C1991" t="s">
        <v>10</v>
      </c>
      <c r="D1991" s="35">
        <v>17756879.870000001</v>
      </c>
      <c r="E1991" s="35">
        <v>378573</v>
      </c>
      <c r="F1991" s="35">
        <v>12705856.91</v>
      </c>
    </row>
    <row r="1992" spans="1:6" x14ac:dyDescent="0.3">
      <c r="A1992" t="s">
        <v>47</v>
      </c>
      <c r="B1992">
        <v>2024</v>
      </c>
      <c r="C1992" t="s">
        <v>4</v>
      </c>
      <c r="D1992" s="35">
        <v>46593868.049999997</v>
      </c>
      <c r="E1992" s="35">
        <v>135058</v>
      </c>
      <c r="F1992" s="35">
        <v>46082065.079999991</v>
      </c>
    </row>
    <row r="1993" spans="1:6" x14ac:dyDescent="0.3">
      <c r="A1993" t="s">
        <v>47</v>
      </c>
      <c r="B1993">
        <v>2024</v>
      </c>
      <c r="C1993" t="s">
        <v>13</v>
      </c>
      <c r="D1993" s="35">
        <v>12012929.09</v>
      </c>
      <c r="E1993" s="35">
        <v>127612</v>
      </c>
      <c r="F1993" s="35">
        <v>9855507.5</v>
      </c>
    </row>
    <row r="1994" spans="1:6" x14ac:dyDescent="0.3">
      <c r="A1994" t="s">
        <v>47</v>
      </c>
      <c r="B1994">
        <v>2024</v>
      </c>
      <c r="C1994" t="s">
        <v>16</v>
      </c>
      <c r="D1994" s="35">
        <v>2948741.399999999</v>
      </c>
      <c r="E1994" s="35">
        <v>13884</v>
      </c>
      <c r="F1994" s="35">
        <v>2521615.54</v>
      </c>
    </row>
    <row r="1995" spans="1:6" x14ac:dyDescent="0.3">
      <c r="A1995" t="s">
        <v>47</v>
      </c>
      <c r="B1995">
        <v>2024</v>
      </c>
      <c r="C1995" t="s">
        <v>14</v>
      </c>
      <c r="D1995" s="35">
        <v>13454493.65</v>
      </c>
      <c r="E1995" s="35">
        <v>283658</v>
      </c>
      <c r="F1995" s="35">
        <v>7384728.1699999999</v>
      </c>
    </row>
    <row r="1996" spans="1:6" x14ac:dyDescent="0.3">
      <c r="A1996" t="s">
        <v>47</v>
      </c>
      <c r="B1996">
        <v>2024</v>
      </c>
      <c r="C1996" t="s">
        <v>7</v>
      </c>
      <c r="D1996" s="35">
        <v>6594734.8499999996</v>
      </c>
      <c r="E1996" s="35">
        <v>2325</v>
      </c>
      <c r="F1996" s="35">
        <v>6588511.21</v>
      </c>
    </row>
    <row r="1997" spans="1:6" x14ac:dyDescent="0.3">
      <c r="A1997" t="s">
        <v>47</v>
      </c>
      <c r="B1997">
        <v>2024</v>
      </c>
      <c r="C1997" t="s">
        <v>11</v>
      </c>
      <c r="D1997" s="35">
        <v>13925459.92</v>
      </c>
      <c r="E1997" s="35">
        <v>39667</v>
      </c>
      <c r="F1997" s="35">
        <v>13502392.65</v>
      </c>
    </row>
    <row r="1998" spans="1:6" x14ac:dyDescent="0.3">
      <c r="A1998" t="s">
        <v>47</v>
      </c>
      <c r="B1998">
        <v>2024</v>
      </c>
      <c r="C1998" t="s">
        <v>3</v>
      </c>
      <c r="D1998" s="35">
        <v>40662794.550000012</v>
      </c>
      <c r="E1998" s="35">
        <v>138741</v>
      </c>
      <c r="F1998" s="35">
        <v>35995587.600000001</v>
      </c>
    </row>
    <row r="1999" spans="1:6" x14ac:dyDescent="0.3">
      <c r="A1999" t="s">
        <v>47</v>
      </c>
      <c r="B1999">
        <v>2024</v>
      </c>
      <c r="C1999" t="s">
        <v>12</v>
      </c>
      <c r="D1999" s="35">
        <v>11949168.380000001</v>
      </c>
      <c r="E1999" s="35">
        <v>381777</v>
      </c>
      <c r="F1999" s="35">
        <v>5453941.0799999991</v>
      </c>
    </row>
    <row r="2000" spans="1:6" x14ac:dyDescent="0.3">
      <c r="A2000" t="s">
        <v>47</v>
      </c>
      <c r="B2000">
        <v>2024</v>
      </c>
      <c r="C2000" t="s">
        <v>2</v>
      </c>
      <c r="D2000" s="35">
        <v>127114014.2</v>
      </c>
      <c r="E2000" s="35">
        <v>1193309</v>
      </c>
      <c r="F2000" s="35">
        <v>99552777.479999989</v>
      </c>
    </row>
    <row r="2001" spans="1:6" x14ac:dyDescent="0.3">
      <c r="A2001" t="s">
        <v>47</v>
      </c>
      <c r="B2001">
        <v>2024</v>
      </c>
      <c r="C2001" t="s">
        <v>5</v>
      </c>
      <c r="D2001" s="35">
        <v>31726586.5</v>
      </c>
      <c r="E2001" s="35">
        <v>17050</v>
      </c>
      <c r="F2001" s="35">
        <v>28723447.519999988</v>
      </c>
    </row>
    <row r="2002" spans="1:6" x14ac:dyDescent="0.3">
      <c r="A2002" t="s">
        <v>47</v>
      </c>
      <c r="B2002">
        <v>2024</v>
      </c>
      <c r="C2002" t="s">
        <v>17</v>
      </c>
      <c r="D2002" s="35">
        <v>4036525.33</v>
      </c>
      <c r="E2002" s="35">
        <v>74927</v>
      </c>
      <c r="F2002" s="35">
        <v>288609.39</v>
      </c>
    </row>
    <row r="2003" spans="1:6" x14ac:dyDescent="0.3">
      <c r="A2003" t="s">
        <v>47</v>
      </c>
      <c r="B2003">
        <v>2024</v>
      </c>
      <c r="C2003" t="s">
        <v>9</v>
      </c>
      <c r="D2003" s="35">
        <v>5884441.8700000001</v>
      </c>
      <c r="E2003" s="35">
        <v>282016</v>
      </c>
      <c r="F2003" s="35">
        <v>1557505.99</v>
      </c>
    </row>
    <row r="2004" spans="1:6" x14ac:dyDescent="0.3">
      <c r="A2004" t="s">
        <v>47</v>
      </c>
      <c r="B2004">
        <v>2024</v>
      </c>
      <c r="C2004" t="s">
        <v>8</v>
      </c>
      <c r="D2004" s="35">
        <v>22587966.5</v>
      </c>
      <c r="E2004" s="35">
        <v>1676</v>
      </c>
      <c r="F2004" s="35">
        <v>22518606.300000001</v>
      </c>
    </row>
    <row r="2005" spans="1:6" x14ac:dyDescent="0.3">
      <c r="A2005" t="s">
        <v>47</v>
      </c>
      <c r="B2005">
        <v>2024</v>
      </c>
      <c r="C2005" t="s">
        <v>6</v>
      </c>
      <c r="D2005" s="35">
        <v>29097660.420000002</v>
      </c>
      <c r="E2005" s="35">
        <v>497009</v>
      </c>
      <c r="F2005" s="35">
        <v>18256778.93</v>
      </c>
    </row>
    <row r="2006" spans="1:6" x14ac:dyDescent="0.3">
      <c r="A2006" t="s">
        <v>47</v>
      </c>
      <c r="B2006">
        <v>2024</v>
      </c>
      <c r="C2006" t="s">
        <v>15</v>
      </c>
      <c r="D2006" s="35">
        <v>3357748.67</v>
      </c>
      <c r="E2006" s="35">
        <v>87970</v>
      </c>
      <c r="F2006" s="35">
        <v>1727969.49</v>
      </c>
    </row>
    <row r="2007" spans="1:6" x14ac:dyDescent="0.3">
      <c r="A2007" t="s">
        <v>47</v>
      </c>
      <c r="B2007">
        <v>2024</v>
      </c>
      <c r="C2007" t="s">
        <v>18</v>
      </c>
      <c r="D2007" s="35">
        <v>1132945.42</v>
      </c>
      <c r="E2007" s="35">
        <v>19100</v>
      </c>
      <c r="F2007" s="35">
        <v>669722.62</v>
      </c>
    </row>
    <row r="2008" spans="1:6" x14ac:dyDescent="0.3">
      <c r="A2008" t="s">
        <v>47</v>
      </c>
      <c r="B2008">
        <v>2025</v>
      </c>
      <c r="C2008" t="s">
        <v>10</v>
      </c>
      <c r="D2008" s="35">
        <v>18916085.510000009</v>
      </c>
      <c r="E2008" s="35">
        <v>347093</v>
      </c>
      <c r="F2008" s="35">
        <v>13998473.720000001</v>
      </c>
    </row>
    <row r="2009" spans="1:6" x14ac:dyDescent="0.3">
      <c r="A2009" t="s">
        <v>47</v>
      </c>
      <c r="B2009">
        <v>2025</v>
      </c>
      <c r="C2009" t="s">
        <v>4</v>
      </c>
      <c r="D2009" s="35">
        <v>67453076.239999995</v>
      </c>
      <c r="E2009" s="35">
        <v>140542</v>
      </c>
      <c r="F2009" s="35">
        <v>66822063.32</v>
      </c>
    </row>
    <row r="2010" spans="1:6" x14ac:dyDescent="0.3">
      <c r="A2010" t="s">
        <v>47</v>
      </c>
      <c r="B2010">
        <v>2025</v>
      </c>
      <c r="C2010" t="s">
        <v>13</v>
      </c>
      <c r="D2010" s="35">
        <v>11384099.210000001</v>
      </c>
      <c r="E2010" s="35">
        <v>112556</v>
      </c>
      <c r="F2010" s="35">
        <v>9283877.6399999987</v>
      </c>
    </row>
    <row r="2011" spans="1:6" x14ac:dyDescent="0.3">
      <c r="A2011" t="s">
        <v>47</v>
      </c>
      <c r="B2011">
        <v>2025</v>
      </c>
      <c r="C2011" t="s">
        <v>16</v>
      </c>
      <c r="D2011" s="35">
        <v>2568047.1799999988</v>
      </c>
      <c r="E2011" s="35">
        <v>11669</v>
      </c>
      <c r="F2011" s="35">
        <v>2151061.2000000002</v>
      </c>
    </row>
    <row r="2012" spans="1:6" x14ac:dyDescent="0.3">
      <c r="A2012" t="s">
        <v>47</v>
      </c>
      <c r="B2012">
        <v>2025</v>
      </c>
      <c r="C2012" t="s">
        <v>14</v>
      </c>
      <c r="D2012" s="35">
        <v>11736524.15</v>
      </c>
      <c r="E2012" s="35">
        <v>253707</v>
      </c>
      <c r="F2012" s="35">
        <v>5460485.3600000003</v>
      </c>
    </row>
    <row r="2013" spans="1:6" x14ac:dyDescent="0.3">
      <c r="A2013" t="s">
        <v>47</v>
      </c>
      <c r="B2013">
        <v>2025</v>
      </c>
      <c r="C2013" t="s">
        <v>7</v>
      </c>
      <c r="D2013" s="35">
        <v>6147468.8200000022</v>
      </c>
      <c r="E2013" s="35">
        <v>1930</v>
      </c>
      <c r="F2013" s="35">
        <v>6143625.2500000019</v>
      </c>
    </row>
    <row r="2014" spans="1:6" x14ac:dyDescent="0.3">
      <c r="A2014" t="s">
        <v>47</v>
      </c>
      <c r="B2014">
        <v>2025</v>
      </c>
      <c r="C2014" t="s">
        <v>11</v>
      </c>
      <c r="D2014" s="35">
        <v>13173711.08</v>
      </c>
      <c r="E2014" s="35">
        <v>26221</v>
      </c>
      <c r="F2014" s="35">
        <v>12862285.08</v>
      </c>
    </row>
    <row r="2015" spans="1:6" x14ac:dyDescent="0.3">
      <c r="A2015" t="s">
        <v>47</v>
      </c>
      <c r="B2015">
        <v>2025</v>
      </c>
      <c r="C2015" t="s">
        <v>3</v>
      </c>
      <c r="D2015" s="35">
        <v>38099297.280000024</v>
      </c>
      <c r="E2015" s="35">
        <v>119899</v>
      </c>
      <c r="F2015" s="35">
        <v>34417357.219999999</v>
      </c>
    </row>
    <row r="2016" spans="1:6" x14ac:dyDescent="0.3">
      <c r="A2016" t="s">
        <v>47</v>
      </c>
      <c r="B2016">
        <v>2025</v>
      </c>
      <c r="C2016" t="s">
        <v>12</v>
      </c>
      <c r="D2016" s="35">
        <v>9660075.8800000008</v>
      </c>
      <c r="E2016" s="35">
        <v>320620</v>
      </c>
      <c r="F2016" s="35">
        <v>3990048.1</v>
      </c>
    </row>
    <row r="2017" spans="1:6" x14ac:dyDescent="0.3">
      <c r="A2017" t="s">
        <v>47</v>
      </c>
      <c r="B2017">
        <v>2025</v>
      </c>
      <c r="C2017" t="s">
        <v>2</v>
      </c>
      <c r="D2017" s="35">
        <v>134961844.99000001</v>
      </c>
      <c r="E2017" s="35">
        <v>1095330</v>
      </c>
      <c r="F2017" s="35">
        <v>108888465.93000001</v>
      </c>
    </row>
    <row r="2018" spans="1:6" x14ac:dyDescent="0.3">
      <c r="A2018" t="s">
        <v>47</v>
      </c>
      <c r="B2018">
        <v>2025</v>
      </c>
      <c r="C2018" t="s">
        <v>5</v>
      </c>
      <c r="D2018" s="35">
        <v>25392176.809999991</v>
      </c>
      <c r="E2018" s="35">
        <v>12847</v>
      </c>
      <c r="F2018" s="35">
        <v>23473201.86999999</v>
      </c>
    </row>
    <row r="2019" spans="1:6" x14ac:dyDescent="0.3">
      <c r="A2019" t="s">
        <v>47</v>
      </c>
      <c r="B2019">
        <v>2025</v>
      </c>
      <c r="C2019" t="s">
        <v>17</v>
      </c>
      <c r="D2019" s="35">
        <v>3590511.68</v>
      </c>
      <c r="E2019" s="35">
        <v>58460</v>
      </c>
      <c r="F2019" s="35">
        <v>345521.79</v>
      </c>
    </row>
    <row r="2020" spans="1:6" x14ac:dyDescent="0.3">
      <c r="A2020" t="s">
        <v>47</v>
      </c>
      <c r="B2020">
        <v>2025</v>
      </c>
      <c r="C2020" t="s">
        <v>9</v>
      </c>
      <c r="D2020" s="35">
        <v>5305805.91</v>
      </c>
      <c r="E2020" s="35">
        <v>237797</v>
      </c>
      <c r="F2020" s="35">
        <v>1498370.69</v>
      </c>
    </row>
    <row r="2021" spans="1:6" x14ac:dyDescent="0.3">
      <c r="A2021" t="s">
        <v>47</v>
      </c>
      <c r="B2021">
        <v>2025</v>
      </c>
      <c r="C2021" t="s">
        <v>8</v>
      </c>
      <c r="D2021" s="35">
        <v>19040159.280000001</v>
      </c>
      <c r="E2021" s="35">
        <v>1380</v>
      </c>
      <c r="F2021" s="35">
        <v>19040159.280000001</v>
      </c>
    </row>
    <row r="2022" spans="1:6" x14ac:dyDescent="0.3">
      <c r="A2022" t="s">
        <v>47</v>
      </c>
      <c r="B2022">
        <v>2025</v>
      </c>
      <c r="C2022" t="s">
        <v>6</v>
      </c>
      <c r="D2022" s="35">
        <v>27782809.659999989</v>
      </c>
      <c r="E2022" s="35">
        <v>445480</v>
      </c>
      <c r="F2022" s="35">
        <v>17931907.690000001</v>
      </c>
    </row>
    <row r="2023" spans="1:6" x14ac:dyDescent="0.3">
      <c r="A2023" t="s">
        <v>47</v>
      </c>
      <c r="B2023">
        <v>2025</v>
      </c>
      <c r="C2023" t="s">
        <v>15</v>
      </c>
      <c r="D2023" s="35">
        <v>3918375.12</v>
      </c>
      <c r="E2023" s="35">
        <v>71206</v>
      </c>
      <c r="F2023" s="35">
        <v>2631746.5699999998</v>
      </c>
    </row>
    <row r="2024" spans="1:6" x14ac:dyDescent="0.3">
      <c r="A2024" t="s">
        <v>47</v>
      </c>
      <c r="B2024">
        <v>2025</v>
      </c>
      <c r="C2024" t="s">
        <v>18</v>
      </c>
      <c r="D2024" s="35">
        <v>912026.50999999989</v>
      </c>
      <c r="E2024" s="35">
        <v>15735</v>
      </c>
      <c r="F2024" s="35">
        <v>517580.07</v>
      </c>
    </row>
    <row r="2025" spans="1:6" x14ac:dyDescent="0.3">
      <c r="A2025" t="s">
        <v>48</v>
      </c>
      <c r="B2025">
        <v>2019</v>
      </c>
      <c r="C2025" t="s">
        <v>10</v>
      </c>
      <c r="D2025" s="35">
        <v>50667428.430000007</v>
      </c>
      <c r="E2025" s="35">
        <v>2932465</v>
      </c>
      <c r="F2025" s="35">
        <v>30293077.120000001</v>
      </c>
    </row>
    <row r="2026" spans="1:6" x14ac:dyDescent="0.3">
      <c r="A2026" t="s">
        <v>48</v>
      </c>
      <c r="B2026">
        <v>2019</v>
      </c>
      <c r="C2026" t="s">
        <v>4</v>
      </c>
      <c r="D2026" s="35">
        <v>164584084.78999999</v>
      </c>
      <c r="E2026" s="35">
        <v>670658</v>
      </c>
      <c r="F2026" s="35">
        <v>163170561.71000001</v>
      </c>
    </row>
    <row r="2027" spans="1:6" x14ac:dyDescent="0.3">
      <c r="A2027" t="s">
        <v>48</v>
      </c>
      <c r="B2027">
        <v>2019</v>
      </c>
      <c r="C2027" t="s">
        <v>13</v>
      </c>
      <c r="D2027" s="35">
        <v>54602901.399999999</v>
      </c>
      <c r="E2027" s="35">
        <v>948718</v>
      </c>
      <c r="F2027" s="35">
        <v>39121635.409999996</v>
      </c>
    </row>
    <row r="2028" spans="1:6" x14ac:dyDescent="0.3">
      <c r="A2028" t="s">
        <v>48</v>
      </c>
      <c r="B2028">
        <v>2019</v>
      </c>
      <c r="C2028" t="s">
        <v>16</v>
      </c>
      <c r="D2028" s="35">
        <v>9410246.1699999981</v>
      </c>
      <c r="E2028" s="35">
        <v>44920</v>
      </c>
      <c r="F2028" s="35">
        <v>8323871.0399999991</v>
      </c>
    </row>
    <row r="2029" spans="1:6" x14ac:dyDescent="0.3">
      <c r="A2029" t="s">
        <v>48</v>
      </c>
      <c r="B2029">
        <v>2019</v>
      </c>
      <c r="C2029" t="s">
        <v>14</v>
      </c>
      <c r="D2029" s="35">
        <v>35249768.729999997</v>
      </c>
      <c r="E2029" s="35">
        <v>1265591</v>
      </c>
      <c r="F2029" s="35">
        <v>24814353.31000001</v>
      </c>
    </row>
    <row r="2030" spans="1:6" x14ac:dyDescent="0.3">
      <c r="A2030" t="s">
        <v>48</v>
      </c>
      <c r="B2030">
        <v>2019</v>
      </c>
      <c r="C2030" t="s">
        <v>7</v>
      </c>
      <c r="D2030" s="35">
        <v>18243881.670000002</v>
      </c>
      <c r="E2030" s="35">
        <v>9110</v>
      </c>
      <c r="F2030" s="35">
        <v>17944688.789999999</v>
      </c>
    </row>
    <row r="2031" spans="1:6" x14ac:dyDescent="0.3">
      <c r="A2031" t="s">
        <v>48</v>
      </c>
      <c r="B2031">
        <v>2019</v>
      </c>
      <c r="C2031" t="s">
        <v>11</v>
      </c>
      <c r="D2031" s="35">
        <v>16738532.26</v>
      </c>
      <c r="E2031" s="35">
        <v>51174</v>
      </c>
      <c r="F2031" s="35">
        <v>15776663.75</v>
      </c>
    </row>
    <row r="2032" spans="1:6" x14ac:dyDescent="0.3">
      <c r="A2032" t="s">
        <v>48</v>
      </c>
      <c r="B2032">
        <v>2019</v>
      </c>
      <c r="C2032" t="s">
        <v>3</v>
      </c>
      <c r="D2032" s="35">
        <v>123786559.75</v>
      </c>
      <c r="E2032" s="35">
        <v>678030</v>
      </c>
      <c r="F2032" s="35">
        <v>116003206.47</v>
      </c>
    </row>
    <row r="2033" spans="1:6" x14ac:dyDescent="0.3">
      <c r="A2033" t="s">
        <v>48</v>
      </c>
      <c r="B2033">
        <v>2019</v>
      </c>
      <c r="C2033" t="s">
        <v>12</v>
      </c>
      <c r="D2033" s="35">
        <v>114016521.23999999</v>
      </c>
      <c r="E2033" s="35">
        <v>1608046</v>
      </c>
      <c r="F2033" s="35">
        <v>80405479.189999998</v>
      </c>
    </row>
    <row r="2034" spans="1:6" x14ac:dyDescent="0.3">
      <c r="A2034" t="s">
        <v>48</v>
      </c>
      <c r="B2034">
        <v>2019</v>
      </c>
      <c r="C2034" t="s">
        <v>2</v>
      </c>
      <c r="D2034" s="35">
        <v>229266816.03999999</v>
      </c>
      <c r="E2034" s="35">
        <v>4031555</v>
      </c>
      <c r="F2034" s="35">
        <v>155523877.08000001</v>
      </c>
    </row>
    <row r="2035" spans="1:6" x14ac:dyDescent="0.3">
      <c r="A2035" t="s">
        <v>48</v>
      </c>
      <c r="B2035">
        <v>2019</v>
      </c>
      <c r="C2035" t="s">
        <v>5</v>
      </c>
      <c r="D2035" s="35">
        <v>33113953.399999999</v>
      </c>
      <c r="E2035" s="35">
        <v>29264</v>
      </c>
      <c r="F2035" s="35">
        <v>29522307.370000001</v>
      </c>
    </row>
    <row r="2036" spans="1:6" x14ac:dyDescent="0.3">
      <c r="A2036" t="s">
        <v>48</v>
      </c>
      <c r="B2036">
        <v>2019</v>
      </c>
      <c r="C2036" t="s">
        <v>17</v>
      </c>
      <c r="D2036" s="35">
        <v>7349502.7800000012</v>
      </c>
      <c r="E2036" s="35">
        <v>355583</v>
      </c>
      <c r="F2036" s="35">
        <v>1441921.2</v>
      </c>
    </row>
    <row r="2037" spans="1:6" x14ac:dyDescent="0.3">
      <c r="A2037" t="s">
        <v>48</v>
      </c>
      <c r="B2037">
        <v>2019</v>
      </c>
      <c r="C2037" t="s">
        <v>9</v>
      </c>
      <c r="D2037" s="35">
        <v>93091217.540000007</v>
      </c>
      <c r="E2037" s="35">
        <v>2489241</v>
      </c>
      <c r="F2037" s="35">
        <v>35812429.150000013</v>
      </c>
    </row>
    <row r="2038" spans="1:6" x14ac:dyDescent="0.3">
      <c r="A2038" t="s">
        <v>48</v>
      </c>
      <c r="B2038">
        <v>2019</v>
      </c>
      <c r="C2038" t="s">
        <v>8</v>
      </c>
      <c r="D2038" s="35">
        <v>27767655.510000002</v>
      </c>
      <c r="E2038" s="35">
        <v>3288</v>
      </c>
      <c r="F2038" s="35">
        <v>27767655.510000002</v>
      </c>
    </row>
    <row r="2039" spans="1:6" x14ac:dyDescent="0.3">
      <c r="A2039" t="s">
        <v>48</v>
      </c>
      <c r="B2039">
        <v>2019</v>
      </c>
      <c r="C2039" t="s">
        <v>6</v>
      </c>
      <c r="D2039" s="35">
        <v>133994643.19</v>
      </c>
      <c r="E2039" s="35">
        <v>2228924</v>
      </c>
      <c r="F2039" s="35">
        <v>111930829.83</v>
      </c>
    </row>
    <row r="2040" spans="1:6" x14ac:dyDescent="0.3">
      <c r="A2040" t="s">
        <v>48</v>
      </c>
      <c r="B2040">
        <v>2019</v>
      </c>
      <c r="C2040" t="s">
        <v>15</v>
      </c>
      <c r="D2040" s="35">
        <v>40014214.700000003</v>
      </c>
      <c r="E2040" s="35">
        <v>1374566</v>
      </c>
      <c r="F2040" s="35">
        <v>17590328.039999999</v>
      </c>
    </row>
    <row r="2041" spans="1:6" x14ac:dyDescent="0.3">
      <c r="A2041" t="s">
        <v>48</v>
      </c>
      <c r="B2041">
        <v>2019</v>
      </c>
      <c r="C2041" t="s">
        <v>18</v>
      </c>
      <c r="D2041" s="35">
        <v>6704646.0500000017</v>
      </c>
      <c r="E2041" s="35">
        <v>80143</v>
      </c>
      <c r="F2041" s="35">
        <v>4180388.23</v>
      </c>
    </row>
    <row r="2042" spans="1:6" x14ac:dyDescent="0.3">
      <c r="A2042" t="s">
        <v>48</v>
      </c>
      <c r="B2042">
        <v>2020</v>
      </c>
      <c r="C2042" t="s">
        <v>10</v>
      </c>
      <c r="D2042" s="35">
        <v>60529975.229999997</v>
      </c>
      <c r="E2042" s="35">
        <v>2782738</v>
      </c>
      <c r="F2042" s="35">
        <v>42574432.490000002</v>
      </c>
    </row>
    <row r="2043" spans="1:6" x14ac:dyDescent="0.3">
      <c r="A2043" t="s">
        <v>48</v>
      </c>
      <c r="B2043">
        <v>2020</v>
      </c>
      <c r="C2043" t="s">
        <v>4</v>
      </c>
      <c r="D2043" s="35">
        <v>212994672.30000001</v>
      </c>
      <c r="E2043" s="35">
        <v>744726</v>
      </c>
      <c r="F2043" s="35">
        <v>211536914.84999999</v>
      </c>
    </row>
    <row r="2044" spans="1:6" x14ac:dyDescent="0.3">
      <c r="A2044" t="s">
        <v>48</v>
      </c>
      <c r="B2044">
        <v>2020</v>
      </c>
      <c r="C2044" t="s">
        <v>13</v>
      </c>
      <c r="D2044" s="35">
        <v>57287117.359999999</v>
      </c>
      <c r="E2044" s="35">
        <v>781632</v>
      </c>
      <c r="F2044" s="35">
        <v>40573600.759999998</v>
      </c>
    </row>
    <row r="2045" spans="1:6" x14ac:dyDescent="0.3">
      <c r="A2045" t="s">
        <v>48</v>
      </c>
      <c r="B2045">
        <v>2020</v>
      </c>
      <c r="C2045" t="s">
        <v>16</v>
      </c>
      <c r="D2045" s="35">
        <v>7772593.7199999997</v>
      </c>
      <c r="E2045" s="35">
        <v>38951</v>
      </c>
      <c r="F2045" s="35">
        <v>6867067.46</v>
      </c>
    </row>
    <row r="2046" spans="1:6" x14ac:dyDescent="0.3">
      <c r="A2046" t="s">
        <v>48</v>
      </c>
      <c r="B2046">
        <v>2020</v>
      </c>
      <c r="C2046" t="s">
        <v>14</v>
      </c>
      <c r="D2046" s="35">
        <v>36919061.659999996</v>
      </c>
      <c r="E2046" s="35">
        <v>1145970</v>
      </c>
      <c r="F2046" s="35">
        <v>26643699.969999999</v>
      </c>
    </row>
    <row r="2047" spans="1:6" x14ac:dyDescent="0.3">
      <c r="A2047" t="s">
        <v>48</v>
      </c>
      <c r="B2047">
        <v>2020</v>
      </c>
      <c r="C2047" t="s">
        <v>7</v>
      </c>
      <c r="D2047" s="35">
        <v>21428384.32</v>
      </c>
      <c r="E2047" s="35">
        <v>9046</v>
      </c>
      <c r="F2047" s="35">
        <v>20755927.539999999</v>
      </c>
    </row>
    <row r="2048" spans="1:6" x14ac:dyDescent="0.3">
      <c r="A2048" t="s">
        <v>48</v>
      </c>
      <c r="B2048">
        <v>2020</v>
      </c>
      <c r="C2048" t="s">
        <v>11</v>
      </c>
      <c r="D2048" s="35">
        <v>30037182.949999992</v>
      </c>
      <c r="E2048" s="35">
        <v>52760</v>
      </c>
      <c r="F2048" s="35">
        <v>28895732.859999999</v>
      </c>
    </row>
    <row r="2049" spans="1:6" x14ac:dyDescent="0.3">
      <c r="A2049" t="s">
        <v>48</v>
      </c>
      <c r="B2049">
        <v>2020</v>
      </c>
      <c r="C2049" t="s">
        <v>3</v>
      </c>
      <c r="D2049" s="35">
        <v>167631952.36000001</v>
      </c>
      <c r="E2049" s="35">
        <v>617499</v>
      </c>
      <c r="F2049" s="35">
        <v>161421081.24000001</v>
      </c>
    </row>
    <row r="2050" spans="1:6" x14ac:dyDescent="0.3">
      <c r="A2050" t="s">
        <v>48</v>
      </c>
      <c r="B2050">
        <v>2020</v>
      </c>
      <c r="C2050" t="s">
        <v>12</v>
      </c>
      <c r="D2050" s="35">
        <v>79971692.929999977</v>
      </c>
      <c r="E2050" s="35">
        <v>1289078</v>
      </c>
      <c r="F2050" s="35">
        <v>54451442.229999989</v>
      </c>
    </row>
    <row r="2051" spans="1:6" x14ac:dyDescent="0.3">
      <c r="A2051" t="s">
        <v>48</v>
      </c>
      <c r="B2051">
        <v>2020</v>
      </c>
      <c r="C2051" t="s">
        <v>2</v>
      </c>
      <c r="D2051" s="35">
        <v>222004877.90000001</v>
      </c>
      <c r="E2051" s="35">
        <v>3613127</v>
      </c>
      <c r="F2051" s="35">
        <v>160379344.69</v>
      </c>
    </row>
    <row r="2052" spans="1:6" x14ac:dyDescent="0.3">
      <c r="A2052" t="s">
        <v>48</v>
      </c>
      <c r="B2052">
        <v>2020</v>
      </c>
      <c r="C2052" t="s">
        <v>5</v>
      </c>
      <c r="D2052" s="35">
        <v>31476729.420000002</v>
      </c>
      <c r="E2052" s="35">
        <v>24692</v>
      </c>
      <c r="F2052" s="35">
        <v>27824133.949999992</v>
      </c>
    </row>
    <row r="2053" spans="1:6" x14ac:dyDescent="0.3">
      <c r="A2053" t="s">
        <v>48</v>
      </c>
      <c r="B2053">
        <v>2020</v>
      </c>
      <c r="C2053" t="s">
        <v>17</v>
      </c>
      <c r="D2053" s="35">
        <v>9633732.9399999995</v>
      </c>
      <c r="E2053" s="35">
        <v>273319</v>
      </c>
      <c r="F2053" s="35">
        <v>910379.20999999985</v>
      </c>
    </row>
    <row r="2054" spans="1:6" x14ac:dyDescent="0.3">
      <c r="A2054" t="s">
        <v>48</v>
      </c>
      <c r="B2054">
        <v>2020</v>
      </c>
      <c r="C2054" t="s">
        <v>9</v>
      </c>
      <c r="D2054" s="35">
        <v>82221834.180000007</v>
      </c>
      <c r="E2054" s="35">
        <v>2245854</v>
      </c>
      <c r="F2054" s="35">
        <v>28489182.440000001</v>
      </c>
    </row>
    <row r="2055" spans="1:6" x14ac:dyDescent="0.3">
      <c r="A2055" t="s">
        <v>48</v>
      </c>
      <c r="B2055">
        <v>2020</v>
      </c>
      <c r="C2055" t="s">
        <v>8</v>
      </c>
      <c r="D2055" s="35">
        <v>36795623.469999991</v>
      </c>
      <c r="E2055" s="35">
        <v>3973</v>
      </c>
      <c r="F2055" s="35">
        <v>36606402.429999992</v>
      </c>
    </row>
    <row r="2056" spans="1:6" x14ac:dyDescent="0.3">
      <c r="A2056" t="s">
        <v>48</v>
      </c>
      <c r="B2056">
        <v>2020</v>
      </c>
      <c r="C2056" t="s">
        <v>6</v>
      </c>
      <c r="D2056" s="35">
        <v>152280659.37</v>
      </c>
      <c r="E2056" s="35">
        <v>2177779</v>
      </c>
      <c r="F2056" s="35">
        <v>125495618.28</v>
      </c>
    </row>
    <row r="2057" spans="1:6" x14ac:dyDescent="0.3">
      <c r="A2057" t="s">
        <v>48</v>
      </c>
      <c r="B2057">
        <v>2020</v>
      </c>
      <c r="C2057" t="s">
        <v>15</v>
      </c>
      <c r="D2057" s="35">
        <v>31629604.199999999</v>
      </c>
      <c r="E2057" s="35">
        <v>955465</v>
      </c>
      <c r="F2057" s="35">
        <v>12181827.41</v>
      </c>
    </row>
    <row r="2058" spans="1:6" x14ac:dyDescent="0.3">
      <c r="A2058" t="s">
        <v>48</v>
      </c>
      <c r="B2058">
        <v>2020</v>
      </c>
      <c r="C2058" t="s">
        <v>18</v>
      </c>
      <c r="D2058" s="35">
        <v>7505610.0599999996</v>
      </c>
      <c r="E2058" s="35">
        <v>74378</v>
      </c>
      <c r="F2058" s="35">
        <v>5925868.6999999993</v>
      </c>
    </row>
    <row r="2059" spans="1:6" x14ac:dyDescent="0.3">
      <c r="A2059" t="s">
        <v>48</v>
      </c>
      <c r="B2059">
        <v>2021</v>
      </c>
      <c r="C2059" t="s">
        <v>10</v>
      </c>
      <c r="D2059" s="35">
        <v>117559289.01000001</v>
      </c>
      <c r="E2059" s="35">
        <v>2861489</v>
      </c>
      <c r="F2059" s="35">
        <v>101384420.58</v>
      </c>
    </row>
    <row r="2060" spans="1:6" x14ac:dyDescent="0.3">
      <c r="A2060" t="s">
        <v>48</v>
      </c>
      <c r="B2060">
        <v>2021</v>
      </c>
      <c r="C2060" t="s">
        <v>4</v>
      </c>
      <c r="D2060" s="35">
        <v>314422954.25</v>
      </c>
      <c r="E2060" s="35">
        <v>823854</v>
      </c>
      <c r="F2060" s="35">
        <v>312405648.87</v>
      </c>
    </row>
    <row r="2061" spans="1:6" x14ac:dyDescent="0.3">
      <c r="A2061" t="s">
        <v>48</v>
      </c>
      <c r="B2061">
        <v>2021</v>
      </c>
      <c r="C2061" t="s">
        <v>13</v>
      </c>
      <c r="D2061" s="35">
        <v>51487170.890000001</v>
      </c>
      <c r="E2061" s="35">
        <v>961251</v>
      </c>
      <c r="F2061" s="35">
        <v>38310688.469999999</v>
      </c>
    </row>
    <row r="2062" spans="1:6" x14ac:dyDescent="0.3">
      <c r="A2062" t="s">
        <v>48</v>
      </c>
      <c r="B2062">
        <v>2021</v>
      </c>
      <c r="C2062" t="s">
        <v>16</v>
      </c>
      <c r="D2062" s="35">
        <v>12295935.91</v>
      </c>
      <c r="E2062" s="35">
        <v>51846</v>
      </c>
      <c r="F2062" s="35">
        <v>11016643.5</v>
      </c>
    </row>
    <row r="2063" spans="1:6" x14ac:dyDescent="0.3">
      <c r="A2063" t="s">
        <v>48</v>
      </c>
      <c r="B2063">
        <v>2021</v>
      </c>
      <c r="C2063" t="s">
        <v>14</v>
      </c>
      <c r="D2063" s="35">
        <v>50289995.049999997</v>
      </c>
      <c r="E2063" s="35">
        <v>1500986</v>
      </c>
      <c r="F2063" s="35">
        <v>36503645.020000003</v>
      </c>
    </row>
    <row r="2064" spans="1:6" x14ac:dyDescent="0.3">
      <c r="A2064" t="s">
        <v>48</v>
      </c>
      <c r="B2064">
        <v>2021</v>
      </c>
      <c r="C2064" t="s">
        <v>7</v>
      </c>
      <c r="D2064" s="35">
        <v>19743468.210000001</v>
      </c>
      <c r="E2064" s="35">
        <v>8417</v>
      </c>
      <c r="F2064" s="35">
        <v>19425696.289999999</v>
      </c>
    </row>
    <row r="2065" spans="1:6" x14ac:dyDescent="0.3">
      <c r="A2065" t="s">
        <v>48</v>
      </c>
      <c r="B2065">
        <v>2021</v>
      </c>
      <c r="C2065" t="s">
        <v>11</v>
      </c>
      <c r="D2065" s="35">
        <v>31885711.48</v>
      </c>
      <c r="E2065" s="35">
        <v>68334</v>
      </c>
      <c r="F2065" s="35">
        <v>30815004.930000011</v>
      </c>
    </row>
    <row r="2066" spans="1:6" x14ac:dyDescent="0.3">
      <c r="A2066" t="s">
        <v>48</v>
      </c>
      <c r="B2066">
        <v>2021</v>
      </c>
      <c r="C2066" t="s">
        <v>3</v>
      </c>
      <c r="D2066" s="35">
        <v>259302133.21000001</v>
      </c>
      <c r="E2066" s="35">
        <v>668076</v>
      </c>
      <c r="F2066" s="35">
        <v>253212908.58000001</v>
      </c>
    </row>
    <row r="2067" spans="1:6" x14ac:dyDescent="0.3">
      <c r="A2067" t="s">
        <v>48</v>
      </c>
      <c r="B2067">
        <v>2021</v>
      </c>
      <c r="C2067" t="s">
        <v>12</v>
      </c>
      <c r="D2067" s="35">
        <v>91799544.359999985</v>
      </c>
      <c r="E2067" s="35">
        <v>1609208</v>
      </c>
      <c r="F2067" s="35">
        <v>71753444.839999989</v>
      </c>
    </row>
    <row r="2068" spans="1:6" x14ac:dyDescent="0.3">
      <c r="A2068" t="s">
        <v>48</v>
      </c>
      <c r="B2068">
        <v>2021</v>
      </c>
      <c r="C2068" t="s">
        <v>2</v>
      </c>
      <c r="D2068" s="35">
        <v>357897642.16000003</v>
      </c>
      <c r="E2068" s="35">
        <v>4196994</v>
      </c>
      <c r="F2068" s="35">
        <v>311290939.31999999</v>
      </c>
    </row>
    <row r="2069" spans="1:6" x14ac:dyDescent="0.3">
      <c r="A2069" t="s">
        <v>48</v>
      </c>
      <c r="B2069">
        <v>2021</v>
      </c>
      <c r="C2069" t="s">
        <v>5</v>
      </c>
      <c r="D2069" s="35">
        <v>41578185.450000003</v>
      </c>
      <c r="E2069" s="35">
        <v>28559</v>
      </c>
      <c r="F2069" s="35">
        <v>39436134.899999991</v>
      </c>
    </row>
    <row r="2070" spans="1:6" x14ac:dyDescent="0.3">
      <c r="A2070" t="s">
        <v>48</v>
      </c>
      <c r="B2070">
        <v>2021</v>
      </c>
      <c r="C2070" t="s">
        <v>17</v>
      </c>
      <c r="D2070" s="35">
        <v>6846841.459999999</v>
      </c>
      <c r="E2070" s="35">
        <v>303704</v>
      </c>
      <c r="F2070" s="35">
        <v>901588.25000000012</v>
      </c>
    </row>
    <row r="2071" spans="1:6" x14ac:dyDescent="0.3">
      <c r="A2071" t="s">
        <v>48</v>
      </c>
      <c r="B2071">
        <v>2021</v>
      </c>
      <c r="C2071" t="s">
        <v>9</v>
      </c>
      <c r="D2071" s="35">
        <v>86092028.359999985</v>
      </c>
      <c r="E2071" s="35">
        <v>2334078</v>
      </c>
      <c r="F2071" s="35">
        <v>45091877.950000003</v>
      </c>
    </row>
    <row r="2072" spans="1:6" x14ac:dyDescent="0.3">
      <c r="A2072" t="s">
        <v>48</v>
      </c>
      <c r="B2072">
        <v>2021</v>
      </c>
      <c r="C2072" t="s">
        <v>8</v>
      </c>
      <c r="D2072" s="35">
        <v>38793005.170000002</v>
      </c>
      <c r="E2072" s="35">
        <v>3176</v>
      </c>
      <c r="F2072" s="35">
        <v>38432732.719999999</v>
      </c>
    </row>
    <row r="2073" spans="1:6" x14ac:dyDescent="0.3">
      <c r="A2073" t="s">
        <v>48</v>
      </c>
      <c r="B2073">
        <v>2021</v>
      </c>
      <c r="C2073" t="s">
        <v>6</v>
      </c>
      <c r="D2073" s="35">
        <v>157810083.83000001</v>
      </c>
      <c r="E2073" s="35">
        <v>2343425</v>
      </c>
      <c r="F2073" s="35">
        <v>137914431.37</v>
      </c>
    </row>
    <row r="2074" spans="1:6" x14ac:dyDescent="0.3">
      <c r="A2074" t="s">
        <v>48</v>
      </c>
      <c r="B2074">
        <v>2021</v>
      </c>
      <c r="C2074" t="s">
        <v>15</v>
      </c>
      <c r="D2074" s="35">
        <v>28157071.59999999</v>
      </c>
      <c r="E2074" s="35">
        <v>850533</v>
      </c>
      <c r="F2074" s="35">
        <v>11965915.34</v>
      </c>
    </row>
    <row r="2075" spans="1:6" x14ac:dyDescent="0.3">
      <c r="A2075" t="s">
        <v>48</v>
      </c>
      <c r="B2075">
        <v>2021</v>
      </c>
      <c r="C2075" t="s">
        <v>18</v>
      </c>
      <c r="D2075" s="35">
        <v>6903048.5799999982</v>
      </c>
      <c r="E2075" s="35">
        <v>68348</v>
      </c>
      <c r="F2075" s="35">
        <v>5933978.4299999997</v>
      </c>
    </row>
    <row r="2076" spans="1:6" x14ac:dyDescent="0.3">
      <c r="A2076" t="s">
        <v>48</v>
      </c>
      <c r="B2076">
        <v>2022</v>
      </c>
      <c r="C2076" t="s">
        <v>10</v>
      </c>
      <c r="D2076" s="35">
        <v>65097016.93999999</v>
      </c>
      <c r="E2076" s="35">
        <v>2644303</v>
      </c>
      <c r="F2076" s="35">
        <v>50779530.749999993</v>
      </c>
    </row>
    <row r="2077" spans="1:6" x14ac:dyDescent="0.3">
      <c r="A2077" t="s">
        <v>48</v>
      </c>
      <c r="B2077">
        <v>2022</v>
      </c>
      <c r="C2077" t="s">
        <v>4</v>
      </c>
      <c r="D2077" s="35">
        <v>285171086.31</v>
      </c>
      <c r="E2077" s="35">
        <v>719575</v>
      </c>
      <c r="F2077" s="35">
        <v>283026935.98000002</v>
      </c>
    </row>
    <row r="2078" spans="1:6" x14ac:dyDescent="0.3">
      <c r="A2078" t="s">
        <v>48</v>
      </c>
      <c r="B2078">
        <v>2022</v>
      </c>
      <c r="C2078" t="s">
        <v>13</v>
      </c>
      <c r="D2078" s="35">
        <v>49840721.859999999</v>
      </c>
      <c r="E2078" s="35">
        <v>745969</v>
      </c>
      <c r="F2078" s="35">
        <v>38786615.539999999</v>
      </c>
    </row>
    <row r="2079" spans="1:6" x14ac:dyDescent="0.3">
      <c r="A2079" t="s">
        <v>48</v>
      </c>
      <c r="B2079">
        <v>2022</v>
      </c>
      <c r="C2079" t="s">
        <v>16</v>
      </c>
      <c r="D2079" s="35">
        <v>15502399.4</v>
      </c>
      <c r="E2079" s="35">
        <v>52140</v>
      </c>
      <c r="F2079" s="35">
        <v>14360572.99</v>
      </c>
    </row>
    <row r="2080" spans="1:6" x14ac:dyDescent="0.3">
      <c r="A2080" t="s">
        <v>48</v>
      </c>
      <c r="B2080">
        <v>2022</v>
      </c>
      <c r="C2080" t="s">
        <v>14</v>
      </c>
      <c r="D2080" s="35">
        <v>60605472.010000013</v>
      </c>
      <c r="E2080" s="35">
        <v>1446512</v>
      </c>
      <c r="F2080" s="35">
        <v>50983764.130000003</v>
      </c>
    </row>
    <row r="2081" spans="1:6" x14ac:dyDescent="0.3">
      <c r="A2081" t="s">
        <v>48</v>
      </c>
      <c r="B2081">
        <v>2022</v>
      </c>
      <c r="C2081" t="s">
        <v>7</v>
      </c>
      <c r="D2081" s="35">
        <v>28814710.420000002</v>
      </c>
      <c r="E2081" s="35">
        <v>11890</v>
      </c>
      <c r="F2081" s="35">
        <v>28749808</v>
      </c>
    </row>
    <row r="2082" spans="1:6" x14ac:dyDescent="0.3">
      <c r="A2082" t="s">
        <v>48</v>
      </c>
      <c r="B2082">
        <v>2022</v>
      </c>
      <c r="C2082" t="s">
        <v>11</v>
      </c>
      <c r="D2082" s="35">
        <v>48751495.950000003</v>
      </c>
      <c r="E2082" s="35">
        <v>80279</v>
      </c>
      <c r="F2082" s="35">
        <v>47690987.859999992</v>
      </c>
    </row>
    <row r="2083" spans="1:6" x14ac:dyDescent="0.3">
      <c r="A2083" t="s">
        <v>48</v>
      </c>
      <c r="B2083">
        <v>2022</v>
      </c>
      <c r="C2083" t="s">
        <v>3</v>
      </c>
      <c r="D2083" s="35">
        <v>268303791.02999991</v>
      </c>
      <c r="E2083" s="35">
        <v>712955</v>
      </c>
      <c r="F2083" s="35">
        <v>262584661.78</v>
      </c>
    </row>
    <row r="2084" spans="1:6" x14ac:dyDescent="0.3">
      <c r="A2084" t="s">
        <v>48</v>
      </c>
      <c r="B2084">
        <v>2022</v>
      </c>
      <c r="C2084" t="s">
        <v>12</v>
      </c>
      <c r="D2084" s="35">
        <v>74513381.219999984</v>
      </c>
      <c r="E2084" s="35">
        <v>1645533</v>
      </c>
      <c r="F2084" s="35">
        <v>56404317.590000004</v>
      </c>
    </row>
    <row r="2085" spans="1:6" x14ac:dyDescent="0.3">
      <c r="A2085" t="s">
        <v>48</v>
      </c>
      <c r="B2085">
        <v>2022</v>
      </c>
      <c r="C2085" t="s">
        <v>2</v>
      </c>
      <c r="D2085" s="35">
        <v>547093536.8599999</v>
      </c>
      <c r="E2085" s="35">
        <v>3889638</v>
      </c>
      <c r="F2085" s="35">
        <v>515659822.80999988</v>
      </c>
    </row>
    <row r="2086" spans="1:6" x14ac:dyDescent="0.3">
      <c r="A2086" t="s">
        <v>48</v>
      </c>
      <c r="B2086">
        <v>2022</v>
      </c>
      <c r="C2086" t="s">
        <v>5</v>
      </c>
      <c r="D2086" s="35">
        <v>48113129.849999987</v>
      </c>
      <c r="E2086" s="35">
        <v>31723</v>
      </c>
      <c r="F2086" s="35">
        <v>46790572.539999999</v>
      </c>
    </row>
    <row r="2087" spans="1:6" x14ac:dyDescent="0.3">
      <c r="A2087" t="s">
        <v>48</v>
      </c>
      <c r="B2087">
        <v>2022</v>
      </c>
      <c r="C2087" t="s">
        <v>17</v>
      </c>
      <c r="D2087" s="35">
        <v>5354398.2200000007</v>
      </c>
      <c r="E2087" s="35">
        <v>294744</v>
      </c>
      <c r="F2087" s="35">
        <v>1008165.88</v>
      </c>
    </row>
    <row r="2088" spans="1:6" x14ac:dyDescent="0.3">
      <c r="A2088" t="s">
        <v>48</v>
      </c>
      <c r="B2088">
        <v>2022</v>
      </c>
      <c r="C2088" t="s">
        <v>9</v>
      </c>
      <c r="D2088" s="35">
        <v>83501338.019999996</v>
      </c>
      <c r="E2088" s="35">
        <v>2212838</v>
      </c>
      <c r="F2088" s="35">
        <v>49495123.799999997</v>
      </c>
    </row>
    <row r="2089" spans="1:6" x14ac:dyDescent="0.3">
      <c r="A2089" t="s">
        <v>48</v>
      </c>
      <c r="B2089">
        <v>2022</v>
      </c>
      <c r="C2089" t="s">
        <v>8</v>
      </c>
      <c r="D2089" s="35">
        <v>43078245.969999999</v>
      </c>
      <c r="E2089" s="35">
        <v>2979</v>
      </c>
      <c r="F2089" s="35">
        <v>42687111.5</v>
      </c>
    </row>
    <row r="2090" spans="1:6" x14ac:dyDescent="0.3">
      <c r="A2090" t="s">
        <v>48</v>
      </c>
      <c r="B2090">
        <v>2022</v>
      </c>
      <c r="C2090" t="s">
        <v>6</v>
      </c>
      <c r="D2090" s="35">
        <v>202285782.59</v>
      </c>
      <c r="E2090" s="35">
        <v>2552632</v>
      </c>
      <c r="F2090" s="35">
        <v>187974932.91</v>
      </c>
    </row>
    <row r="2091" spans="1:6" x14ac:dyDescent="0.3">
      <c r="A2091" t="s">
        <v>48</v>
      </c>
      <c r="B2091">
        <v>2022</v>
      </c>
      <c r="C2091" t="s">
        <v>15</v>
      </c>
      <c r="D2091" s="35">
        <v>29415517.559999999</v>
      </c>
      <c r="E2091" s="35">
        <v>811580</v>
      </c>
      <c r="F2091" s="35">
        <v>20202779.98</v>
      </c>
    </row>
    <row r="2092" spans="1:6" x14ac:dyDescent="0.3">
      <c r="A2092" t="s">
        <v>48</v>
      </c>
      <c r="B2092">
        <v>2022</v>
      </c>
      <c r="C2092" t="s">
        <v>18</v>
      </c>
      <c r="D2092" s="35">
        <v>8459128.6199999973</v>
      </c>
      <c r="E2092" s="35">
        <v>64903</v>
      </c>
      <c r="F2092" s="35">
        <v>8074799.9200000018</v>
      </c>
    </row>
    <row r="2093" spans="1:6" x14ac:dyDescent="0.3">
      <c r="A2093" t="s">
        <v>48</v>
      </c>
      <c r="B2093">
        <v>2023</v>
      </c>
      <c r="C2093" t="s">
        <v>10</v>
      </c>
      <c r="D2093" s="35">
        <v>73728769.73999998</v>
      </c>
      <c r="E2093" s="35">
        <v>2606098</v>
      </c>
      <c r="F2093" s="35">
        <v>59280297.029999986</v>
      </c>
    </row>
    <row r="2094" spans="1:6" x14ac:dyDescent="0.3">
      <c r="A2094" t="s">
        <v>48</v>
      </c>
      <c r="B2094">
        <v>2023</v>
      </c>
      <c r="C2094" t="s">
        <v>4</v>
      </c>
      <c r="D2094" s="35">
        <v>359316663.30000001</v>
      </c>
      <c r="E2094" s="35">
        <v>746820</v>
      </c>
      <c r="F2094" s="35">
        <v>357518940.26000011</v>
      </c>
    </row>
    <row r="2095" spans="1:6" x14ac:dyDescent="0.3">
      <c r="A2095" t="s">
        <v>48</v>
      </c>
      <c r="B2095">
        <v>2023</v>
      </c>
      <c r="C2095" t="s">
        <v>13</v>
      </c>
      <c r="D2095" s="35">
        <v>44754814.229999997</v>
      </c>
      <c r="E2095" s="35">
        <v>764712</v>
      </c>
      <c r="F2095" s="35">
        <v>33322398.440000009</v>
      </c>
    </row>
    <row r="2096" spans="1:6" x14ac:dyDescent="0.3">
      <c r="A2096" t="s">
        <v>48</v>
      </c>
      <c r="B2096">
        <v>2023</v>
      </c>
      <c r="C2096" t="s">
        <v>16</v>
      </c>
      <c r="D2096" s="35">
        <v>22430464.489999991</v>
      </c>
      <c r="E2096" s="35">
        <v>72138</v>
      </c>
      <c r="F2096" s="35">
        <v>20934974.449999999</v>
      </c>
    </row>
    <row r="2097" spans="1:6" x14ac:dyDescent="0.3">
      <c r="A2097" t="s">
        <v>48</v>
      </c>
      <c r="B2097">
        <v>2023</v>
      </c>
      <c r="C2097" t="s">
        <v>14</v>
      </c>
      <c r="D2097" s="35">
        <v>58396121.600000009</v>
      </c>
      <c r="E2097" s="35">
        <v>1682074</v>
      </c>
      <c r="F2097" s="35">
        <v>45851984.32</v>
      </c>
    </row>
    <row r="2098" spans="1:6" x14ac:dyDescent="0.3">
      <c r="A2098" t="s">
        <v>48</v>
      </c>
      <c r="B2098">
        <v>2023</v>
      </c>
      <c r="C2098" t="s">
        <v>7</v>
      </c>
      <c r="D2098" s="35">
        <v>23297494.199999999</v>
      </c>
      <c r="E2098" s="35">
        <v>9011</v>
      </c>
      <c r="F2098" s="35">
        <v>23239096.430000011</v>
      </c>
    </row>
    <row r="2099" spans="1:6" x14ac:dyDescent="0.3">
      <c r="A2099" t="s">
        <v>48</v>
      </c>
      <c r="B2099">
        <v>2023</v>
      </c>
      <c r="C2099" t="s">
        <v>11</v>
      </c>
      <c r="D2099" s="35">
        <v>49746166.850000001</v>
      </c>
      <c r="E2099" s="35">
        <v>56937</v>
      </c>
      <c r="F2099" s="35">
        <v>48790093.019999988</v>
      </c>
    </row>
    <row r="2100" spans="1:6" x14ac:dyDescent="0.3">
      <c r="A2100" t="s">
        <v>48</v>
      </c>
      <c r="B2100">
        <v>2023</v>
      </c>
      <c r="C2100" t="s">
        <v>3</v>
      </c>
      <c r="D2100" s="35">
        <v>332819524.08999997</v>
      </c>
      <c r="E2100" s="35">
        <v>751013</v>
      </c>
      <c r="F2100" s="35">
        <v>326373075.11000001</v>
      </c>
    </row>
    <row r="2101" spans="1:6" x14ac:dyDescent="0.3">
      <c r="A2101" t="s">
        <v>48</v>
      </c>
      <c r="B2101">
        <v>2023</v>
      </c>
      <c r="C2101" t="s">
        <v>12</v>
      </c>
      <c r="D2101" s="35">
        <v>101160613.36</v>
      </c>
      <c r="E2101" s="35">
        <v>1865904</v>
      </c>
      <c r="F2101" s="35">
        <v>83665399.469999999</v>
      </c>
    </row>
    <row r="2102" spans="1:6" x14ac:dyDescent="0.3">
      <c r="A2102" t="s">
        <v>48</v>
      </c>
      <c r="B2102">
        <v>2023</v>
      </c>
      <c r="C2102" t="s">
        <v>2</v>
      </c>
      <c r="D2102" s="35">
        <v>419286116.75000012</v>
      </c>
      <c r="E2102" s="35">
        <v>4014970</v>
      </c>
      <c r="F2102" s="35">
        <v>385894680.68000001</v>
      </c>
    </row>
    <row r="2103" spans="1:6" x14ac:dyDescent="0.3">
      <c r="A2103" t="s">
        <v>48</v>
      </c>
      <c r="B2103">
        <v>2023</v>
      </c>
      <c r="C2103" t="s">
        <v>5</v>
      </c>
      <c r="D2103" s="35">
        <v>33133511.239999998</v>
      </c>
      <c r="E2103" s="35">
        <v>28993</v>
      </c>
      <c r="F2103" s="35">
        <v>31466253.16</v>
      </c>
    </row>
    <row r="2104" spans="1:6" x14ac:dyDescent="0.3">
      <c r="A2104" t="s">
        <v>48</v>
      </c>
      <c r="B2104">
        <v>2023</v>
      </c>
      <c r="C2104" t="s">
        <v>17</v>
      </c>
      <c r="D2104" s="35">
        <v>7323673.629999999</v>
      </c>
      <c r="E2104" s="35">
        <v>377101</v>
      </c>
      <c r="F2104" s="35">
        <v>1279530.72</v>
      </c>
    </row>
    <row r="2105" spans="1:6" x14ac:dyDescent="0.3">
      <c r="A2105" t="s">
        <v>48</v>
      </c>
      <c r="B2105">
        <v>2023</v>
      </c>
      <c r="C2105" t="s">
        <v>9</v>
      </c>
      <c r="D2105" s="35">
        <v>98326673.169999987</v>
      </c>
      <c r="E2105" s="35">
        <v>2371995</v>
      </c>
      <c r="F2105" s="35">
        <v>60615344.020000011</v>
      </c>
    </row>
    <row r="2106" spans="1:6" x14ac:dyDescent="0.3">
      <c r="A2106" t="s">
        <v>48</v>
      </c>
      <c r="B2106">
        <v>2023</v>
      </c>
      <c r="C2106" t="s">
        <v>8</v>
      </c>
      <c r="D2106" s="35">
        <v>39546312.869999997</v>
      </c>
      <c r="E2106" s="35">
        <v>2591</v>
      </c>
      <c r="F2106" s="35">
        <v>38514273.049999997</v>
      </c>
    </row>
    <row r="2107" spans="1:6" x14ac:dyDescent="0.3">
      <c r="A2107" t="s">
        <v>48</v>
      </c>
      <c r="B2107">
        <v>2023</v>
      </c>
      <c r="C2107" t="s">
        <v>6</v>
      </c>
      <c r="D2107" s="35">
        <v>146007104.47</v>
      </c>
      <c r="E2107" s="35">
        <v>2245172</v>
      </c>
      <c r="F2107" s="35">
        <v>131308861.95</v>
      </c>
    </row>
    <row r="2108" spans="1:6" x14ac:dyDescent="0.3">
      <c r="A2108" t="s">
        <v>48</v>
      </c>
      <c r="B2108">
        <v>2023</v>
      </c>
      <c r="C2108" t="s">
        <v>15</v>
      </c>
      <c r="D2108" s="35">
        <v>24162877.25999999</v>
      </c>
      <c r="E2108" s="35">
        <v>648386</v>
      </c>
      <c r="F2108" s="35">
        <v>15859820.02</v>
      </c>
    </row>
    <row r="2109" spans="1:6" x14ac:dyDescent="0.3">
      <c r="A2109" t="s">
        <v>48</v>
      </c>
      <c r="B2109">
        <v>2023</v>
      </c>
      <c r="C2109" t="s">
        <v>18</v>
      </c>
      <c r="D2109" s="35">
        <v>14557475.279999999</v>
      </c>
      <c r="E2109" s="35">
        <v>65259</v>
      </c>
      <c r="F2109" s="35">
        <v>14239664.789999999</v>
      </c>
    </row>
    <row r="2110" spans="1:6" x14ac:dyDescent="0.3">
      <c r="A2110" t="s">
        <v>48</v>
      </c>
      <c r="B2110">
        <v>2024</v>
      </c>
      <c r="C2110" t="s">
        <v>10</v>
      </c>
      <c r="D2110" s="35">
        <v>134413235.66</v>
      </c>
      <c r="E2110" s="35">
        <v>3329671</v>
      </c>
      <c r="F2110" s="35">
        <v>95271556.440000013</v>
      </c>
    </row>
    <row r="2111" spans="1:6" x14ac:dyDescent="0.3">
      <c r="A2111" t="s">
        <v>48</v>
      </c>
      <c r="B2111">
        <v>2024</v>
      </c>
      <c r="C2111" t="s">
        <v>4</v>
      </c>
      <c r="D2111" s="35">
        <v>368377412.05000001</v>
      </c>
      <c r="E2111" s="35">
        <v>932009</v>
      </c>
      <c r="F2111" s="35">
        <v>364440406.98999989</v>
      </c>
    </row>
    <row r="2112" spans="1:6" x14ac:dyDescent="0.3">
      <c r="A2112" t="s">
        <v>48</v>
      </c>
      <c r="B2112">
        <v>2024</v>
      </c>
      <c r="C2112" t="s">
        <v>13</v>
      </c>
      <c r="D2112" s="35">
        <v>63083167.18999999</v>
      </c>
      <c r="E2112" s="35">
        <v>996184</v>
      </c>
      <c r="F2112" s="35">
        <v>47389910.009999998</v>
      </c>
    </row>
    <row r="2113" spans="1:6" x14ac:dyDescent="0.3">
      <c r="A2113" t="s">
        <v>48</v>
      </c>
      <c r="B2113">
        <v>2024</v>
      </c>
      <c r="C2113" t="s">
        <v>16</v>
      </c>
      <c r="D2113" s="35">
        <v>18504322.760000002</v>
      </c>
      <c r="E2113" s="35">
        <v>78632</v>
      </c>
      <c r="F2113" s="35">
        <v>16923124.59</v>
      </c>
    </row>
    <row r="2114" spans="1:6" x14ac:dyDescent="0.3">
      <c r="A2114" t="s">
        <v>48</v>
      </c>
      <c r="B2114">
        <v>2024</v>
      </c>
      <c r="C2114" t="s">
        <v>14</v>
      </c>
      <c r="D2114" s="35">
        <v>81246559.150000021</v>
      </c>
      <c r="E2114" s="35">
        <v>2085158</v>
      </c>
      <c r="F2114" s="35">
        <v>55249756.859999999</v>
      </c>
    </row>
    <row r="2115" spans="1:6" x14ac:dyDescent="0.3">
      <c r="A2115" t="s">
        <v>48</v>
      </c>
      <c r="B2115">
        <v>2024</v>
      </c>
      <c r="C2115" t="s">
        <v>7</v>
      </c>
      <c r="D2115" s="35">
        <v>33889521.590000004</v>
      </c>
      <c r="E2115" s="35">
        <v>14716</v>
      </c>
      <c r="F2115" s="35">
        <v>33815195.320000008</v>
      </c>
    </row>
    <row r="2116" spans="1:6" x14ac:dyDescent="0.3">
      <c r="A2116" t="s">
        <v>48</v>
      </c>
      <c r="B2116">
        <v>2024</v>
      </c>
      <c r="C2116" t="s">
        <v>11</v>
      </c>
      <c r="D2116" s="35">
        <v>45871069.539999999</v>
      </c>
      <c r="E2116" s="35">
        <v>96742</v>
      </c>
      <c r="F2116" s="35">
        <v>44635701.549999997</v>
      </c>
    </row>
    <row r="2117" spans="1:6" x14ac:dyDescent="0.3">
      <c r="A2117" t="s">
        <v>48</v>
      </c>
      <c r="B2117">
        <v>2024</v>
      </c>
      <c r="C2117" t="s">
        <v>3</v>
      </c>
      <c r="D2117" s="35">
        <v>307697870.33999997</v>
      </c>
      <c r="E2117" s="35">
        <v>967288</v>
      </c>
      <c r="F2117" s="35">
        <v>297916260.49999988</v>
      </c>
    </row>
    <row r="2118" spans="1:6" x14ac:dyDescent="0.3">
      <c r="A2118" t="s">
        <v>48</v>
      </c>
      <c r="B2118">
        <v>2024</v>
      </c>
      <c r="C2118" t="s">
        <v>12</v>
      </c>
      <c r="D2118" s="35">
        <v>145738082.46000001</v>
      </c>
      <c r="E2118" s="35">
        <v>2186379</v>
      </c>
      <c r="F2118" s="35">
        <v>112221069.11</v>
      </c>
    </row>
    <row r="2119" spans="1:6" x14ac:dyDescent="0.3">
      <c r="A2119" t="s">
        <v>48</v>
      </c>
      <c r="B2119">
        <v>2024</v>
      </c>
      <c r="C2119" t="s">
        <v>2</v>
      </c>
      <c r="D2119" s="35">
        <v>584642725.17999995</v>
      </c>
      <c r="E2119" s="35">
        <v>5528638</v>
      </c>
      <c r="F2119" s="35">
        <v>511361871.01000011</v>
      </c>
    </row>
    <row r="2120" spans="1:6" x14ac:dyDescent="0.3">
      <c r="A2120" t="s">
        <v>48</v>
      </c>
      <c r="B2120">
        <v>2024</v>
      </c>
      <c r="C2120" t="s">
        <v>5</v>
      </c>
      <c r="D2120" s="35">
        <v>37621379.460000001</v>
      </c>
      <c r="E2120" s="35">
        <v>35727</v>
      </c>
      <c r="F2120" s="35">
        <v>35619740</v>
      </c>
    </row>
    <row r="2121" spans="1:6" x14ac:dyDescent="0.3">
      <c r="A2121" t="s">
        <v>48</v>
      </c>
      <c r="B2121">
        <v>2024</v>
      </c>
      <c r="C2121" t="s">
        <v>17</v>
      </c>
      <c r="D2121" s="35">
        <v>9046013.2699999977</v>
      </c>
      <c r="E2121" s="35">
        <v>494772</v>
      </c>
      <c r="F2121" s="35">
        <v>1380525.54</v>
      </c>
    </row>
    <row r="2122" spans="1:6" x14ac:dyDescent="0.3">
      <c r="A2122" t="s">
        <v>48</v>
      </c>
      <c r="B2122">
        <v>2024</v>
      </c>
      <c r="C2122" t="s">
        <v>9</v>
      </c>
      <c r="D2122" s="35">
        <v>152482063.78999999</v>
      </c>
      <c r="E2122" s="35">
        <v>2976405</v>
      </c>
      <c r="F2122" s="35">
        <v>93593702.460000023</v>
      </c>
    </row>
    <row r="2123" spans="1:6" x14ac:dyDescent="0.3">
      <c r="A2123" t="s">
        <v>48</v>
      </c>
      <c r="B2123">
        <v>2024</v>
      </c>
      <c r="C2123" t="s">
        <v>8</v>
      </c>
      <c r="D2123" s="35">
        <v>59684335.07</v>
      </c>
      <c r="E2123" s="35">
        <v>3582</v>
      </c>
      <c r="F2123" s="35">
        <v>58916503.019999988</v>
      </c>
    </row>
    <row r="2124" spans="1:6" x14ac:dyDescent="0.3">
      <c r="A2124" t="s">
        <v>48</v>
      </c>
      <c r="B2124">
        <v>2024</v>
      </c>
      <c r="C2124" t="s">
        <v>6</v>
      </c>
      <c r="D2124" s="35">
        <v>193316057.98999989</v>
      </c>
      <c r="E2124" s="35">
        <v>3420106</v>
      </c>
      <c r="F2124" s="35">
        <v>159440002.61000001</v>
      </c>
    </row>
    <row r="2125" spans="1:6" x14ac:dyDescent="0.3">
      <c r="A2125" t="s">
        <v>48</v>
      </c>
      <c r="B2125">
        <v>2024</v>
      </c>
      <c r="C2125" t="s">
        <v>15</v>
      </c>
      <c r="D2125" s="35">
        <v>23764653.59999999</v>
      </c>
      <c r="E2125" s="35">
        <v>617333</v>
      </c>
      <c r="F2125" s="35">
        <v>13822796.470000001</v>
      </c>
    </row>
    <row r="2126" spans="1:6" x14ac:dyDescent="0.3">
      <c r="A2126" t="s">
        <v>48</v>
      </c>
      <c r="B2126">
        <v>2024</v>
      </c>
      <c r="C2126" t="s">
        <v>18</v>
      </c>
      <c r="D2126" s="35">
        <v>12306188.66</v>
      </c>
      <c r="E2126" s="35">
        <v>68256</v>
      </c>
      <c r="F2126" s="35">
        <v>10589980.57</v>
      </c>
    </row>
    <row r="2127" spans="1:6" x14ac:dyDescent="0.3">
      <c r="A2127" t="s">
        <v>48</v>
      </c>
      <c r="B2127">
        <v>2025</v>
      </c>
      <c r="C2127" t="s">
        <v>10</v>
      </c>
      <c r="D2127" s="35">
        <v>158491404.82000011</v>
      </c>
      <c r="E2127" s="35">
        <v>3682023</v>
      </c>
      <c r="F2127" s="35">
        <v>115297659.62</v>
      </c>
    </row>
    <row r="2128" spans="1:6" x14ac:dyDescent="0.3">
      <c r="A2128" t="s">
        <v>48</v>
      </c>
      <c r="B2128">
        <v>2025</v>
      </c>
      <c r="C2128" t="s">
        <v>4</v>
      </c>
      <c r="D2128" s="35">
        <v>400883800.60000002</v>
      </c>
      <c r="E2128" s="35">
        <v>1003969</v>
      </c>
      <c r="F2128" s="35">
        <v>396600385.44999999</v>
      </c>
    </row>
    <row r="2129" spans="1:6" x14ac:dyDescent="0.3">
      <c r="A2129" t="s">
        <v>48</v>
      </c>
      <c r="B2129">
        <v>2025</v>
      </c>
      <c r="C2129" t="s">
        <v>13</v>
      </c>
      <c r="D2129" s="35">
        <v>81683040.549999997</v>
      </c>
      <c r="E2129" s="35">
        <v>1097937</v>
      </c>
      <c r="F2129" s="35">
        <v>64632645.250000007</v>
      </c>
    </row>
    <row r="2130" spans="1:6" x14ac:dyDescent="0.3">
      <c r="A2130" t="s">
        <v>48</v>
      </c>
      <c r="B2130">
        <v>2025</v>
      </c>
      <c r="C2130" t="s">
        <v>16</v>
      </c>
      <c r="D2130" s="35">
        <v>21978030.20999999</v>
      </c>
      <c r="E2130" s="35">
        <v>80605</v>
      </c>
      <c r="F2130" s="35">
        <v>20872437.920000002</v>
      </c>
    </row>
    <row r="2131" spans="1:6" x14ac:dyDescent="0.3">
      <c r="A2131" t="s">
        <v>48</v>
      </c>
      <c r="B2131">
        <v>2025</v>
      </c>
      <c r="C2131" t="s">
        <v>14</v>
      </c>
      <c r="D2131" s="35">
        <v>98168564.409999996</v>
      </c>
      <c r="E2131" s="35">
        <v>2470223</v>
      </c>
      <c r="F2131" s="35">
        <v>68052342.480000004</v>
      </c>
    </row>
    <row r="2132" spans="1:6" x14ac:dyDescent="0.3">
      <c r="A2132" t="s">
        <v>48</v>
      </c>
      <c r="B2132">
        <v>2025</v>
      </c>
      <c r="C2132" t="s">
        <v>7</v>
      </c>
      <c r="D2132" s="35">
        <v>49974968.50999999</v>
      </c>
      <c r="E2132" s="35">
        <v>20352</v>
      </c>
      <c r="F2132" s="35">
        <v>49865287.789999977</v>
      </c>
    </row>
    <row r="2133" spans="1:6" x14ac:dyDescent="0.3">
      <c r="A2133" t="s">
        <v>48</v>
      </c>
      <c r="B2133">
        <v>2025</v>
      </c>
      <c r="C2133" t="s">
        <v>11</v>
      </c>
      <c r="D2133" s="35">
        <v>61102529.759999998</v>
      </c>
      <c r="E2133" s="35">
        <v>110579</v>
      </c>
      <c r="F2133" s="35">
        <v>59213616.310000002</v>
      </c>
    </row>
    <row r="2134" spans="1:6" x14ac:dyDescent="0.3">
      <c r="A2134" t="s">
        <v>48</v>
      </c>
      <c r="B2134">
        <v>2025</v>
      </c>
      <c r="C2134" t="s">
        <v>3</v>
      </c>
      <c r="D2134" s="35">
        <v>437197506.92999989</v>
      </c>
      <c r="E2134" s="35">
        <v>1088166</v>
      </c>
      <c r="F2134" s="35">
        <v>426402591.99000001</v>
      </c>
    </row>
    <row r="2135" spans="1:6" x14ac:dyDescent="0.3">
      <c r="A2135" t="s">
        <v>48</v>
      </c>
      <c r="B2135">
        <v>2025</v>
      </c>
      <c r="C2135" t="s">
        <v>12</v>
      </c>
      <c r="D2135" s="35">
        <v>137460711.34</v>
      </c>
      <c r="E2135" s="35">
        <v>2449322</v>
      </c>
      <c r="F2135" s="35">
        <v>100978371.91</v>
      </c>
    </row>
    <row r="2136" spans="1:6" x14ac:dyDescent="0.3">
      <c r="A2136" t="s">
        <v>48</v>
      </c>
      <c r="B2136">
        <v>2025</v>
      </c>
      <c r="C2136" t="s">
        <v>2</v>
      </c>
      <c r="D2136" s="35">
        <v>720560091.95000005</v>
      </c>
      <c r="E2136" s="35">
        <v>6064637</v>
      </c>
      <c r="F2136" s="35">
        <v>639426643.35000014</v>
      </c>
    </row>
    <row r="2137" spans="1:6" x14ac:dyDescent="0.3">
      <c r="A2137" t="s">
        <v>48</v>
      </c>
      <c r="B2137">
        <v>2025</v>
      </c>
      <c r="C2137" t="s">
        <v>5</v>
      </c>
      <c r="D2137" s="35">
        <v>83816375.200000003</v>
      </c>
      <c r="E2137" s="35">
        <v>50959</v>
      </c>
      <c r="F2137" s="35">
        <v>79816746.149999991</v>
      </c>
    </row>
    <row r="2138" spans="1:6" x14ac:dyDescent="0.3">
      <c r="A2138" t="s">
        <v>48</v>
      </c>
      <c r="B2138">
        <v>2025</v>
      </c>
      <c r="C2138" t="s">
        <v>17</v>
      </c>
      <c r="D2138" s="35">
        <v>20426418.760000002</v>
      </c>
      <c r="E2138" s="35">
        <v>854427</v>
      </c>
      <c r="F2138" s="35">
        <v>4538937.7699999996</v>
      </c>
    </row>
    <row r="2139" spans="1:6" x14ac:dyDescent="0.3">
      <c r="A2139" t="s">
        <v>48</v>
      </c>
      <c r="B2139">
        <v>2025</v>
      </c>
      <c r="C2139" t="s">
        <v>9</v>
      </c>
      <c r="D2139" s="35">
        <v>200695037.63</v>
      </c>
      <c r="E2139" s="35">
        <v>3715948</v>
      </c>
      <c r="F2139" s="35">
        <v>132798668.06999999</v>
      </c>
    </row>
    <row r="2140" spans="1:6" x14ac:dyDescent="0.3">
      <c r="A2140" t="s">
        <v>48</v>
      </c>
      <c r="B2140">
        <v>2025</v>
      </c>
      <c r="C2140" t="s">
        <v>8</v>
      </c>
      <c r="D2140" s="35">
        <v>64767465.939999998</v>
      </c>
      <c r="E2140" s="35">
        <v>4181</v>
      </c>
      <c r="F2140" s="35">
        <v>63943241.049999997</v>
      </c>
    </row>
    <row r="2141" spans="1:6" x14ac:dyDescent="0.3">
      <c r="A2141" t="s">
        <v>48</v>
      </c>
      <c r="B2141">
        <v>2025</v>
      </c>
      <c r="C2141" t="s">
        <v>6</v>
      </c>
      <c r="D2141" s="35">
        <v>221240220.28999999</v>
      </c>
      <c r="E2141" s="35">
        <v>3735070</v>
      </c>
      <c r="F2141" s="35">
        <v>182443198.06999999</v>
      </c>
    </row>
    <row r="2142" spans="1:6" x14ac:dyDescent="0.3">
      <c r="A2142" t="s">
        <v>48</v>
      </c>
      <c r="B2142">
        <v>2025</v>
      </c>
      <c r="C2142" t="s">
        <v>15</v>
      </c>
      <c r="D2142" s="35">
        <v>32193418.59</v>
      </c>
      <c r="E2142" s="35">
        <v>670588</v>
      </c>
      <c r="F2142" s="35">
        <v>20285036.91</v>
      </c>
    </row>
    <row r="2143" spans="1:6" x14ac:dyDescent="0.3">
      <c r="A2143" t="s">
        <v>48</v>
      </c>
      <c r="B2143">
        <v>2025</v>
      </c>
      <c r="C2143" t="s">
        <v>18</v>
      </c>
      <c r="D2143" s="35">
        <v>13252596.810000001</v>
      </c>
      <c r="E2143" s="35">
        <v>73998</v>
      </c>
      <c r="F2143" s="35">
        <v>9862567.0499999989</v>
      </c>
    </row>
    <row r="2144" spans="1:6" x14ac:dyDescent="0.3">
      <c r="A2144" t="s">
        <v>49</v>
      </c>
      <c r="B2144">
        <v>2019</v>
      </c>
      <c r="C2144" t="s">
        <v>10</v>
      </c>
      <c r="D2144" s="35">
        <v>79174495.229999989</v>
      </c>
      <c r="E2144" s="35">
        <v>3173872</v>
      </c>
      <c r="F2144" s="35">
        <v>44402799.590000004</v>
      </c>
    </row>
    <row r="2145" spans="1:6" x14ac:dyDescent="0.3">
      <c r="A2145" t="s">
        <v>49</v>
      </c>
      <c r="B2145">
        <v>2019</v>
      </c>
      <c r="C2145" t="s">
        <v>4</v>
      </c>
      <c r="D2145" s="35">
        <v>154486169.00999999</v>
      </c>
      <c r="E2145" s="35">
        <v>726666</v>
      </c>
      <c r="F2145" s="35">
        <v>150927089.24000001</v>
      </c>
    </row>
    <row r="2146" spans="1:6" x14ac:dyDescent="0.3">
      <c r="A2146" t="s">
        <v>49</v>
      </c>
      <c r="B2146">
        <v>2019</v>
      </c>
      <c r="C2146" t="s">
        <v>13</v>
      </c>
      <c r="D2146" s="35">
        <v>54941259.590000004</v>
      </c>
      <c r="E2146" s="35">
        <v>841115</v>
      </c>
      <c r="F2146" s="35">
        <v>36075325.079999998</v>
      </c>
    </row>
    <row r="2147" spans="1:6" x14ac:dyDescent="0.3">
      <c r="A2147" t="s">
        <v>49</v>
      </c>
      <c r="B2147">
        <v>2019</v>
      </c>
      <c r="C2147" t="s">
        <v>16</v>
      </c>
      <c r="D2147" s="35">
        <v>7112754.2599999988</v>
      </c>
      <c r="E2147" s="35">
        <v>70914</v>
      </c>
      <c r="F2147" s="35">
        <v>5432060.1499999994</v>
      </c>
    </row>
    <row r="2148" spans="1:6" x14ac:dyDescent="0.3">
      <c r="A2148" t="s">
        <v>49</v>
      </c>
      <c r="B2148">
        <v>2019</v>
      </c>
      <c r="C2148" t="s">
        <v>14</v>
      </c>
      <c r="D2148" s="35">
        <v>37746281.760000013</v>
      </c>
      <c r="E2148" s="35">
        <v>1120681</v>
      </c>
      <c r="F2148" s="35">
        <v>21646482.02</v>
      </c>
    </row>
    <row r="2149" spans="1:6" x14ac:dyDescent="0.3">
      <c r="A2149" t="s">
        <v>49</v>
      </c>
      <c r="B2149">
        <v>2019</v>
      </c>
      <c r="C2149" t="s">
        <v>7</v>
      </c>
      <c r="D2149" s="35">
        <v>185130526.97999999</v>
      </c>
      <c r="E2149" s="35">
        <v>86139</v>
      </c>
      <c r="F2149" s="35">
        <v>184038798.74000001</v>
      </c>
    </row>
    <row r="2150" spans="1:6" x14ac:dyDescent="0.3">
      <c r="A2150" t="s">
        <v>49</v>
      </c>
      <c r="B2150">
        <v>2019</v>
      </c>
      <c r="C2150" t="s">
        <v>11</v>
      </c>
      <c r="D2150" s="35">
        <v>40891380.920000009</v>
      </c>
      <c r="E2150" s="35">
        <v>76492</v>
      </c>
      <c r="F2150" s="35">
        <v>39758428.79999999</v>
      </c>
    </row>
    <row r="2151" spans="1:6" x14ac:dyDescent="0.3">
      <c r="A2151" t="s">
        <v>49</v>
      </c>
      <c r="B2151">
        <v>2019</v>
      </c>
      <c r="C2151" t="s">
        <v>3</v>
      </c>
      <c r="D2151" s="35">
        <v>132075158.34999999</v>
      </c>
      <c r="E2151" s="35">
        <v>930657</v>
      </c>
      <c r="F2151" s="35">
        <v>121551514.5</v>
      </c>
    </row>
    <row r="2152" spans="1:6" x14ac:dyDescent="0.3">
      <c r="A2152" t="s">
        <v>49</v>
      </c>
      <c r="B2152">
        <v>2019</v>
      </c>
      <c r="C2152" t="s">
        <v>12</v>
      </c>
      <c r="D2152" s="35">
        <v>146517176.69999999</v>
      </c>
      <c r="E2152" s="35">
        <v>2411182</v>
      </c>
      <c r="F2152" s="35">
        <v>98485575.799999997</v>
      </c>
    </row>
    <row r="2153" spans="1:6" x14ac:dyDescent="0.3">
      <c r="A2153" t="s">
        <v>49</v>
      </c>
      <c r="B2153">
        <v>2019</v>
      </c>
      <c r="C2153" t="s">
        <v>2</v>
      </c>
      <c r="D2153" s="35">
        <v>310388714.18999988</v>
      </c>
      <c r="E2153" s="35">
        <v>4346603</v>
      </c>
      <c r="F2153" s="35">
        <v>227015257.78999999</v>
      </c>
    </row>
    <row r="2154" spans="1:6" x14ac:dyDescent="0.3">
      <c r="A2154" t="s">
        <v>49</v>
      </c>
      <c r="B2154">
        <v>2019</v>
      </c>
      <c r="C2154" t="s">
        <v>5</v>
      </c>
      <c r="D2154" s="35">
        <v>43861724.950000003</v>
      </c>
      <c r="E2154" s="35">
        <v>49343</v>
      </c>
      <c r="F2154" s="35">
        <v>39564111.460000001</v>
      </c>
    </row>
    <row r="2155" spans="1:6" x14ac:dyDescent="0.3">
      <c r="A2155" t="s">
        <v>49</v>
      </c>
      <c r="B2155">
        <v>2019</v>
      </c>
      <c r="C2155" t="s">
        <v>17</v>
      </c>
      <c r="D2155" s="35">
        <v>3814440.9</v>
      </c>
      <c r="E2155" s="35">
        <v>235647</v>
      </c>
      <c r="F2155" s="35">
        <v>586200.47</v>
      </c>
    </row>
    <row r="2156" spans="1:6" x14ac:dyDescent="0.3">
      <c r="A2156" t="s">
        <v>49</v>
      </c>
      <c r="B2156">
        <v>2019</v>
      </c>
      <c r="C2156" t="s">
        <v>9</v>
      </c>
      <c r="D2156" s="35">
        <v>65090625.960000001</v>
      </c>
      <c r="E2156" s="35">
        <v>1978686</v>
      </c>
      <c r="F2156" s="35">
        <v>41446833.649999984</v>
      </c>
    </row>
    <row r="2157" spans="1:6" x14ac:dyDescent="0.3">
      <c r="A2157" t="s">
        <v>49</v>
      </c>
      <c r="B2157">
        <v>2019</v>
      </c>
      <c r="C2157" t="s">
        <v>8</v>
      </c>
      <c r="D2157" s="35">
        <v>25630155.5</v>
      </c>
      <c r="E2157" s="35">
        <v>3346</v>
      </c>
      <c r="F2157" s="35">
        <v>24979952.23</v>
      </c>
    </row>
    <row r="2158" spans="1:6" x14ac:dyDescent="0.3">
      <c r="A2158" t="s">
        <v>49</v>
      </c>
      <c r="B2158">
        <v>2019</v>
      </c>
      <c r="C2158" t="s">
        <v>6</v>
      </c>
      <c r="D2158" s="35">
        <v>120224312.45</v>
      </c>
      <c r="E2158" s="35">
        <v>2408386</v>
      </c>
      <c r="F2158" s="35">
        <v>93359442.959999964</v>
      </c>
    </row>
    <row r="2159" spans="1:6" x14ac:dyDescent="0.3">
      <c r="A2159" t="s">
        <v>49</v>
      </c>
      <c r="B2159">
        <v>2019</v>
      </c>
      <c r="C2159" t="s">
        <v>15</v>
      </c>
      <c r="D2159" s="35">
        <v>39258016.779999986</v>
      </c>
      <c r="E2159" s="35">
        <v>1037376</v>
      </c>
      <c r="F2159" s="35">
        <v>18472219</v>
      </c>
    </row>
    <row r="2160" spans="1:6" x14ac:dyDescent="0.3">
      <c r="A2160" t="s">
        <v>49</v>
      </c>
      <c r="B2160">
        <v>2019</v>
      </c>
      <c r="C2160" t="s">
        <v>18</v>
      </c>
      <c r="D2160" s="35">
        <v>10199511.26</v>
      </c>
      <c r="E2160" s="35">
        <v>77383</v>
      </c>
      <c r="F2160" s="35">
        <v>5963354.8499999996</v>
      </c>
    </row>
    <row r="2161" spans="1:6" x14ac:dyDescent="0.3">
      <c r="A2161" t="s">
        <v>49</v>
      </c>
      <c r="B2161">
        <v>2020</v>
      </c>
      <c r="C2161" t="s">
        <v>10</v>
      </c>
      <c r="D2161" s="35">
        <v>94855462.270000011</v>
      </c>
      <c r="E2161" s="35">
        <v>3298706</v>
      </c>
      <c r="F2161" s="35">
        <v>56104813.179999977</v>
      </c>
    </row>
    <row r="2162" spans="1:6" x14ac:dyDescent="0.3">
      <c r="A2162" t="s">
        <v>49</v>
      </c>
      <c r="B2162">
        <v>2020</v>
      </c>
      <c r="C2162" t="s">
        <v>4</v>
      </c>
      <c r="D2162" s="35">
        <v>205806453.61999989</v>
      </c>
      <c r="E2162" s="35">
        <v>785535</v>
      </c>
      <c r="F2162" s="35">
        <v>201613953.91</v>
      </c>
    </row>
    <row r="2163" spans="1:6" x14ac:dyDescent="0.3">
      <c r="A2163" t="s">
        <v>49</v>
      </c>
      <c r="B2163">
        <v>2020</v>
      </c>
      <c r="C2163" t="s">
        <v>13</v>
      </c>
      <c r="D2163" s="35">
        <v>65174614.850000001</v>
      </c>
      <c r="E2163" s="35">
        <v>942550</v>
      </c>
      <c r="F2163" s="35">
        <v>43398694.289999999</v>
      </c>
    </row>
    <row r="2164" spans="1:6" x14ac:dyDescent="0.3">
      <c r="A2164" t="s">
        <v>49</v>
      </c>
      <c r="B2164">
        <v>2020</v>
      </c>
      <c r="C2164" t="s">
        <v>16</v>
      </c>
      <c r="D2164" s="35">
        <v>11789654.9</v>
      </c>
      <c r="E2164" s="35">
        <v>74384</v>
      </c>
      <c r="F2164" s="35">
        <v>9346417.6999999974</v>
      </c>
    </row>
    <row r="2165" spans="1:6" x14ac:dyDescent="0.3">
      <c r="A2165" t="s">
        <v>49</v>
      </c>
      <c r="B2165">
        <v>2020</v>
      </c>
      <c r="C2165" t="s">
        <v>14</v>
      </c>
      <c r="D2165" s="35">
        <v>53873118.400000013</v>
      </c>
      <c r="E2165" s="35">
        <v>1030249</v>
      </c>
      <c r="F2165" s="35">
        <v>33760760.829999998</v>
      </c>
    </row>
    <row r="2166" spans="1:6" x14ac:dyDescent="0.3">
      <c r="A2166" t="s">
        <v>49</v>
      </c>
      <c r="B2166">
        <v>2020</v>
      </c>
      <c r="C2166" t="s">
        <v>7</v>
      </c>
      <c r="D2166" s="35">
        <v>211202928.31</v>
      </c>
      <c r="E2166" s="35">
        <v>86640</v>
      </c>
      <c r="F2166" s="35">
        <v>209366817.13999999</v>
      </c>
    </row>
    <row r="2167" spans="1:6" x14ac:dyDescent="0.3">
      <c r="A2167" t="s">
        <v>49</v>
      </c>
      <c r="B2167">
        <v>2020</v>
      </c>
      <c r="C2167" t="s">
        <v>11</v>
      </c>
      <c r="D2167" s="35">
        <v>67861274.350000009</v>
      </c>
      <c r="E2167" s="35">
        <v>80459</v>
      </c>
      <c r="F2167" s="35">
        <v>63488047.93</v>
      </c>
    </row>
    <row r="2168" spans="1:6" x14ac:dyDescent="0.3">
      <c r="A2168" t="s">
        <v>49</v>
      </c>
      <c r="B2168">
        <v>2020</v>
      </c>
      <c r="C2168" t="s">
        <v>3</v>
      </c>
      <c r="D2168" s="35">
        <v>186004296.72</v>
      </c>
      <c r="E2168" s="35">
        <v>765192</v>
      </c>
      <c r="F2168" s="35">
        <v>175679591.41999999</v>
      </c>
    </row>
    <row r="2169" spans="1:6" x14ac:dyDescent="0.3">
      <c r="A2169" t="s">
        <v>49</v>
      </c>
      <c r="B2169">
        <v>2020</v>
      </c>
      <c r="C2169" t="s">
        <v>12</v>
      </c>
      <c r="D2169" s="35">
        <v>151611209.9499999</v>
      </c>
      <c r="E2169" s="35">
        <v>1986156</v>
      </c>
      <c r="F2169" s="35">
        <v>107422528.39</v>
      </c>
    </row>
    <row r="2170" spans="1:6" x14ac:dyDescent="0.3">
      <c r="A2170" t="s">
        <v>49</v>
      </c>
      <c r="B2170">
        <v>2020</v>
      </c>
      <c r="C2170" t="s">
        <v>2</v>
      </c>
      <c r="D2170" s="35">
        <v>367044660.9799999</v>
      </c>
      <c r="E2170" s="35">
        <v>4571669</v>
      </c>
      <c r="F2170" s="35">
        <v>275392923.5</v>
      </c>
    </row>
    <row r="2171" spans="1:6" x14ac:dyDescent="0.3">
      <c r="A2171" t="s">
        <v>49</v>
      </c>
      <c r="B2171">
        <v>2020</v>
      </c>
      <c r="C2171" t="s">
        <v>5</v>
      </c>
      <c r="D2171" s="35">
        <v>61141898.950000003</v>
      </c>
      <c r="E2171" s="35">
        <v>52999</v>
      </c>
      <c r="F2171" s="35">
        <v>56875010.779999986</v>
      </c>
    </row>
    <row r="2172" spans="1:6" x14ac:dyDescent="0.3">
      <c r="A2172" t="s">
        <v>49</v>
      </c>
      <c r="B2172">
        <v>2020</v>
      </c>
      <c r="C2172" t="s">
        <v>17</v>
      </c>
      <c r="D2172" s="35">
        <v>4742553.0500000007</v>
      </c>
      <c r="E2172" s="35">
        <v>249701</v>
      </c>
      <c r="F2172" s="35">
        <v>1158262.06</v>
      </c>
    </row>
    <row r="2173" spans="1:6" x14ac:dyDescent="0.3">
      <c r="A2173" t="s">
        <v>49</v>
      </c>
      <c r="B2173">
        <v>2020</v>
      </c>
      <c r="C2173" t="s">
        <v>9</v>
      </c>
      <c r="D2173" s="35">
        <v>90244521.230000034</v>
      </c>
      <c r="E2173" s="35">
        <v>1990788</v>
      </c>
      <c r="F2173" s="35">
        <v>62984933.589999989</v>
      </c>
    </row>
    <row r="2174" spans="1:6" x14ac:dyDescent="0.3">
      <c r="A2174" t="s">
        <v>49</v>
      </c>
      <c r="B2174">
        <v>2020</v>
      </c>
      <c r="C2174" t="s">
        <v>8</v>
      </c>
      <c r="D2174" s="35">
        <v>50438080.739999987</v>
      </c>
      <c r="E2174" s="35">
        <v>4769</v>
      </c>
      <c r="F2174" s="35">
        <v>47750252.50999999</v>
      </c>
    </row>
    <row r="2175" spans="1:6" x14ac:dyDescent="0.3">
      <c r="A2175" t="s">
        <v>49</v>
      </c>
      <c r="B2175">
        <v>2020</v>
      </c>
      <c r="C2175" t="s">
        <v>6</v>
      </c>
      <c r="D2175" s="35">
        <v>134846498.41999999</v>
      </c>
      <c r="E2175" s="35">
        <v>2428584</v>
      </c>
      <c r="F2175" s="35">
        <v>103749466.34999999</v>
      </c>
    </row>
    <row r="2176" spans="1:6" x14ac:dyDescent="0.3">
      <c r="A2176" t="s">
        <v>49</v>
      </c>
      <c r="B2176">
        <v>2020</v>
      </c>
      <c r="C2176" t="s">
        <v>15</v>
      </c>
      <c r="D2176" s="35">
        <v>40127993.319999993</v>
      </c>
      <c r="E2176" s="35">
        <v>909961</v>
      </c>
      <c r="F2176" s="35">
        <v>15046377.48</v>
      </c>
    </row>
    <row r="2177" spans="1:6" x14ac:dyDescent="0.3">
      <c r="A2177" t="s">
        <v>49</v>
      </c>
      <c r="B2177">
        <v>2020</v>
      </c>
      <c r="C2177" t="s">
        <v>18</v>
      </c>
      <c r="D2177" s="35">
        <v>11548233.52</v>
      </c>
      <c r="E2177" s="35">
        <v>85355</v>
      </c>
      <c r="F2177" s="35">
        <v>7868776.2999999989</v>
      </c>
    </row>
    <row r="2178" spans="1:6" x14ac:dyDescent="0.3">
      <c r="A2178" t="s">
        <v>49</v>
      </c>
      <c r="B2178">
        <v>2021</v>
      </c>
      <c r="C2178" t="s">
        <v>10</v>
      </c>
      <c r="D2178" s="35">
        <v>111381548.13</v>
      </c>
      <c r="E2178" s="35">
        <v>3335750</v>
      </c>
      <c r="F2178" s="35">
        <v>71003400.520000011</v>
      </c>
    </row>
    <row r="2179" spans="1:6" x14ac:dyDescent="0.3">
      <c r="A2179" t="s">
        <v>49</v>
      </c>
      <c r="B2179">
        <v>2021</v>
      </c>
      <c r="C2179" t="s">
        <v>4</v>
      </c>
      <c r="D2179" s="35">
        <v>261383236.06999999</v>
      </c>
      <c r="E2179" s="35">
        <v>825526</v>
      </c>
      <c r="F2179" s="35">
        <v>257114864.84</v>
      </c>
    </row>
    <row r="2180" spans="1:6" x14ac:dyDescent="0.3">
      <c r="A2180" t="s">
        <v>49</v>
      </c>
      <c r="B2180">
        <v>2021</v>
      </c>
      <c r="C2180" t="s">
        <v>13</v>
      </c>
      <c r="D2180" s="35">
        <v>70857163.040000007</v>
      </c>
      <c r="E2180" s="35">
        <v>1024778</v>
      </c>
      <c r="F2180" s="35">
        <v>47819021.790000007</v>
      </c>
    </row>
    <row r="2181" spans="1:6" x14ac:dyDescent="0.3">
      <c r="A2181" t="s">
        <v>49</v>
      </c>
      <c r="B2181">
        <v>2021</v>
      </c>
      <c r="C2181" t="s">
        <v>16</v>
      </c>
      <c r="D2181" s="35">
        <v>15998108.779999999</v>
      </c>
      <c r="E2181" s="35">
        <v>86713</v>
      </c>
      <c r="F2181" s="35">
        <v>13903680.42</v>
      </c>
    </row>
    <row r="2182" spans="1:6" x14ac:dyDescent="0.3">
      <c r="A2182" t="s">
        <v>49</v>
      </c>
      <c r="B2182">
        <v>2021</v>
      </c>
      <c r="C2182" t="s">
        <v>14</v>
      </c>
      <c r="D2182" s="35">
        <v>64824705.020000003</v>
      </c>
      <c r="E2182" s="35">
        <v>1162319</v>
      </c>
      <c r="F2182" s="35">
        <v>42608732.459999993</v>
      </c>
    </row>
    <row r="2183" spans="1:6" x14ac:dyDescent="0.3">
      <c r="A2183" t="s">
        <v>49</v>
      </c>
      <c r="B2183">
        <v>2021</v>
      </c>
      <c r="C2183" t="s">
        <v>7</v>
      </c>
      <c r="D2183" s="35">
        <v>226874127.44</v>
      </c>
      <c r="E2183" s="35">
        <v>86617</v>
      </c>
      <c r="F2183" s="35">
        <v>222723176.34999999</v>
      </c>
    </row>
    <row r="2184" spans="1:6" x14ac:dyDescent="0.3">
      <c r="A2184" t="s">
        <v>49</v>
      </c>
      <c r="B2184">
        <v>2021</v>
      </c>
      <c r="C2184" t="s">
        <v>11</v>
      </c>
      <c r="D2184" s="35">
        <v>77095507.089999989</v>
      </c>
      <c r="E2184" s="35">
        <v>95326</v>
      </c>
      <c r="F2184" s="35">
        <v>74130729.010000005</v>
      </c>
    </row>
    <row r="2185" spans="1:6" x14ac:dyDescent="0.3">
      <c r="A2185" t="s">
        <v>49</v>
      </c>
      <c r="B2185">
        <v>2021</v>
      </c>
      <c r="C2185" t="s">
        <v>3</v>
      </c>
      <c r="D2185" s="35">
        <v>272419187.38999999</v>
      </c>
      <c r="E2185" s="35">
        <v>945201</v>
      </c>
      <c r="F2185" s="35">
        <v>261069543.21000001</v>
      </c>
    </row>
    <row r="2186" spans="1:6" x14ac:dyDescent="0.3">
      <c r="A2186" t="s">
        <v>49</v>
      </c>
      <c r="B2186">
        <v>2021</v>
      </c>
      <c r="C2186" t="s">
        <v>12</v>
      </c>
      <c r="D2186" s="35">
        <v>130732085.65000001</v>
      </c>
      <c r="E2186" s="35">
        <v>2247088</v>
      </c>
      <c r="F2186" s="35">
        <v>88797798.720000014</v>
      </c>
    </row>
    <row r="2187" spans="1:6" x14ac:dyDescent="0.3">
      <c r="A2187" t="s">
        <v>49</v>
      </c>
      <c r="B2187">
        <v>2021</v>
      </c>
      <c r="C2187" t="s">
        <v>2</v>
      </c>
      <c r="D2187" s="35">
        <v>412705748.05000001</v>
      </c>
      <c r="E2187" s="35">
        <v>4672168</v>
      </c>
      <c r="F2187" s="35">
        <v>325407196.52999991</v>
      </c>
    </row>
    <row r="2188" spans="1:6" x14ac:dyDescent="0.3">
      <c r="A2188" t="s">
        <v>49</v>
      </c>
      <c r="B2188">
        <v>2021</v>
      </c>
      <c r="C2188" t="s">
        <v>5</v>
      </c>
      <c r="D2188" s="35">
        <v>72099160.149999991</v>
      </c>
      <c r="E2188" s="35">
        <v>57848</v>
      </c>
      <c r="F2188" s="35">
        <v>65643753.31000001</v>
      </c>
    </row>
    <row r="2189" spans="1:6" x14ac:dyDescent="0.3">
      <c r="A2189" t="s">
        <v>49</v>
      </c>
      <c r="B2189">
        <v>2021</v>
      </c>
      <c r="C2189" t="s">
        <v>17</v>
      </c>
      <c r="D2189" s="35">
        <v>5829024.0999999987</v>
      </c>
      <c r="E2189" s="35">
        <v>254543</v>
      </c>
      <c r="F2189" s="35">
        <v>2073842.81</v>
      </c>
    </row>
    <row r="2190" spans="1:6" x14ac:dyDescent="0.3">
      <c r="A2190" t="s">
        <v>49</v>
      </c>
      <c r="B2190">
        <v>2021</v>
      </c>
      <c r="C2190" t="s">
        <v>9</v>
      </c>
      <c r="D2190" s="35">
        <v>98931522.099999994</v>
      </c>
      <c r="E2190" s="35">
        <v>2127809</v>
      </c>
      <c r="F2190" s="35">
        <v>73311548.320000008</v>
      </c>
    </row>
    <row r="2191" spans="1:6" x14ac:dyDescent="0.3">
      <c r="A2191" t="s">
        <v>49</v>
      </c>
      <c r="B2191">
        <v>2021</v>
      </c>
      <c r="C2191" t="s">
        <v>8</v>
      </c>
      <c r="D2191" s="35">
        <v>58504009.829999998</v>
      </c>
      <c r="E2191" s="35">
        <v>3812</v>
      </c>
      <c r="F2191" s="35">
        <v>58351745.899999999</v>
      </c>
    </row>
    <row r="2192" spans="1:6" x14ac:dyDescent="0.3">
      <c r="A2192" t="s">
        <v>49</v>
      </c>
      <c r="B2192">
        <v>2021</v>
      </c>
      <c r="C2192" t="s">
        <v>6</v>
      </c>
      <c r="D2192" s="35">
        <v>148618568.81</v>
      </c>
      <c r="E2192" s="35">
        <v>2622661</v>
      </c>
      <c r="F2192" s="35">
        <v>112988219.92</v>
      </c>
    </row>
    <row r="2193" spans="1:6" x14ac:dyDescent="0.3">
      <c r="A2193" t="s">
        <v>49</v>
      </c>
      <c r="B2193">
        <v>2021</v>
      </c>
      <c r="C2193" t="s">
        <v>15</v>
      </c>
      <c r="D2193" s="35">
        <v>33827791.420000009</v>
      </c>
      <c r="E2193" s="35">
        <v>849682</v>
      </c>
      <c r="F2193" s="35">
        <v>12761937.73</v>
      </c>
    </row>
    <row r="2194" spans="1:6" x14ac:dyDescent="0.3">
      <c r="A2194" t="s">
        <v>49</v>
      </c>
      <c r="B2194">
        <v>2021</v>
      </c>
      <c r="C2194" t="s">
        <v>18</v>
      </c>
      <c r="D2194" s="35">
        <v>11283114.99</v>
      </c>
      <c r="E2194" s="35">
        <v>87490</v>
      </c>
      <c r="F2194" s="35">
        <v>8126807.46</v>
      </c>
    </row>
    <row r="2195" spans="1:6" x14ac:dyDescent="0.3">
      <c r="A2195" t="s">
        <v>49</v>
      </c>
      <c r="B2195">
        <v>2022</v>
      </c>
      <c r="C2195" t="s">
        <v>10</v>
      </c>
      <c r="D2195" s="35">
        <v>123403418.83</v>
      </c>
      <c r="E2195" s="35">
        <v>3436564</v>
      </c>
      <c r="F2195" s="35">
        <v>82128131.580000013</v>
      </c>
    </row>
    <row r="2196" spans="1:6" x14ac:dyDescent="0.3">
      <c r="A2196" t="s">
        <v>49</v>
      </c>
      <c r="B2196">
        <v>2022</v>
      </c>
      <c r="C2196" t="s">
        <v>4</v>
      </c>
      <c r="D2196" s="35">
        <v>342975712.95000011</v>
      </c>
      <c r="E2196" s="35">
        <v>907944</v>
      </c>
      <c r="F2196" s="35">
        <v>338898803.47000003</v>
      </c>
    </row>
    <row r="2197" spans="1:6" x14ac:dyDescent="0.3">
      <c r="A2197" t="s">
        <v>49</v>
      </c>
      <c r="B2197">
        <v>2022</v>
      </c>
      <c r="C2197" t="s">
        <v>13</v>
      </c>
      <c r="D2197" s="35">
        <v>72845124.36999999</v>
      </c>
      <c r="E2197" s="35">
        <v>1074588</v>
      </c>
      <c r="F2197" s="35">
        <v>49720759.409999996</v>
      </c>
    </row>
    <row r="2198" spans="1:6" x14ac:dyDescent="0.3">
      <c r="A2198" t="s">
        <v>49</v>
      </c>
      <c r="B2198">
        <v>2022</v>
      </c>
      <c r="C2198" t="s">
        <v>16</v>
      </c>
      <c r="D2198" s="35">
        <v>19385546.649999999</v>
      </c>
      <c r="E2198" s="35">
        <v>93445</v>
      </c>
      <c r="F2198" s="35">
        <v>17215461.059999999</v>
      </c>
    </row>
    <row r="2199" spans="1:6" x14ac:dyDescent="0.3">
      <c r="A2199" t="s">
        <v>49</v>
      </c>
      <c r="B2199">
        <v>2022</v>
      </c>
      <c r="C2199" t="s">
        <v>14</v>
      </c>
      <c r="D2199" s="35">
        <v>74145773.540000007</v>
      </c>
      <c r="E2199" s="35">
        <v>1250203</v>
      </c>
      <c r="F2199" s="35">
        <v>52035608.86999999</v>
      </c>
    </row>
    <row r="2200" spans="1:6" x14ac:dyDescent="0.3">
      <c r="A2200" t="s">
        <v>49</v>
      </c>
      <c r="B2200">
        <v>2022</v>
      </c>
      <c r="C2200" t="s">
        <v>7</v>
      </c>
      <c r="D2200" s="35">
        <v>247134674.37</v>
      </c>
      <c r="E2200" s="35">
        <v>87363</v>
      </c>
      <c r="F2200" s="35">
        <v>244363303.27000001</v>
      </c>
    </row>
    <row r="2201" spans="1:6" x14ac:dyDescent="0.3">
      <c r="A2201" t="s">
        <v>49</v>
      </c>
      <c r="B2201">
        <v>2022</v>
      </c>
      <c r="C2201" t="s">
        <v>11</v>
      </c>
      <c r="D2201" s="35">
        <v>85222823.050000012</v>
      </c>
      <c r="E2201" s="35">
        <v>91760</v>
      </c>
      <c r="F2201" s="35">
        <v>81576476.960000008</v>
      </c>
    </row>
    <row r="2202" spans="1:6" x14ac:dyDescent="0.3">
      <c r="A2202" t="s">
        <v>49</v>
      </c>
      <c r="B2202">
        <v>2022</v>
      </c>
      <c r="C2202" t="s">
        <v>3</v>
      </c>
      <c r="D2202" s="35">
        <v>373090672.65999991</v>
      </c>
      <c r="E2202" s="35">
        <v>1004645</v>
      </c>
      <c r="F2202" s="35">
        <v>361558171.39999998</v>
      </c>
    </row>
    <row r="2203" spans="1:6" x14ac:dyDescent="0.3">
      <c r="A2203" t="s">
        <v>49</v>
      </c>
      <c r="B2203">
        <v>2022</v>
      </c>
      <c r="C2203" t="s">
        <v>12</v>
      </c>
      <c r="D2203" s="35">
        <v>137249037.11000001</v>
      </c>
      <c r="E2203" s="35">
        <v>2546306</v>
      </c>
      <c r="F2203" s="35">
        <v>86629901.800000027</v>
      </c>
    </row>
    <row r="2204" spans="1:6" x14ac:dyDescent="0.3">
      <c r="A2204" t="s">
        <v>49</v>
      </c>
      <c r="B2204">
        <v>2022</v>
      </c>
      <c r="C2204" t="s">
        <v>2</v>
      </c>
      <c r="D2204" s="35">
        <v>505154875.29000002</v>
      </c>
      <c r="E2204" s="35">
        <v>4924616</v>
      </c>
      <c r="F2204" s="35">
        <v>424831605.84000021</v>
      </c>
    </row>
    <row r="2205" spans="1:6" x14ac:dyDescent="0.3">
      <c r="A2205" t="s">
        <v>49</v>
      </c>
      <c r="B2205">
        <v>2022</v>
      </c>
      <c r="C2205" t="s">
        <v>5</v>
      </c>
      <c r="D2205" s="35">
        <v>92660458.569999993</v>
      </c>
      <c r="E2205" s="35">
        <v>61212</v>
      </c>
      <c r="F2205" s="35">
        <v>86866003.750000015</v>
      </c>
    </row>
    <row r="2206" spans="1:6" x14ac:dyDescent="0.3">
      <c r="A2206" t="s">
        <v>49</v>
      </c>
      <c r="B2206">
        <v>2022</v>
      </c>
      <c r="C2206" t="s">
        <v>17</v>
      </c>
      <c r="D2206" s="35">
        <v>6643402.3900000006</v>
      </c>
      <c r="E2206" s="35">
        <v>255118</v>
      </c>
      <c r="F2206" s="35">
        <v>3067845.93</v>
      </c>
    </row>
    <row r="2207" spans="1:6" x14ac:dyDescent="0.3">
      <c r="A2207" t="s">
        <v>49</v>
      </c>
      <c r="B2207">
        <v>2022</v>
      </c>
      <c r="C2207" t="s">
        <v>9</v>
      </c>
      <c r="D2207" s="35">
        <v>104051077.8</v>
      </c>
      <c r="E2207" s="35">
        <v>2162515</v>
      </c>
      <c r="F2207" s="35">
        <v>77295066.600000009</v>
      </c>
    </row>
    <row r="2208" spans="1:6" x14ac:dyDescent="0.3">
      <c r="A2208" t="s">
        <v>49</v>
      </c>
      <c r="B2208">
        <v>2022</v>
      </c>
      <c r="C2208" t="s">
        <v>8</v>
      </c>
      <c r="D2208" s="35">
        <v>76862473.379999995</v>
      </c>
      <c r="E2208" s="35">
        <v>4242</v>
      </c>
      <c r="F2208" s="35">
        <v>76785577.299999997</v>
      </c>
    </row>
    <row r="2209" spans="1:6" x14ac:dyDescent="0.3">
      <c r="A2209" t="s">
        <v>49</v>
      </c>
      <c r="B2209">
        <v>2022</v>
      </c>
      <c r="C2209" t="s">
        <v>6</v>
      </c>
      <c r="D2209" s="35">
        <v>159157721.78999999</v>
      </c>
      <c r="E2209" s="35">
        <v>2740000</v>
      </c>
      <c r="F2209" s="35">
        <v>120261545.76000001</v>
      </c>
    </row>
    <row r="2210" spans="1:6" x14ac:dyDescent="0.3">
      <c r="A2210" t="s">
        <v>49</v>
      </c>
      <c r="B2210">
        <v>2022</v>
      </c>
      <c r="C2210" t="s">
        <v>15</v>
      </c>
      <c r="D2210" s="35">
        <v>32534641.489999998</v>
      </c>
      <c r="E2210" s="35">
        <v>700609</v>
      </c>
      <c r="F2210" s="35">
        <v>15192857.689999999</v>
      </c>
    </row>
    <row r="2211" spans="1:6" x14ac:dyDescent="0.3">
      <c r="A2211" t="s">
        <v>49</v>
      </c>
      <c r="B2211">
        <v>2022</v>
      </c>
      <c r="C2211" t="s">
        <v>18</v>
      </c>
      <c r="D2211" s="35">
        <v>13147918.16</v>
      </c>
      <c r="E2211" s="35">
        <v>87050</v>
      </c>
      <c r="F2211" s="35">
        <v>10323652.960000001</v>
      </c>
    </row>
    <row r="2212" spans="1:6" x14ac:dyDescent="0.3">
      <c r="A2212" t="s">
        <v>49</v>
      </c>
      <c r="B2212">
        <v>2023</v>
      </c>
      <c r="C2212" t="s">
        <v>10</v>
      </c>
      <c r="D2212" s="35">
        <v>142382067.02000001</v>
      </c>
      <c r="E2212" s="35">
        <v>3600048</v>
      </c>
      <c r="F2212" s="35">
        <v>90561813.950000003</v>
      </c>
    </row>
    <row r="2213" spans="1:6" x14ac:dyDescent="0.3">
      <c r="A2213" t="s">
        <v>49</v>
      </c>
      <c r="B2213">
        <v>2023</v>
      </c>
      <c r="C2213" t="s">
        <v>4</v>
      </c>
      <c r="D2213" s="35">
        <v>492723596.48999989</v>
      </c>
      <c r="E2213" s="35">
        <v>1067733</v>
      </c>
      <c r="F2213" s="35">
        <v>488343553.26999992</v>
      </c>
    </row>
    <row r="2214" spans="1:6" x14ac:dyDescent="0.3">
      <c r="A2214" t="s">
        <v>49</v>
      </c>
      <c r="B2214">
        <v>2023</v>
      </c>
      <c r="C2214" t="s">
        <v>13</v>
      </c>
      <c r="D2214" s="35">
        <v>69452077.859999999</v>
      </c>
      <c r="E2214" s="35">
        <v>1092228</v>
      </c>
      <c r="F2214" s="35">
        <v>47174663.850000016</v>
      </c>
    </row>
    <row r="2215" spans="1:6" x14ac:dyDescent="0.3">
      <c r="A2215" t="s">
        <v>49</v>
      </c>
      <c r="B2215">
        <v>2023</v>
      </c>
      <c r="C2215" t="s">
        <v>16</v>
      </c>
      <c r="D2215" s="35">
        <v>20493630.210000001</v>
      </c>
      <c r="E2215" s="35">
        <v>94501</v>
      </c>
      <c r="F2215" s="35">
        <v>18651138.329999998</v>
      </c>
    </row>
    <row r="2216" spans="1:6" x14ac:dyDescent="0.3">
      <c r="A2216" t="s">
        <v>49</v>
      </c>
      <c r="B2216">
        <v>2023</v>
      </c>
      <c r="C2216" t="s">
        <v>14</v>
      </c>
      <c r="D2216" s="35">
        <v>87655437.570000023</v>
      </c>
      <c r="E2216" s="35">
        <v>1266770</v>
      </c>
      <c r="F2216" s="35">
        <v>61793985.289999992</v>
      </c>
    </row>
    <row r="2217" spans="1:6" x14ac:dyDescent="0.3">
      <c r="A2217" t="s">
        <v>49</v>
      </c>
      <c r="B2217">
        <v>2023</v>
      </c>
      <c r="C2217" t="s">
        <v>7</v>
      </c>
      <c r="D2217" s="35">
        <v>244871474.24000001</v>
      </c>
      <c r="E2217" s="35">
        <v>80240</v>
      </c>
      <c r="F2217" s="35">
        <v>242531065.24000001</v>
      </c>
    </row>
    <row r="2218" spans="1:6" x14ac:dyDescent="0.3">
      <c r="A2218" t="s">
        <v>49</v>
      </c>
      <c r="B2218">
        <v>2023</v>
      </c>
      <c r="C2218" t="s">
        <v>11</v>
      </c>
      <c r="D2218" s="35">
        <v>86725874.780000016</v>
      </c>
      <c r="E2218" s="35">
        <v>85515</v>
      </c>
      <c r="F2218" s="35">
        <v>83507290.300000012</v>
      </c>
    </row>
    <row r="2219" spans="1:6" x14ac:dyDescent="0.3">
      <c r="A2219" t="s">
        <v>49</v>
      </c>
      <c r="B2219">
        <v>2023</v>
      </c>
      <c r="C2219" t="s">
        <v>3</v>
      </c>
      <c r="D2219" s="35">
        <v>443304380.73000002</v>
      </c>
      <c r="E2219" s="35">
        <v>987795</v>
      </c>
      <c r="F2219" s="35">
        <v>430558849.26999992</v>
      </c>
    </row>
    <row r="2220" spans="1:6" x14ac:dyDescent="0.3">
      <c r="A2220" t="s">
        <v>49</v>
      </c>
      <c r="B2220">
        <v>2023</v>
      </c>
      <c r="C2220" t="s">
        <v>12</v>
      </c>
      <c r="D2220" s="35">
        <v>121567152.70999999</v>
      </c>
      <c r="E2220" s="35">
        <v>2512311</v>
      </c>
      <c r="F2220" s="35">
        <v>73784975.610000014</v>
      </c>
    </row>
    <row r="2221" spans="1:6" x14ac:dyDescent="0.3">
      <c r="A2221" t="s">
        <v>49</v>
      </c>
      <c r="B2221">
        <v>2023</v>
      </c>
      <c r="C2221" t="s">
        <v>2</v>
      </c>
      <c r="D2221" s="35">
        <v>568363923.15999997</v>
      </c>
      <c r="E2221" s="35">
        <v>4957577</v>
      </c>
      <c r="F2221" s="35">
        <v>476149026.16000003</v>
      </c>
    </row>
    <row r="2222" spans="1:6" x14ac:dyDescent="0.3">
      <c r="A2222" t="s">
        <v>49</v>
      </c>
      <c r="B2222">
        <v>2023</v>
      </c>
      <c r="C2222" t="s">
        <v>5</v>
      </c>
      <c r="D2222" s="35">
        <v>86077395.010000005</v>
      </c>
      <c r="E2222" s="35">
        <v>60524</v>
      </c>
      <c r="F2222" s="35">
        <v>80800405.829999983</v>
      </c>
    </row>
    <row r="2223" spans="1:6" x14ac:dyDescent="0.3">
      <c r="A2223" t="s">
        <v>49</v>
      </c>
      <c r="B2223">
        <v>2023</v>
      </c>
      <c r="C2223" t="s">
        <v>17</v>
      </c>
      <c r="D2223" s="35">
        <v>6636589.8399999999</v>
      </c>
      <c r="E2223" s="35">
        <v>255937</v>
      </c>
      <c r="F2223" s="35">
        <v>2806620.46</v>
      </c>
    </row>
    <row r="2224" spans="1:6" x14ac:dyDescent="0.3">
      <c r="A2224" t="s">
        <v>49</v>
      </c>
      <c r="B2224">
        <v>2023</v>
      </c>
      <c r="C2224" t="s">
        <v>9</v>
      </c>
      <c r="D2224" s="35">
        <v>114418407.5</v>
      </c>
      <c r="E2224" s="35">
        <v>2005316</v>
      </c>
      <c r="F2224" s="35">
        <v>83660982.74999997</v>
      </c>
    </row>
    <row r="2225" spans="1:6" x14ac:dyDescent="0.3">
      <c r="A2225" t="s">
        <v>49</v>
      </c>
      <c r="B2225">
        <v>2023</v>
      </c>
      <c r="C2225" t="s">
        <v>8</v>
      </c>
      <c r="D2225" s="35">
        <v>78760156.329999998</v>
      </c>
      <c r="E2225" s="35">
        <v>4083</v>
      </c>
      <c r="F2225" s="35">
        <v>78654143.920000002</v>
      </c>
    </row>
    <row r="2226" spans="1:6" x14ac:dyDescent="0.3">
      <c r="A2226" t="s">
        <v>49</v>
      </c>
      <c r="B2226">
        <v>2023</v>
      </c>
      <c r="C2226" t="s">
        <v>6</v>
      </c>
      <c r="D2226" s="35">
        <v>162351894.93000001</v>
      </c>
      <c r="E2226" s="35">
        <v>2664701</v>
      </c>
      <c r="F2226" s="35">
        <v>120592793.31999999</v>
      </c>
    </row>
    <row r="2227" spans="1:6" x14ac:dyDescent="0.3">
      <c r="A2227" t="s">
        <v>49</v>
      </c>
      <c r="B2227">
        <v>2023</v>
      </c>
      <c r="C2227" t="s">
        <v>15</v>
      </c>
      <c r="D2227" s="35">
        <v>28614268.879999999</v>
      </c>
      <c r="E2227" s="35">
        <v>576806</v>
      </c>
      <c r="F2227" s="35">
        <v>12231401.98</v>
      </c>
    </row>
    <row r="2228" spans="1:6" x14ac:dyDescent="0.3">
      <c r="A2228" t="s">
        <v>49</v>
      </c>
      <c r="B2228">
        <v>2023</v>
      </c>
      <c r="C2228" t="s">
        <v>18</v>
      </c>
      <c r="D2228" s="35">
        <v>14117126.390000001</v>
      </c>
      <c r="E2228" s="35">
        <v>80987</v>
      </c>
      <c r="F2228" s="35">
        <v>11950558.34</v>
      </c>
    </row>
    <row r="2229" spans="1:6" x14ac:dyDescent="0.3">
      <c r="A2229" t="s">
        <v>49</v>
      </c>
      <c r="B2229">
        <v>2024</v>
      </c>
      <c r="C2229" t="s">
        <v>10</v>
      </c>
      <c r="D2229" s="35">
        <v>127731302.61</v>
      </c>
      <c r="E2229" s="35">
        <v>3050332</v>
      </c>
      <c r="F2229" s="35">
        <v>87771692.219999984</v>
      </c>
    </row>
    <row r="2230" spans="1:6" x14ac:dyDescent="0.3">
      <c r="A2230" t="s">
        <v>49</v>
      </c>
      <c r="B2230">
        <v>2024</v>
      </c>
      <c r="C2230" t="s">
        <v>4</v>
      </c>
      <c r="D2230" s="35">
        <v>406172145.51999998</v>
      </c>
      <c r="E2230" s="35">
        <v>901553</v>
      </c>
      <c r="F2230" s="35">
        <v>401955603.98999989</v>
      </c>
    </row>
    <row r="2231" spans="1:6" x14ac:dyDescent="0.3">
      <c r="A2231" t="s">
        <v>49</v>
      </c>
      <c r="B2231">
        <v>2024</v>
      </c>
      <c r="C2231" t="s">
        <v>13</v>
      </c>
      <c r="D2231" s="35">
        <v>67102010.109999992</v>
      </c>
      <c r="E2231" s="35">
        <v>900464</v>
      </c>
      <c r="F2231" s="35">
        <v>48752248.590000011</v>
      </c>
    </row>
    <row r="2232" spans="1:6" x14ac:dyDescent="0.3">
      <c r="A2232" t="s">
        <v>49</v>
      </c>
      <c r="B2232">
        <v>2024</v>
      </c>
      <c r="C2232" t="s">
        <v>16</v>
      </c>
      <c r="D2232" s="35">
        <v>17217171.670000002</v>
      </c>
      <c r="E2232" s="35">
        <v>72701</v>
      </c>
      <c r="F2232" s="35">
        <v>15673261.050000001</v>
      </c>
    </row>
    <row r="2233" spans="1:6" x14ac:dyDescent="0.3">
      <c r="A2233" t="s">
        <v>49</v>
      </c>
      <c r="B2233">
        <v>2024</v>
      </c>
      <c r="C2233" t="s">
        <v>14</v>
      </c>
      <c r="D2233" s="35">
        <v>87601422.510000005</v>
      </c>
      <c r="E2233" s="35">
        <v>1078042</v>
      </c>
      <c r="F2233" s="35">
        <v>63609718.630000003</v>
      </c>
    </row>
    <row r="2234" spans="1:6" x14ac:dyDescent="0.3">
      <c r="A2234" t="s">
        <v>49</v>
      </c>
      <c r="B2234">
        <v>2024</v>
      </c>
      <c r="C2234" t="s">
        <v>7</v>
      </c>
      <c r="D2234" s="35">
        <v>192071741.05999991</v>
      </c>
      <c r="E2234" s="35">
        <v>59772</v>
      </c>
      <c r="F2234" s="35">
        <v>191780487.91</v>
      </c>
    </row>
    <row r="2235" spans="1:6" x14ac:dyDescent="0.3">
      <c r="A2235" t="s">
        <v>49</v>
      </c>
      <c r="B2235">
        <v>2024</v>
      </c>
      <c r="C2235" t="s">
        <v>11</v>
      </c>
      <c r="D2235" s="35">
        <v>81538541.040000007</v>
      </c>
      <c r="E2235" s="35">
        <v>82345</v>
      </c>
      <c r="F2235" s="35">
        <v>79484833.950000018</v>
      </c>
    </row>
    <row r="2236" spans="1:6" x14ac:dyDescent="0.3">
      <c r="A2236" t="s">
        <v>49</v>
      </c>
      <c r="B2236">
        <v>2024</v>
      </c>
      <c r="C2236" t="s">
        <v>3</v>
      </c>
      <c r="D2236" s="35">
        <v>424064140.75000012</v>
      </c>
      <c r="E2236" s="35">
        <v>872831</v>
      </c>
      <c r="F2236" s="35">
        <v>407469402.61000001</v>
      </c>
    </row>
    <row r="2237" spans="1:6" x14ac:dyDescent="0.3">
      <c r="A2237" t="s">
        <v>49</v>
      </c>
      <c r="B2237">
        <v>2024</v>
      </c>
      <c r="C2237" t="s">
        <v>12</v>
      </c>
      <c r="D2237" s="35">
        <v>97538617.590000018</v>
      </c>
      <c r="E2237" s="35">
        <v>2124356</v>
      </c>
      <c r="F2237" s="35">
        <v>61900542.399999999</v>
      </c>
    </row>
    <row r="2238" spans="1:6" x14ac:dyDescent="0.3">
      <c r="A2238" t="s">
        <v>49</v>
      </c>
      <c r="B2238">
        <v>2024</v>
      </c>
      <c r="C2238" t="s">
        <v>2</v>
      </c>
      <c r="D2238" s="35">
        <v>567812015.47000003</v>
      </c>
      <c r="E2238" s="35">
        <v>4483457</v>
      </c>
      <c r="F2238" s="35">
        <v>484454984.18000001</v>
      </c>
    </row>
    <row r="2239" spans="1:6" x14ac:dyDescent="0.3">
      <c r="A2239" t="s">
        <v>49</v>
      </c>
      <c r="B2239">
        <v>2024</v>
      </c>
      <c r="C2239" t="s">
        <v>5</v>
      </c>
      <c r="D2239" s="35">
        <v>73064020.129999995</v>
      </c>
      <c r="E2239" s="35">
        <v>58738</v>
      </c>
      <c r="F2239" s="35">
        <v>68044844.090000004</v>
      </c>
    </row>
    <row r="2240" spans="1:6" x14ac:dyDescent="0.3">
      <c r="A2240" t="s">
        <v>49</v>
      </c>
      <c r="B2240">
        <v>2024</v>
      </c>
      <c r="C2240" t="s">
        <v>17</v>
      </c>
      <c r="D2240" s="35">
        <v>6072530.6800000006</v>
      </c>
      <c r="E2240" s="35">
        <v>241088</v>
      </c>
      <c r="F2240" s="35">
        <v>677276.06</v>
      </c>
    </row>
    <row r="2241" spans="1:6" x14ac:dyDescent="0.3">
      <c r="A2241" t="s">
        <v>49</v>
      </c>
      <c r="B2241">
        <v>2024</v>
      </c>
      <c r="C2241" t="s">
        <v>9</v>
      </c>
      <c r="D2241" s="35">
        <v>100769486.15000001</v>
      </c>
      <c r="E2241" s="35">
        <v>1649513</v>
      </c>
      <c r="F2241" s="35">
        <v>66749074.059999987</v>
      </c>
    </row>
    <row r="2242" spans="1:6" x14ac:dyDescent="0.3">
      <c r="A2242" t="s">
        <v>49</v>
      </c>
      <c r="B2242">
        <v>2024</v>
      </c>
      <c r="C2242" t="s">
        <v>8</v>
      </c>
      <c r="D2242" s="35">
        <v>81016381.430000007</v>
      </c>
      <c r="E2242" s="35">
        <v>3927</v>
      </c>
      <c r="F2242" s="35">
        <v>81016381.430000007</v>
      </c>
    </row>
    <row r="2243" spans="1:6" x14ac:dyDescent="0.3">
      <c r="A2243" t="s">
        <v>49</v>
      </c>
      <c r="B2243">
        <v>2024</v>
      </c>
      <c r="C2243" t="s">
        <v>6</v>
      </c>
      <c r="D2243" s="35">
        <v>137291532.75999999</v>
      </c>
      <c r="E2243" s="35">
        <v>2321027</v>
      </c>
      <c r="F2243" s="35">
        <v>94052652.039999992</v>
      </c>
    </row>
    <row r="2244" spans="1:6" x14ac:dyDescent="0.3">
      <c r="A2244" t="s">
        <v>49</v>
      </c>
      <c r="B2244">
        <v>2024</v>
      </c>
      <c r="C2244" t="s">
        <v>15</v>
      </c>
      <c r="D2244" s="35">
        <v>24768028.739999991</v>
      </c>
      <c r="E2244" s="35">
        <v>412757</v>
      </c>
      <c r="F2244" s="35">
        <v>11432477.85</v>
      </c>
    </row>
    <row r="2245" spans="1:6" x14ac:dyDescent="0.3">
      <c r="A2245" t="s">
        <v>49</v>
      </c>
      <c r="B2245">
        <v>2024</v>
      </c>
      <c r="C2245" t="s">
        <v>18</v>
      </c>
      <c r="D2245" s="35">
        <v>15797919.57</v>
      </c>
      <c r="E2245" s="35">
        <v>72620</v>
      </c>
      <c r="F2245" s="35">
        <v>13690531.65</v>
      </c>
    </row>
    <row r="2246" spans="1:6" x14ac:dyDescent="0.3">
      <c r="A2246" t="s">
        <v>49</v>
      </c>
      <c r="B2246">
        <v>2025</v>
      </c>
      <c r="C2246" t="s">
        <v>10</v>
      </c>
      <c r="D2246" s="35">
        <v>117954212.55</v>
      </c>
      <c r="E2246" s="35">
        <v>3067249</v>
      </c>
      <c r="F2246" s="35">
        <v>84962005.329999998</v>
      </c>
    </row>
    <row r="2247" spans="1:6" x14ac:dyDescent="0.3">
      <c r="A2247" t="s">
        <v>49</v>
      </c>
      <c r="B2247">
        <v>2025</v>
      </c>
      <c r="C2247" t="s">
        <v>4</v>
      </c>
      <c r="D2247" s="35">
        <v>348636529.55999988</v>
      </c>
      <c r="E2247" s="35">
        <v>855389</v>
      </c>
      <c r="F2247" s="35">
        <v>345730781.56</v>
      </c>
    </row>
    <row r="2248" spans="1:6" x14ac:dyDescent="0.3">
      <c r="A2248" t="s">
        <v>49</v>
      </c>
      <c r="B2248">
        <v>2025</v>
      </c>
      <c r="C2248" t="s">
        <v>13</v>
      </c>
      <c r="D2248" s="35">
        <v>73688072.899999991</v>
      </c>
      <c r="E2248" s="35">
        <v>907379</v>
      </c>
      <c r="F2248" s="35">
        <v>54979665.919999987</v>
      </c>
    </row>
    <row r="2249" spans="1:6" x14ac:dyDescent="0.3">
      <c r="A2249" t="s">
        <v>49</v>
      </c>
      <c r="B2249">
        <v>2025</v>
      </c>
      <c r="C2249" t="s">
        <v>16</v>
      </c>
      <c r="D2249" s="35">
        <v>16263362.199999999</v>
      </c>
      <c r="E2249" s="35">
        <v>69376</v>
      </c>
      <c r="F2249" s="35">
        <v>14217109.970000001</v>
      </c>
    </row>
    <row r="2250" spans="1:6" x14ac:dyDescent="0.3">
      <c r="A2250" t="s">
        <v>49</v>
      </c>
      <c r="B2250">
        <v>2025</v>
      </c>
      <c r="C2250" t="s">
        <v>14</v>
      </c>
      <c r="D2250" s="35">
        <v>88306943.949999988</v>
      </c>
      <c r="E2250" s="35">
        <v>1102884</v>
      </c>
      <c r="F2250" s="35">
        <v>63129577.509999998</v>
      </c>
    </row>
    <row r="2251" spans="1:6" x14ac:dyDescent="0.3">
      <c r="A2251" t="s">
        <v>49</v>
      </c>
      <c r="B2251">
        <v>2025</v>
      </c>
      <c r="C2251" t="s">
        <v>7</v>
      </c>
      <c r="D2251" s="35">
        <v>189080377.63999999</v>
      </c>
      <c r="E2251" s="35">
        <v>57360</v>
      </c>
      <c r="F2251" s="35">
        <v>188592488.71000001</v>
      </c>
    </row>
    <row r="2252" spans="1:6" x14ac:dyDescent="0.3">
      <c r="A2252" t="s">
        <v>49</v>
      </c>
      <c r="B2252">
        <v>2025</v>
      </c>
      <c r="C2252" t="s">
        <v>11</v>
      </c>
      <c r="D2252" s="35">
        <v>93143239.00999999</v>
      </c>
      <c r="E2252" s="35">
        <v>85912</v>
      </c>
      <c r="F2252" s="35">
        <v>90472825.050000012</v>
      </c>
    </row>
    <row r="2253" spans="1:6" x14ac:dyDescent="0.3">
      <c r="A2253" t="s">
        <v>49</v>
      </c>
      <c r="B2253">
        <v>2025</v>
      </c>
      <c r="C2253" t="s">
        <v>3</v>
      </c>
      <c r="D2253" s="35">
        <v>476280125.05000001</v>
      </c>
      <c r="E2253" s="35">
        <v>845994</v>
      </c>
      <c r="F2253" s="35">
        <v>451472337.60000002</v>
      </c>
    </row>
    <row r="2254" spans="1:6" x14ac:dyDescent="0.3">
      <c r="A2254" t="s">
        <v>49</v>
      </c>
      <c r="B2254">
        <v>2025</v>
      </c>
      <c r="C2254" t="s">
        <v>12</v>
      </c>
      <c r="D2254" s="35">
        <v>82388628.12000002</v>
      </c>
      <c r="E2254" s="35">
        <v>1996950</v>
      </c>
      <c r="F2254" s="35">
        <v>46769968.009999998</v>
      </c>
    </row>
    <row r="2255" spans="1:6" x14ac:dyDescent="0.3">
      <c r="A2255" t="s">
        <v>49</v>
      </c>
      <c r="B2255">
        <v>2025</v>
      </c>
      <c r="C2255" t="s">
        <v>2</v>
      </c>
      <c r="D2255" s="35">
        <v>572245708.70000017</v>
      </c>
      <c r="E2255" s="35">
        <v>4398775</v>
      </c>
      <c r="F2255" s="35">
        <v>481078842.11000001</v>
      </c>
    </row>
    <row r="2256" spans="1:6" x14ac:dyDescent="0.3">
      <c r="A2256" t="s">
        <v>49</v>
      </c>
      <c r="B2256">
        <v>2025</v>
      </c>
      <c r="C2256" t="s">
        <v>5</v>
      </c>
      <c r="D2256" s="35">
        <v>81248781.289999992</v>
      </c>
      <c r="E2256" s="35">
        <v>61942</v>
      </c>
      <c r="F2256" s="35">
        <v>74835980.459999979</v>
      </c>
    </row>
    <row r="2257" spans="1:6" x14ac:dyDescent="0.3">
      <c r="A2257" t="s">
        <v>49</v>
      </c>
      <c r="B2257">
        <v>2025</v>
      </c>
      <c r="C2257" t="s">
        <v>17</v>
      </c>
      <c r="D2257" s="35">
        <v>6029304.9099999992</v>
      </c>
      <c r="E2257" s="35">
        <v>225670</v>
      </c>
      <c r="F2257" s="35">
        <v>673755.46000000008</v>
      </c>
    </row>
    <row r="2258" spans="1:6" x14ac:dyDescent="0.3">
      <c r="A2258" t="s">
        <v>49</v>
      </c>
      <c r="B2258">
        <v>2025</v>
      </c>
      <c r="C2258" t="s">
        <v>9</v>
      </c>
      <c r="D2258" s="35">
        <v>96824739.060000002</v>
      </c>
      <c r="E2258" s="35">
        <v>1590893</v>
      </c>
      <c r="F2258" s="35">
        <v>51131726.970000014</v>
      </c>
    </row>
    <row r="2259" spans="1:6" x14ac:dyDescent="0.3">
      <c r="A2259" t="s">
        <v>49</v>
      </c>
      <c r="B2259">
        <v>2025</v>
      </c>
      <c r="C2259" t="s">
        <v>8</v>
      </c>
      <c r="D2259" s="35">
        <v>71633486.029999986</v>
      </c>
      <c r="E2259" s="35">
        <v>3162</v>
      </c>
      <c r="F2259" s="35">
        <v>71257120.339999989</v>
      </c>
    </row>
    <row r="2260" spans="1:6" x14ac:dyDescent="0.3">
      <c r="A2260" t="s">
        <v>49</v>
      </c>
      <c r="B2260">
        <v>2025</v>
      </c>
      <c r="C2260" t="s">
        <v>6</v>
      </c>
      <c r="D2260" s="35">
        <v>136721165.33000001</v>
      </c>
      <c r="E2260" s="35">
        <v>2201741</v>
      </c>
      <c r="F2260" s="35">
        <v>91413361.019999996</v>
      </c>
    </row>
    <row r="2261" spans="1:6" x14ac:dyDescent="0.3">
      <c r="A2261" t="s">
        <v>49</v>
      </c>
      <c r="B2261">
        <v>2025</v>
      </c>
      <c r="C2261" t="s">
        <v>15</v>
      </c>
      <c r="D2261" s="35">
        <v>27955697.800000001</v>
      </c>
      <c r="E2261" s="35">
        <v>356420</v>
      </c>
      <c r="F2261" s="35">
        <v>16667034</v>
      </c>
    </row>
    <row r="2262" spans="1:6" x14ac:dyDescent="0.3">
      <c r="A2262" t="s">
        <v>49</v>
      </c>
      <c r="B2262">
        <v>2025</v>
      </c>
      <c r="C2262" t="s">
        <v>18</v>
      </c>
      <c r="D2262" s="35">
        <v>12103735.449999999</v>
      </c>
      <c r="E2262" s="35">
        <v>71616</v>
      </c>
      <c r="F2262" s="35">
        <v>7985476.1300000008</v>
      </c>
    </row>
    <row r="2263" spans="1:6" x14ac:dyDescent="0.3">
      <c r="A2263" t="s">
        <v>50</v>
      </c>
      <c r="B2263">
        <v>2019</v>
      </c>
      <c r="C2263" t="s">
        <v>10</v>
      </c>
      <c r="D2263" s="35">
        <v>57123647.040000007</v>
      </c>
      <c r="E2263" s="35">
        <v>2748195</v>
      </c>
      <c r="F2263" s="35">
        <v>29158309.879999999</v>
      </c>
    </row>
    <row r="2264" spans="1:6" x14ac:dyDescent="0.3">
      <c r="A2264" t="s">
        <v>50</v>
      </c>
      <c r="B2264">
        <v>2019</v>
      </c>
      <c r="C2264" t="s">
        <v>4</v>
      </c>
      <c r="D2264" s="35">
        <v>154200992.91999999</v>
      </c>
      <c r="E2264" s="35">
        <v>696872</v>
      </c>
      <c r="F2264" s="35">
        <v>150706293.52000001</v>
      </c>
    </row>
    <row r="2265" spans="1:6" x14ac:dyDescent="0.3">
      <c r="A2265" t="s">
        <v>50</v>
      </c>
      <c r="B2265">
        <v>2019</v>
      </c>
      <c r="C2265" t="s">
        <v>13</v>
      </c>
      <c r="D2265" s="35">
        <v>52156500.859999999</v>
      </c>
      <c r="E2265" s="35">
        <v>765455</v>
      </c>
      <c r="F2265" s="35">
        <v>35141214.650000013</v>
      </c>
    </row>
    <row r="2266" spans="1:6" x14ac:dyDescent="0.3">
      <c r="A2266" t="s">
        <v>50</v>
      </c>
      <c r="B2266">
        <v>2019</v>
      </c>
      <c r="C2266" t="s">
        <v>16</v>
      </c>
      <c r="D2266" s="35">
        <v>17900233.199999999</v>
      </c>
      <c r="E2266" s="35">
        <v>92896</v>
      </c>
      <c r="F2266" s="35">
        <v>14684036.27</v>
      </c>
    </row>
    <row r="2267" spans="1:6" x14ac:dyDescent="0.3">
      <c r="A2267" t="s">
        <v>50</v>
      </c>
      <c r="B2267">
        <v>2019</v>
      </c>
      <c r="C2267" t="s">
        <v>14</v>
      </c>
      <c r="D2267" s="35">
        <v>30891996.199999999</v>
      </c>
      <c r="E2267" s="35">
        <v>934337</v>
      </c>
      <c r="F2267" s="35">
        <v>18943999.079999998</v>
      </c>
    </row>
    <row r="2268" spans="1:6" x14ac:dyDescent="0.3">
      <c r="A2268" t="s">
        <v>50</v>
      </c>
      <c r="B2268">
        <v>2019</v>
      </c>
      <c r="C2268" t="s">
        <v>7</v>
      </c>
      <c r="D2268" s="35">
        <v>120870501.29000001</v>
      </c>
      <c r="E2268" s="35">
        <v>58689</v>
      </c>
      <c r="F2268" s="35">
        <v>120021787.90000001</v>
      </c>
    </row>
    <row r="2269" spans="1:6" x14ac:dyDescent="0.3">
      <c r="A2269" t="s">
        <v>50</v>
      </c>
      <c r="B2269">
        <v>2019</v>
      </c>
      <c r="C2269" t="s">
        <v>11</v>
      </c>
      <c r="D2269" s="35">
        <v>34210277.07</v>
      </c>
      <c r="E2269" s="35">
        <v>60886</v>
      </c>
      <c r="F2269" s="35">
        <v>33025554.41</v>
      </c>
    </row>
    <row r="2270" spans="1:6" x14ac:dyDescent="0.3">
      <c r="A2270" t="s">
        <v>50</v>
      </c>
      <c r="B2270">
        <v>2019</v>
      </c>
      <c r="C2270" t="s">
        <v>3</v>
      </c>
      <c r="D2270" s="35">
        <v>173781429.09999999</v>
      </c>
      <c r="E2270" s="35">
        <v>541956</v>
      </c>
      <c r="F2270" s="35">
        <v>165192616.53999999</v>
      </c>
    </row>
    <row r="2271" spans="1:6" x14ac:dyDescent="0.3">
      <c r="A2271" t="s">
        <v>50</v>
      </c>
      <c r="B2271">
        <v>2019</v>
      </c>
      <c r="C2271" t="s">
        <v>12</v>
      </c>
      <c r="D2271" s="35">
        <v>192589041.58000001</v>
      </c>
      <c r="E2271" s="35">
        <v>1308222</v>
      </c>
      <c r="F2271" s="35">
        <v>164630417.74000001</v>
      </c>
    </row>
    <row r="2272" spans="1:6" x14ac:dyDescent="0.3">
      <c r="A2272" t="s">
        <v>50</v>
      </c>
      <c r="B2272">
        <v>2019</v>
      </c>
      <c r="C2272" t="s">
        <v>2</v>
      </c>
      <c r="D2272" s="35">
        <v>340965568.55000007</v>
      </c>
      <c r="E2272" s="35">
        <v>4602484</v>
      </c>
      <c r="F2272" s="35">
        <v>261559338.36000001</v>
      </c>
    </row>
    <row r="2273" spans="1:6" x14ac:dyDescent="0.3">
      <c r="A2273" t="s">
        <v>50</v>
      </c>
      <c r="B2273">
        <v>2019</v>
      </c>
      <c r="C2273" t="s">
        <v>5</v>
      </c>
      <c r="D2273" s="35">
        <v>74124626.929999992</v>
      </c>
      <c r="E2273" s="35">
        <v>57054</v>
      </c>
      <c r="F2273" s="35">
        <v>68282728.350000009</v>
      </c>
    </row>
    <row r="2274" spans="1:6" x14ac:dyDescent="0.3">
      <c r="A2274" t="s">
        <v>50</v>
      </c>
      <c r="B2274">
        <v>2019</v>
      </c>
      <c r="C2274" t="s">
        <v>17</v>
      </c>
      <c r="D2274" s="35">
        <v>5518761.0599999996</v>
      </c>
      <c r="E2274" s="35">
        <v>241222</v>
      </c>
      <c r="F2274" s="35">
        <v>950412.72000000009</v>
      </c>
    </row>
    <row r="2275" spans="1:6" x14ac:dyDescent="0.3">
      <c r="A2275" t="s">
        <v>50</v>
      </c>
      <c r="B2275">
        <v>2019</v>
      </c>
      <c r="C2275" t="s">
        <v>9</v>
      </c>
      <c r="D2275" s="35">
        <v>161664628.75</v>
      </c>
      <c r="E2275" s="35">
        <v>1811484</v>
      </c>
      <c r="F2275" s="35">
        <v>140088134.77000001</v>
      </c>
    </row>
    <row r="2276" spans="1:6" x14ac:dyDescent="0.3">
      <c r="A2276" t="s">
        <v>50</v>
      </c>
      <c r="B2276">
        <v>2019</v>
      </c>
      <c r="C2276" t="s">
        <v>8</v>
      </c>
      <c r="D2276" s="35">
        <v>21613057.629999999</v>
      </c>
      <c r="E2276" s="35">
        <v>2954</v>
      </c>
      <c r="F2276" s="35">
        <v>21613057.629999999</v>
      </c>
    </row>
    <row r="2277" spans="1:6" x14ac:dyDescent="0.3">
      <c r="A2277" t="s">
        <v>50</v>
      </c>
      <c r="B2277">
        <v>2019</v>
      </c>
      <c r="C2277" t="s">
        <v>6</v>
      </c>
      <c r="D2277" s="35">
        <v>167805042.68000001</v>
      </c>
      <c r="E2277" s="35">
        <v>1989134</v>
      </c>
      <c r="F2277" s="35">
        <v>143433403.47999999</v>
      </c>
    </row>
    <row r="2278" spans="1:6" x14ac:dyDescent="0.3">
      <c r="A2278" t="s">
        <v>50</v>
      </c>
      <c r="B2278">
        <v>2019</v>
      </c>
      <c r="C2278" t="s">
        <v>15</v>
      </c>
      <c r="D2278" s="35">
        <v>52354462.68999999</v>
      </c>
      <c r="E2278" s="35">
        <v>1550273</v>
      </c>
      <c r="F2278" s="35">
        <v>28451426.59</v>
      </c>
    </row>
    <row r="2279" spans="1:6" x14ac:dyDescent="0.3">
      <c r="A2279" t="s">
        <v>50</v>
      </c>
      <c r="B2279">
        <v>2019</v>
      </c>
      <c r="C2279" t="s">
        <v>18</v>
      </c>
      <c r="D2279" s="35">
        <v>7051142.3099999996</v>
      </c>
      <c r="E2279" s="35">
        <v>61136</v>
      </c>
      <c r="F2279" s="35">
        <v>4902008.0999999996</v>
      </c>
    </row>
    <row r="2280" spans="1:6" x14ac:dyDescent="0.3">
      <c r="A2280" t="s">
        <v>50</v>
      </c>
      <c r="B2280">
        <v>2020</v>
      </c>
      <c r="C2280" t="s">
        <v>10</v>
      </c>
      <c r="D2280" s="35">
        <v>66212044.299999997</v>
      </c>
      <c r="E2280" s="35">
        <v>2655217</v>
      </c>
      <c r="F2280" s="35">
        <v>36388073.049999997</v>
      </c>
    </row>
    <row r="2281" spans="1:6" x14ac:dyDescent="0.3">
      <c r="A2281" t="s">
        <v>50</v>
      </c>
      <c r="B2281">
        <v>2020</v>
      </c>
      <c r="C2281" t="s">
        <v>4</v>
      </c>
      <c r="D2281" s="35">
        <v>187040881.76000011</v>
      </c>
      <c r="E2281" s="35">
        <v>705866</v>
      </c>
      <c r="F2281" s="35">
        <v>183378341.56999999</v>
      </c>
    </row>
    <row r="2282" spans="1:6" x14ac:dyDescent="0.3">
      <c r="A2282" t="s">
        <v>50</v>
      </c>
      <c r="B2282">
        <v>2020</v>
      </c>
      <c r="C2282" t="s">
        <v>13</v>
      </c>
      <c r="D2282" s="35">
        <v>53062163.789999992</v>
      </c>
      <c r="E2282" s="35">
        <v>744720</v>
      </c>
      <c r="F2282" s="35">
        <v>35294827</v>
      </c>
    </row>
    <row r="2283" spans="1:6" x14ac:dyDescent="0.3">
      <c r="A2283" t="s">
        <v>50</v>
      </c>
      <c r="B2283">
        <v>2020</v>
      </c>
      <c r="C2283" t="s">
        <v>16</v>
      </c>
      <c r="D2283" s="35">
        <v>19607600.16</v>
      </c>
      <c r="E2283" s="35">
        <v>91770</v>
      </c>
      <c r="F2283" s="35">
        <v>16268393.689999999</v>
      </c>
    </row>
    <row r="2284" spans="1:6" x14ac:dyDescent="0.3">
      <c r="A2284" t="s">
        <v>50</v>
      </c>
      <c r="B2284">
        <v>2020</v>
      </c>
      <c r="C2284" t="s">
        <v>14</v>
      </c>
      <c r="D2284" s="35">
        <v>37663220.729999997</v>
      </c>
      <c r="E2284" s="35">
        <v>1028782</v>
      </c>
      <c r="F2284" s="35">
        <v>21626526.940000001</v>
      </c>
    </row>
    <row r="2285" spans="1:6" x14ac:dyDescent="0.3">
      <c r="A2285" t="s">
        <v>50</v>
      </c>
      <c r="B2285">
        <v>2020</v>
      </c>
      <c r="C2285" t="s">
        <v>7</v>
      </c>
      <c r="D2285" s="35">
        <v>142122859.13</v>
      </c>
      <c r="E2285" s="35">
        <v>56183</v>
      </c>
      <c r="F2285" s="35">
        <v>140010195.90000001</v>
      </c>
    </row>
    <row r="2286" spans="1:6" x14ac:dyDescent="0.3">
      <c r="A2286" t="s">
        <v>50</v>
      </c>
      <c r="B2286">
        <v>2020</v>
      </c>
      <c r="C2286" t="s">
        <v>11</v>
      </c>
      <c r="D2286" s="35">
        <v>40976452.089999989</v>
      </c>
      <c r="E2286" s="35">
        <v>70532</v>
      </c>
      <c r="F2286" s="35">
        <v>38927706.810000017</v>
      </c>
    </row>
    <row r="2287" spans="1:6" x14ac:dyDescent="0.3">
      <c r="A2287" t="s">
        <v>50</v>
      </c>
      <c r="B2287">
        <v>2020</v>
      </c>
      <c r="C2287" t="s">
        <v>3</v>
      </c>
      <c r="D2287" s="35">
        <v>238753541.13</v>
      </c>
      <c r="E2287" s="35">
        <v>511914</v>
      </c>
      <c r="F2287" s="35">
        <v>229441954.41</v>
      </c>
    </row>
    <row r="2288" spans="1:6" x14ac:dyDescent="0.3">
      <c r="A2288" t="s">
        <v>50</v>
      </c>
      <c r="B2288">
        <v>2020</v>
      </c>
      <c r="C2288" t="s">
        <v>12</v>
      </c>
      <c r="D2288" s="35">
        <v>98233538.179999992</v>
      </c>
      <c r="E2288" s="35">
        <v>1134280</v>
      </c>
      <c r="F2288" s="35">
        <v>71612342.50999999</v>
      </c>
    </row>
    <row r="2289" spans="1:6" x14ac:dyDescent="0.3">
      <c r="A2289" t="s">
        <v>50</v>
      </c>
      <c r="B2289">
        <v>2020</v>
      </c>
      <c r="C2289" t="s">
        <v>2</v>
      </c>
      <c r="D2289" s="35">
        <v>369286385.08999997</v>
      </c>
      <c r="E2289" s="35">
        <v>4748510</v>
      </c>
      <c r="F2289" s="35">
        <v>287355994.63999999</v>
      </c>
    </row>
    <row r="2290" spans="1:6" x14ac:dyDescent="0.3">
      <c r="A2290" t="s">
        <v>50</v>
      </c>
      <c r="B2290">
        <v>2020</v>
      </c>
      <c r="C2290" t="s">
        <v>5</v>
      </c>
      <c r="D2290" s="35">
        <v>91696406.11999999</v>
      </c>
      <c r="E2290" s="35">
        <v>58134</v>
      </c>
      <c r="F2290" s="35">
        <v>86598913.549999997</v>
      </c>
    </row>
    <row r="2291" spans="1:6" x14ac:dyDescent="0.3">
      <c r="A2291" t="s">
        <v>50</v>
      </c>
      <c r="B2291">
        <v>2020</v>
      </c>
      <c r="C2291" t="s">
        <v>17</v>
      </c>
      <c r="D2291" s="35">
        <v>5044672.5</v>
      </c>
      <c r="E2291" s="35">
        <v>247719</v>
      </c>
      <c r="F2291" s="35">
        <v>599621.64999999991</v>
      </c>
    </row>
    <row r="2292" spans="1:6" x14ac:dyDescent="0.3">
      <c r="A2292" t="s">
        <v>50</v>
      </c>
      <c r="B2292">
        <v>2020</v>
      </c>
      <c r="C2292" t="s">
        <v>9</v>
      </c>
      <c r="D2292" s="35">
        <v>176379005.27000001</v>
      </c>
      <c r="E2292" s="35">
        <v>1783631</v>
      </c>
      <c r="F2292" s="35">
        <v>154900790.5999999</v>
      </c>
    </row>
    <row r="2293" spans="1:6" x14ac:dyDescent="0.3">
      <c r="A2293" t="s">
        <v>50</v>
      </c>
      <c r="B2293">
        <v>2020</v>
      </c>
      <c r="C2293" t="s">
        <v>8</v>
      </c>
      <c r="D2293" s="35">
        <v>34868527.140000001</v>
      </c>
      <c r="E2293" s="35">
        <v>3539</v>
      </c>
      <c r="F2293" s="35">
        <v>34868527.140000001</v>
      </c>
    </row>
    <row r="2294" spans="1:6" x14ac:dyDescent="0.3">
      <c r="A2294" t="s">
        <v>50</v>
      </c>
      <c r="B2294">
        <v>2020</v>
      </c>
      <c r="C2294" t="s">
        <v>6</v>
      </c>
      <c r="D2294" s="35">
        <v>173402927.55000001</v>
      </c>
      <c r="E2294" s="35">
        <v>2012847</v>
      </c>
      <c r="F2294" s="35">
        <v>144377613.93000001</v>
      </c>
    </row>
    <row r="2295" spans="1:6" x14ac:dyDescent="0.3">
      <c r="A2295" t="s">
        <v>50</v>
      </c>
      <c r="B2295">
        <v>2020</v>
      </c>
      <c r="C2295" t="s">
        <v>15</v>
      </c>
      <c r="D2295" s="35">
        <v>41923833.319999993</v>
      </c>
      <c r="E2295" s="35">
        <v>1246274</v>
      </c>
      <c r="F2295" s="35">
        <v>21172950.460000001</v>
      </c>
    </row>
    <row r="2296" spans="1:6" x14ac:dyDescent="0.3">
      <c r="A2296" t="s">
        <v>50</v>
      </c>
      <c r="B2296">
        <v>2020</v>
      </c>
      <c r="C2296" t="s">
        <v>18</v>
      </c>
      <c r="D2296" s="35">
        <v>8580113.7200000007</v>
      </c>
      <c r="E2296" s="35">
        <v>61291</v>
      </c>
      <c r="F2296" s="35">
        <v>6380711.0899999999</v>
      </c>
    </row>
    <row r="2297" spans="1:6" x14ac:dyDescent="0.3">
      <c r="A2297" t="s">
        <v>50</v>
      </c>
      <c r="B2297">
        <v>2021</v>
      </c>
      <c r="C2297" t="s">
        <v>10</v>
      </c>
      <c r="D2297" s="35">
        <v>79096142.359999999</v>
      </c>
      <c r="E2297" s="35">
        <v>2414612</v>
      </c>
      <c r="F2297" s="35">
        <v>48742169.460000001</v>
      </c>
    </row>
    <row r="2298" spans="1:6" x14ac:dyDescent="0.3">
      <c r="A2298" t="s">
        <v>50</v>
      </c>
      <c r="B2298">
        <v>2021</v>
      </c>
      <c r="C2298" t="s">
        <v>4</v>
      </c>
      <c r="D2298" s="35">
        <v>257911654.38000011</v>
      </c>
      <c r="E2298" s="35">
        <v>674857</v>
      </c>
      <c r="F2298" s="35">
        <v>253381207.55000001</v>
      </c>
    </row>
    <row r="2299" spans="1:6" x14ac:dyDescent="0.3">
      <c r="A2299" t="s">
        <v>50</v>
      </c>
      <c r="B2299">
        <v>2021</v>
      </c>
      <c r="C2299" t="s">
        <v>13</v>
      </c>
      <c r="D2299" s="35">
        <v>58107101.340000004</v>
      </c>
      <c r="E2299" s="35">
        <v>754600</v>
      </c>
      <c r="F2299" s="35">
        <v>37018977.889999993</v>
      </c>
    </row>
    <row r="2300" spans="1:6" x14ac:dyDescent="0.3">
      <c r="A2300" t="s">
        <v>50</v>
      </c>
      <c r="B2300">
        <v>2021</v>
      </c>
      <c r="C2300" t="s">
        <v>16</v>
      </c>
      <c r="D2300" s="35">
        <v>25148126.600000001</v>
      </c>
      <c r="E2300" s="35">
        <v>100326</v>
      </c>
      <c r="F2300" s="35">
        <v>21207175.969999999</v>
      </c>
    </row>
    <row r="2301" spans="1:6" x14ac:dyDescent="0.3">
      <c r="A2301" t="s">
        <v>50</v>
      </c>
      <c r="B2301">
        <v>2021</v>
      </c>
      <c r="C2301" t="s">
        <v>14</v>
      </c>
      <c r="D2301" s="35">
        <v>45366100.840000004</v>
      </c>
      <c r="E2301" s="35">
        <v>1079168</v>
      </c>
      <c r="F2301" s="35">
        <v>27120181.370000001</v>
      </c>
    </row>
    <row r="2302" spans="1:6" x14ac:dyDescent="0.3">
      <c r="A2302" t="s">
        <v>50</v>
      </c>
      <c r="B2302">
        <v>2021</v>
      </c>
      <c r="C2302" t="s">
        <v>7</v>
      </c>
      <c r="D2302" s="35">
        <v>148562206.96000001</v>
      </c>
      <c r="E2302" s="35">
        <v>53790</v>
      </c>
      <c r="F2302" s="35">
        <v>142649020.05000001</v>
      </c>
    </row>
    <row r="2303" spans="1:6" x14ac:dyDescent="0.3">
      <c r="A2303" t="s">
        <v>50</v>
      </c>
      <c r="B2303">
        <v>2021</v>
      </c>
      <c r="C2303" t="s">
        <v>11</v>
      </c>
      <c r="D2303" s="35">
        <v>51482812.020000003</v>
      </c>
      <c r="E2303" s="35">
        <v>88397</v>
      </c>
      <c r="F2303" s="35">
        <v>49041542.279999986</v>
      </c>
    </row>
    <row r="2304" spans="1:6" x14ac:dyDescent="0.3">
      <c r="A2304" t="s">
        <v>50</v>
      </c>
      <c r="B2304">
        <v>2021</v>
      </c>
      <c r="C2304" t="s">
        <v>3</v>
      </c>
      <c r="D2304" s="35">
        <v>319112866.07999998</v>
      </c>
      <c r="E2304" s="35">
        <v>588286</v>
      </c>
      <c r="F2304" s="35">
        <v>309278750.63</v>
      </c>
    </row>
    <row r="2305" spans="1:6" x14ac:dyDescent="0.3">
      <c r="A2305" t="s">
        <v>50</v>
      </c>
      <c r="B2305">
        <v>2021</v>
      </c>
      <c r="C2305" t="s">
        <v>12</v>
      </c>
      <c r="D2305" s="35">
        <v>97458027.710000023</v>
      </c>
      <c r="E2305" s="35">
        <v>1208757</v>
      </c>
      <c r="F2305" s="35">
        <v>72433214.599999979</v>
      </c>
    </row>
    <row r="2306" spans="1:6" x14ac:dyDescent="0.3">
      <c r="A2306" t="s">
        <v>50</v>
      </c>
      <c r="B2306">
        <v>2021</v>
      </c>
      <c r="C2306" t="s">
        <v>2</v>
      </c>
      <c r="D2306" s="35">
        <v>407524339.67000002</v>
      </c>
      <c r="E2306" s="35">
        <v>4794879</v>
      </c>
      <c r="F2306" s="35">
        <v>329413339.47000003</v>
      </c>
    </row>
    <row r="2307" spans="1:6" x14ac:dyDescent="0.3">
      <c r="A2307" t="s">
        <v>50</v>
      </c>
      <c r="B2307">
        <v>2021</v>
      </c>
      <c r="C2307" t="s">
        <v>5</v>
      </c>
      <c r="D2307" s="35">
        <v>96587214.090000004</v>
      </c>
      <c r="E2307" s="35">
        <v>59807</v>
      </c>
      <c r="F2307" s="35">
        <v>90606756.879999995</v>
      </c>
    </row>
    <row r="2308" spans="1:6" x14ac:dyDescent="0.3">
      <c r="A2308" t="s">
        <v>50</v>
      </c>
      <c r="B2308">
        <v>2021</v>
      </c>
      <c r="C2308" t="s">
        <v>17</v>
      </c>
      <c r="D2308" s="35">
        <v>8505479.75</v>
      </c>
      <c r="E2308" s="35">
        <v>267241</v>
      </c>
      <c r="F2308" s="35">
        <v>1076774.5</v>
      </c>
    </row>
    <row r="2309" spans="1:6" x14ac:dyDescent="0.3">
      <c r="A2309" t="s">
        <v>50</v>
      </c>
      <c r="B2309">
        <v>2021</v>
      </c>
      <c r="C2309" t="s">
        <v>9</v>
      </c>
      <c r="D2309" s="35">
        <v>183710143.50999999</v>
      </c>
      <c r="E2309" s="35">
        <v>1919529</v>
      </c>
      <c r="F2309" s="35">
        <v>159593490.72999999</v>
      </c>
    </row>
    <row r="2310" spans="1:6" x14ac:dyDescent="0.3">
      <c r="A2310" t="s">
        <v>50</v>
      </c>
      <c r="B2310">
        <v>2021</v>
      </c>
      <c r="C2310" t="s">
        <v>8</v>
      </c>
      <c r="D2310" s="35">
        <v>40526820.630000003</v>
      </c>
      <c r="E2310" s="35">
        <v>2905</v>
      </c>
      <c r="F2310" s="35">
        <v>40526820.630000003</v>
      </c>
    </row>
    <row r="2311" spans="1:6" x14ac:dyDescent="0.3">
      <c r="A2311" t="s">
        <v>50</v>
      </c>
      <c r="B2311">
        <v>2021</v>
      </c>
      <c r="C2311" t="s">
        <v>6</v>
      </c>
      <c r="D2311" s="35">
        <v>206038442.97999999</v>
      </c>
      <c r="E2311" s="35">
        <v>2018051</v>
      </c>
      <c r="F2311" s="35">
        <v>180838282.45999989</v>
      </c>
    </row>
    <row r="2312" spans="1:6" x14ac:dyDescent="0.3">
      <c r="A2312" t="s">
        <v>50</v>
      </c>
      <c r="B2312">
        <v>2021</v>
      </c>
      <c r="C2312" t="s">
        <v>15</v>
      </c>
      <c r="D2312" s="35">
        <v>41377850.409999989</v>
      </c>
      <c r="E2312" s="35">
        <v>1019493</v>
      </c>
      <c r="F2312" s="35">
        <v>21747258.890000001</v>
      </c>
    </row>
    <row r="2313" spans="1:6" x14ac:dyDescent="0.3">
      <c r="A2313" t="s">
        <v>50</v>
      </c>
      <c r="B2313">
        <v>2021</v>
      </c>
      <c r="C2313" t="s">
        <v>18</v>
      </c>
      <c r="D2313" s="35">
        <v>8997542.1900000013</v>
      </c>
      <c r="E2313" s="35">
        <v>60369</v>
      </c>
      <c r="F2313" s="35">
        <v>6706162.3100000015</v>
      </c>
    </row>
    <row r="2314" spans="1:6" x14ac:dyDescent="0.3">
      <c r="A2314" t="s">
        <v>50</v>
      </c>
      <c r="B2314">
        <v>2022</v>
      </c>
      <c r="C2314" t="s">
        <v>10</v>
      </c>
      <c r="D2314" s="35">
        <v>86310607.299999997</v>
      </c>
      <c r="E2314" s="35">
        <v>2239736</v>
      </c>
      <c r="F2314" s="35">
        <v>55428612.36999999</v>
      </c>
    </row>
    <row r="2315" spans="1:6" x14ac:dyDescent="0.3">
      <c r="A2315" t="s">
        <v>50</v>
      </c>
      <c r="B2315">
        <v>2022</v>
      </c>
      <c r="C2315" t="s">
        <v>4</v>
      </c>
      <c r="D2315" s="35">
        <v>280416742.32999998</v>
      </c>
      <c r="E2315" s="35">
        <v>662580</v>
      </c>
      <c r="F2315" s="35">
        <v>275896712.74000001</v>
      </c>
    </row>
    <row r="2316" spans="1:6" x14ac:dyDescent="0.3">
      <c r="A2316" t="s">
        <v>50</v>
      </c>
      <c r="B2316">
        <v>2022</v>
      </c>
      <c r="C2316" t="s">
        <v>13</v>
      </c>
      <c r="D2316" s="35">
        <v>60839660.330000013</v>
      </c>
      <c r="E2316" s="35">
        <v>695490</v>
      </c>
      <c r="F2316" s="35">
        <v>40052111.139999993</v>
      </c>
    </row>
    <row r="2317" spans="1:6" x14ac:dyDescent="0.3">
      <c r="A2317" t="s">
        <v>50</v>
      </c>
      <c r="B2317">
        <v>2022</v>
      </c>
      <c r="C2317" t="s">
        <v>16</v>
      </c>
      <c r="D2317" s="35">
        <v>24328132.98</v>
      </c>
      <c r="E2317" s="35">
        <v>95060</v>
      </c>
      <c r="F2317" s="35">
        <v>20877106.670000002</v>
      </c>
    </row>
    <row r="2318" spans="1:6" x14ac:dyDescent="0.3">
      <c r="A2318" t="s">
        <v>50</v>
      </c>
      <c r="B2318">
        <v>2022</v>
      </c>
      <c r="C2318" t="s">
        <v>14</v>
      </c>
      <c r="D2318" s="35">
        <v>52534638.93</v>
      </c>
      <c r="E2318" s="35">
        <v>1097323</v>
      </c>
      <c r="F2318" s="35">
        <v>33964773.049999997</v>
      </c>
    </row>
    <row r="2319" spans="1:6" x14ac:dyDescent="0.3">
      <c r="A2319" t="s">
        <v>50</v>
      </c>
      <c r="B2319">
        <v>2022</v>
      </c>
      <c r="C2319" t="s">
        <v>7</v>
      </c>
      <c r="D2319" s="35">
        <v>141978126.94</v>
      </c>
      <c r="E2319" s="35">
        <v>50529</v>
      </c>
      <c r="F2319" s="35">
        <v>137787814.59</v>
      </c>
    </row>
    <row r="2320" spans="1:6" x14ac:dyDescent="0.3">
      <c r="A2320" t="s">
        <v>50</v>
      </c>
      <c r="B2320">
        <v>2022</v>
      </c>
      <c r="C2320" t="s">
        <v>11</v>
      </c>
      <c r="D2320" s="35">
        <v>54563009.869999997</v>
      </c>
      <c r="E2320" s="35">
        <v>100465</v>
      </c>
      <c r="F2320" s="35">
        <v>51644992.819999993</v>
      </c>
    </row>
    <row r="2321" spans="1:6" x14ac:dyDescent="0.3">
      <c r="A2321" t="s">
        <v>50</v>
      </c>
      <c r="B2321">
        <v>2022</v>
      </c>
      <c r="C2321" t="s">
        <v>3</v>
      </c>
      <c r="D2321" s="35">
        <v>393430842.25</v>
      </c>
      <c r="E2321" s="35">
        <v>630498</v>
      </c>
      <c r="F2321" s="35">
        <v>382797830.55999988</v>
      </c>
    </row>
    <row r="2322" spans="1:6" x14ac:dyDescent="0.3">
      <c r="A2322" t="s">
        <v>50</v>
      </c>
      <c r="B2322">
        <v>2022</v>
      </c>
      <c r="C2322" t="s">
        <v>12</v>
      </c>
      <c r="D2322" s="35">
        <v>97592602.730000004</v>
      </c>
      <c r="E2322" s="35">
        <v>1405883</v>
      </c>
      <c r="F2322" s="35">
        <v>70514877.390000001</v>
      </c>
    </row>
    <row r="2323" spans="1:6" x14ac:dyDescent="0.3">
      <c r="A2323" t="s">
        <v>50</v>
      </c>
      <c r="B2323">
        <v>2022</v>
      </c>
      <c r="C2323" t="s">
        <v>2</v>
      </c>
      <c r="D2323" s="35">
        <v>440106359.86999989</v>
      </c>
      <c r="E2323" s="35">
        <v>4734923</v>
      </c>
      <c r="F2323" s="35">
        <v>362874661.85000008</v>
      </c>
    </row>
    <row r="2324" spans="1:6" x14ac:dyDescent="0.3">
      <c r="A2324" t="s">
        <v>50</v>
      </c>
      <c r="B2324">
        <v>2022</v>
      </c>
      <c r="C2324" t="s">
        <v>5</v>
      </c>
      <c r="D2324" s="35">
        <v>113850143.77</v>
      </c>
      <c r="E2324" s="35">
        <v>59727</v>
      </c>
      <c r="F2324" s="35">
        <v>108925803.06999999</v>
      </c>
    </row>
    <row r="2325" spans="1:6" x14ac:dyDescent="0.3">
      <c r="A2325" t="s">
        <v>50</v>
      </c>
      <c r="B2325">
        <v>2022</v>
      </c>
      <c r="C2325" t="s">
        <v>17</v>
      </c>
      <c r="D2325" s="35">
        <v>6287553.0199999996</v>
      </c>
      <c r="E2325" s="35">
        <v>251161</v>
      </c>
      <c r="F2325" s="35">
        <v>1157828.51</v>
      </c>
    </row>
    <row r="2326" spans="1:6" x14ac:dyDescent="0.3">
      <c r="A2326" t="s">
        <v>50</v>
      </c>
      <c r="B2326">
        <v>2022</v>
      </c>
      <c r="C2326" t="s">
        <v>9</v>
      </c>
      <c r="D2326" s="35">
        <v>198662147.71999991</v>
      </c>
      <c r="E2326" s="35">
        <v>1996599</v>
      </c>
      <c r="F2326" s="35">
        <v>170914500.59</v>
      </c>
    </row>
    <row r="2327" spans="1:6" x14ac:dyDescent="0.3">
      <c r="A2327" t="s">
        <v>50</v>
      </c>
      <c r="B2327">
        <v>2022</v>
      </c>
      <c r="C2327" t="s">
        <v>8</v>
      </c>
      <c r="D2327" s="35">
        <v>64503836.380000003</v>
      </c>
      <c r="E2327" s="35">
        <v>3313</v>
      </c>
      <c r="F2327" s="35">
        <v>64295317.640000001</v>
      </c>
    </row>
    <row r="2328" spans="1:6" x14ac:dyDescent="0.3">
      <c r="A2328" t="s">
        <v>50</v>
      </c>
      <c r="B2328">
        <v>2022</v>
      </c>
      <c r="C2328" t="s">
        <v>6</v>
      </c>
      <c r="D2328" s="35">
        <v>216862897.28</v>
      </c>
      <c r="E2328" s="35">
        <v>2065588</v>
      </c>
      <c r="F2328" s="35">
        <v>193162969.15000001</v>
      </c>
    </row>
    <row r="2329" spans="1:6" x14ac:dyDescent="0.3">
      <c r="A2329" t="s">
        <v>50</v>
      </c>
      <c r="B2329">
        <v>2022</v>
      </c>
      <c r="C2329" t="s">
        <v>15</v>
      </c>
      <c r="D2329" s="35">
        <v>33388113.860000011</v>
      </c>
      <c r="E2329" s="35">
        <v>889847</v>
      </c>
      <c r="F2329" s="35">
        <v>16503185.48</v>
      </c>
    </row>
    <row r="2330" spans="1:6" x14ac:dyDescent="0.3">
      <c r="A2330" t="s">
        <v>50</v>
      </c>
      <c r="B2330">
        <v>2022</v>
      </c>
      <c r="C2330" t="s">
        <v>18</v>
      </c>
      <c r="D2330" s="35">
        <v>9631387.1600000001</v>
      </c>
      <c r="E2330" s="35">
        <v>56032</v>
      </c>
      <c r="F2330" s="35">
        <v>7464020.9899999993</v>
      </c>
    </row>
    <row r="2331" spans="1:6" x14ac:dyDescent="0.3">
      <c r="A2331" t="s">
        <v>50</v>
      </c>
      <c r="B2331">
        <v>2023</v>
      </c>
      <c r="C2331" t="s">
        <v>10</v>
      </c>
      <c r="D2331" s="35">
        <v>87674383.00999999</v>
      </c>
      <c r="E2331" s="35">
        <v>1822145</v>
      </c>
      <c r="F2331" s="35">
        <v>60427738.420000009</v>
      </c>
    </row>
    <row r="2332" spans="1:6" x14ac:dyDescent="0.3">
      <c r="A2332" t="s">
        <v>50</v>
      </c>
      <c r="B2332">
        <v>2023</v>
      </c>
      <c r="C2332" t="s">
        <v>4</v>
      </c>
      <c r="D2332" s="35">
        <v>334162485.75000012</v>
      </c>
      <c r="E2332" s="35">
        <v>678249</v>
      </c>
      <c r="F2332" s="35">
        <v>330413163.17000002</v>
      </c>
    </row>
    <row r="2333" spans="1:6" x14ac:dyDescent="0.3">
      <c r="A2333" t="s">
        <v>50</v>
      </c>
      <c r="B2333">
        <v>2023</v>
      </c>
      <c r="C2333" t="s">
        <v>13</v>
      </c>
      <c r="D2333" s="35">
        <v>59014046.829999998</v>
      </c>
      <c r="E2333" s="35">
        <v>600715</v>
      </c>
      <c r="F2333" s="35">
        <v>40486519.349999987</v>
      </c>
    </row>
    <row r="2334" spans="1:6" x14ac:dyDescent="0.3">
      <c r="A2334" t="s">
        <v>50</v>
      </c>
      <c r="B2334">
        <v>2023</v>
      </c>
      <c r="C2334" t="s">
        <v>16</v>
      </c>
      <c r="D2334" s="35">
        <v>24768375.570000011</v>
      </c>
      <c r="E2334" s="35">
        <v>83432</v>
      </c>
      <c r="F2334" s="35">
        <v>22472586.649999999</v>
      </c>
    </row>
    <row r="2335" spans="1:6" x14ac:dyDescent="0.3">
      <c r="A2335" t="s">
        <v>50</v>
      </c>
      <c r="B2335">
        <v>2023</v>
      </c>
      <c r="C2335" t="s">
        <v>14</v>
      </c>
      <c r="D2335" s="35">
        <v>54914310.079999991</v>
      </c>
      <c r="E2335" s="35">
        <v>964061</v>
      </c>
      <c r="F2335" s="35">
        <v>38946951.5</v>
      </c>
    </row>
    <row r="2336" spans="1:6" x14ac:dyDescent="0.3">
      <c r="A2336" t="s">
        <v>50</v>
      </c>
      <c r="B2336">
        <v>2023</v>
      </c>
      <c r="C2336" t="s">
        <v>7</v>
      </c>
      <c r="D2336" s="35">
        <v>134479960.72999999</v>
      </c>
      <c r="E2336" s="35">
        <v>48152</v>
      </c>
      <c r="F2336" s="35">
        <v>130448042.33</v>
      </c>
    </row>
    <row r="2337" spans="1:6" x14ac:dyDescent="0.3">
      <c r="A2337" t="s">
        <v>50</v>
      </c>
      <c r="B2337">
        <v>2023</v>
      </c>
      <c r="C2337" t="s">
        <v>11</v>
      </c>
      <c r="D2337" s="35">
        <v>62509580.890000008</v>
      </c>
      <c r="E2337" s="35">
        <v>107087</v>
      </c>
      <c r="F2337" s="35">
        <v>59618883.420000002</v>
      </c>
    </row>
    <row r="2338" spans="1:6" x14ac:dyDescent="0.3">
      <c r="A2338" t="s">
        <v>50</v>
      </c>
      <c r="B2338">
        <v>2023</v>
      </c>
      <c r="C2338" t="s">
        <v>3</v>
      </c>
      <c r="D2338" s="35">
        <v>466209619.94</v>
      </c>
      <c r="E2338" s="35">
        <v>648362</v>
      </c>
      <c r="F2338" s="35">
        <v>456443756.86000001</v>
      </c>
    </row>
    <row r="2339" spans="1:6" x14ac:dyDescent="0.3">
      <c r="A2339" t="s">
        <v>50</v>
      </c>
      <c r="B2339">
        <v>2023</v>
      </c>
      <c r="C2339" t="s">
        <v>12</v>
      </c>
      <c r="D2339" s="35">
        <v>88464868.409999982</v>
      </c>
      <c r="E2339" s="35">
        <v>1532937</v>
      </c>
      <c r="F2339" s="35">
        <v>64651411.580000013</v>
      </c>
    </row>
    <row r="2340" spans="1:6" x14ac:dyDescent="0.3">
      <c r="A2340" t="s">
        <v>50</v>
      </c>
      <c r="B2340">
        <v>2023</v>
      </c>
      <c r="C2340" t="s">
        <v>2</v>
      </c>
      <c r="D2340" s="35">
        <v>422548731.07999998</v>
      </c>
      <c r="E2340" s="35">
        <v>4688391</v>
      </c>
      <c r="F2340" s="35">
        <v>344838047.66000003</v>
      </c>
    </row>
    <row r="2341" spans="1:6" x14ac:dyDescent="0.3">
      <c r="A2341" t="s">
        <v>50</v>
      </c>
      <c r="B2341">
        <v>2023</v>
      </c>
      <c r="C2341" t="s">
        <v>5</v>
      </c>
      <c r="D2341" s="35">
        <v>126418374.56</v>
      </c>
      <c r="E2341" s="35">
        <v>61016</v>
      </c>
      <c r="F2341" s="35">
        <v>122623109.04000001</v>
      </c>
    </row>
    <row r="2342" spans="1:6" x14ac:dyDescent="0.3">
      <c r="A2342" t="s">
        <v>50</v>
      </c>
      <c r="B2342">
        <v>2023</v>
      </c>
      <c r="C2342" t="s">
        <v>17</v>
      </c>
      <c r="D2342" s="35">
        <v>3184670.02</v>
      </c>
      <c r="E2342" s="35">
        <v>243930</v>
      </c>
      <c r="F2342" s="35">
        <v>1064559.5900000001</v>
      </c>
    </row>
    <row r="2343" spans="1:6" x14ac:dyDescent="0.3">
      <c r="A2343" t="s">
        <v>50</v>
      </c>
      <c r="B2343">
        <v>2023</v>
      </c>
      <c r="C2343" t="s">
        <v>9</v>
      </c>
      <c r="D2343" s="35">
        <v>185394371.20999989</v>
      </c>
      <c r="E2343" s="35">
        <v>1963135</v>
      </c>
      <c r="F2343" s="35">
        <v>159747275.58000001</v>
      </c>
    </row>
    <row r="2344" spans="1:6" x14ac:dyDescent="0.3">
      <c r="A2344" t="s">
        <v>50</v>
      </c>
      <c r="B2344">
        <v>2023</v>
      </c>
      <c r="C2344" t="s">
        <v>8</v>
      </c>
      <c r="D2344" s="35">
        <v>70365841.959999993</v>
      </c>
      <c r="E2344" s="35">
        <v>3719</v>
      </c>
      <c r="F2344" s="35">
        <v>70158113.269999996</v>
      </c>
    </row>
    <row r="2345" spans="1:6" x14ac:dyDescent="0.3">
      <c r="A2345" t="s">
        <v>50</v>
      </c>
      <c r="B2345">
        <v>2023</v>
      </c>
      <c r="C2345" t="s">
        <v>6</v>
      </c>
      <c r="D2345" s="35">
        <v>208702292.34999999</v>
      </c>
      <c r="E2345" s="35">
        <v>1907062</v>
      </c>
      <c r="F2345" s="35">
        <v>185831112.68000001</v>
      </c>
    </row>
    <row r="2346" spans="1:6" x14ac:dyDescent="0.3">
      <c r="A2346" t="s">
        <v>50</v>
      </c>
      <c r="B2346">
        <v>2023</v>
      </c>
      <c r="C2346" t="s">
        <v>15</v>
      </c>
      <c r="D2346" s="35">
        <v>27984095.31000001</v>
      </c>
      <c r="E2346" s="35">
        <v>698108</v>
      </c>
      <c r="F2346" s="35">
        <v>12099538.039999999</v>
      </c>
    </row>
    <row r="2347" spans="1:6" x14ac:dyDescent="0.3">
      <c r="A2347" t="s">
        <v>50</v>
      </c>
      <c r="B2347">
        <v>2023</v>
      </c>
      <c r="C2347" t="s">
        <v>18</v>
      </c>
      <c r="D2347" s="35">
        <v>10260341.619999999</v>
      </c>
      <c r="E2347" s="35">
        <v>51542</v>
      </c>
      <c r="F2347" s="35">
        <v>8406311.7400000002</v>
      </c>
    </row>
    <row r="2348" spans="1:6" x14ac:dyDescent="0.3">
      <c r="A2348" t="s">
        <v>50</v>
      </c>
      <c r="B2348">
        <v>2024</v>
      </c>
      <c r="C2348" t="s">
        <v>10</v>
      </c>
      <c r="D2348" s="35">
        <v>87606652.330000013</v>
      </c>
      <c r="E2348" s="35">
        <v>1593579</v>
      </c>
      <c r="F2348" s="35">
        <v>63055669.780000009</v>
      </c>
    </row>
    <row r="2349" spans="1:6" x14ac:dyDescent="0.3">
      <c r="A2349" t="s">
        <v>50</v>
      </c>
      <c r="B2349">
        <v>2024</v>
      </c>
      <c r="C2349" t="s">
        <v>4</v>
      </c>
      <c r="D2349" s="35">
        <v>386528027.55999988</v>
      </c>
      <c r="E2349" s="35">
        <v>688356</v>
      </c>
      <c r="F2349" s="35">
        <v>382892137.93999988</v>
      </c>
    </row>
    <row r="2350" spans="1:6" x14ac:dyDescent="0.3">
      <c r="A2350" t="s">
        <v>50</v>
      </c>
      <c r="B2350">
        <v>2024</v>
      </c>
      <c r="C2350" t="s">
        <v>13</v>
      </c>
      <c r="D2350" s="35">
        <v>57207243.669999987</v>
      </c>
      <c r="E2350" s="35">
        <v>514492</v>
      </c>
      <c r="F2350" s="35">
        <v>42250491.460000001</v>
      </c>
    </row>
    <row r="2351" spans="1:6" x14ac:dyDescent="0.3">
      <c r="A2351" t="s">
        <v>50</v>
      </c>
      <c r="B2351">
        <v>2024</v>
      </c>
      <c r="C2351" t="s">
        <v>16</v>
      </c>
      <c r="D2351" s="35">
        <v>27528845.510000002</v>
      </c>
      <c r="E2351" s="35">
        <v>73251</v>
      </c>
      <c r="F2351" s="35">
        <v>25797778.079999998</v>
      </c>
    </row>
    <row r="2352" spans="1:6" x14ac:dyDescent="0.3">
      <c r="A2352" t="s">
        <v>50</v>
      </c>
      <c r="B2352">
        <v>2024</v>
      </c>
      <c r="C2352" t="s">
        <v>14</v>
      </c>
      <c r="D2352" s="35">
        <v>55219157.219999999</v>
      </c>
      <c r="E2352" s="35">
        <v>918136</v>
      </c>
      <c r="F2352" s="35">
        <v>41369144.949999988</v>
      </c>
    </row>
    <row r="2353" spans="1:6" x14ac:dyDescent="0.3">
      <c r="A2353" t="s">
        <v>50</v>
      </c>
      <c r="B2353">
        <v>2024</v>
      </c>
      <c r="C2353" t="s">
        <v>7</v>
      </c>
      <c r="D2353" s="35">
        <v>127162208.28</v>
      </c>
      <c r="E2353" s="35">
        <v>44677</v>
      </c>
      <c r="F2353" s="35">
        <v>124860051.95999999</v>
      </c>
    </row>
    <row r="2354" spans="1:6" x14ac:dyDescent="0.3">
      <c r="A2354" t="s">
        <v>50</v>
      </c>
      <c r="B2354">
        <v>2024</v>
      </c>
      <c r="C2354" t="s">
        <v>11</v>
      </c>
      <c r="D2354" s="35">
        <v>64766589.279999986</v>
      </c>
      <c r="E2354" s="35">
        <v>144716</v>
      </c>
      <c r="F2354" s="35">
        <v>62227125.560000002</v>
      </c>
    </row>
    <row r="2355" spans="1:6" x14ac:dyDescent="0.3">
      <c r="A2355" t="s">
        <v>50</v>
      </c>
      <c r="B2355">
        <v>2024</v>
      </c>
      <c r="C2355" t="s">
        <v>3</v>
      </c>
      <c r="D2355" s="35">
        <v>476654278.02999991</v>
      </c>
      <c r="E2355" s="35">
        <v>627093</v>
      </c>
      <c r="F2355" s="35">
        <v>468495479.43000001</v>
      </c>
    </row>
    <row r="2356" spans="1:6" x14ac:dyDescent="0.3">
      <c r="A2356" t="s">
        <v>50</v>
      </c>
      <c r="B2356">
        <v>2024</v>
      </c>
      <c r="C2356" t="s">
        <v>12</v>
      </c>
      <c r="D2356" s="35">
        <v>82702346.039999992</v>
      </c>
      <c r="E2356" s="35">
        <v>1484973</v>
      </c>
      <c r="F2356" s="35">
        <v>62265763.109999999</v>
      </c>
    </row>
    <row r="2357" spans="1:6" x14ac:dyDescent="0.3">
      <c r="A2357" t="s">
        <v>50</v>
      </c>
      <c r="B2357">
        <v>2024</v>
      </c>
      <c r="C2357" t="s">
        <v>2</v>
      </c>
      <c r="D2357" s="35">
        <v>411347494.84000009</v>
      </c>
      <c r="E2357" s="35">
        <v>4271086</v>
      </c>
      <c r="F2357" s="35">
        <v>351555017.98000008</v>
      </c>
    </row>
    <row r="2358" spans="1:6" x14ac:dyDescent="0.3">
      <c r="A2358" t="s">
        <v>50</v>
      </c>
      <c r="B2358">
        <v>2024</v>
      </c>
      <c r="C2358" t="s">
        <v>5</v>
      </c>
      <c r="D2358" s="35">
        <v>158275355.74000001</v>
      </c>
      <c r="E2358" s="35">
        <v>64724</v>
      </c>
      <c r="F2358" s="35">
        <v>154963015.09999999</v>
      </c>
    </row>
    <row r="2359" spans="1:6" x14ac:dyDescent="0.3">
      <c r="A2359" t="s">
        <v>50</v>
      </c>
      <c r="B2359">
        <v>2024</v>
      </c>
      <c r="C2359" t="s">
        <v>17</v>
      </c>
      <c r="D2359" s="35">
        <v>3032415.8599999989</v>
      </c>
      <c r="E2359" s="35">
        <v>258155</v>
      </c>
      <c r="F2359" s="35">
        <v>875716.8600000001</v>
      </c>
    </row>
    <row r="2360" spans="1:6" x14ac:dyDescent="0.3">
      <c r="A2360" t="s">
        <v>50</v>
      </c>
      <c r="B2360">
        <v>2024</v>
      </c>
      <c r="C2360" t="s">
        <v>9</v>
      </c>
      <c r="D2360" s="35">
        <v>173202855.93000001</v>
      </c>
      <c r="E2360" s="35">
        <v>1879777</v>
      </c>
      <c r="F2360" s="35">
        <v>152036511.11000001</v>
      </c>
    </row>
    <row r="2361" spans="1:6" x14ac:dyDescent="0.3">
      <c r="A2361" t="s">
        <v>50</v>
      </c>
      <c r="B2361">
        <v>2024</v>
      </c>
      <c r="C2361" t="s">
        <v>8</v>
      </c>
      <c r="D2361" s="35">
        <v>80791815.650000006</v>
      </c>
      <c r="E2361" s="35">
        <v>3912</v>
      </c>
      <c r="F2361" s="35">
        <v>80689583.310000002</v>
      </c>
    </row>
    <row r="2362" spans="1:6" x14ac:dyDescent="0.3">
      <c r="A2362" t="s">
        <v>50</v>
      </c>
      <c r="B2362">
        <v>2024</v>
      </c>
      <c r="C2362" t="s">
        <v>6</v>
      </c>
      <c r="D2362" s="35">
        <v>166123769.77000001</v>
      </c>
      <c r="E2362" s="35">
        <v>1664191</v>
      </c>
      <c r="F2362" s="35">
        <v>145069653.41999999</v>
      </c>
    </row>
    <row r="2363" spans="1:6" x14ac:dyDescent="0.3">
      <c r="A2363" t="s">
        <v>50</v>
      </c>
      <c r="B2363">
        <v>2024</v>
      </c>
      <c r="C2363" t="s">
        <v>15</v>
      </c>
      <c r="D2363" s="35">
        <v>29388471.27</v>
      </c>
      <c r="E2363" s="35">
        <v>608676</v>
      </c>
      <c r="F2363" s="35">
        <v>17012862.15000001</v>
      </c>
    </row>
    <row r="2364" spans="1:6" x14ac:dyDescent="0.3">
      <c r="A2364" t="s">
        <v>50</v>
      </c>
      <c r="B2364">
        <v>2024</v>
      </c>
      <c r="C2364" t="s">
        <v>18</v>
      </c>
      <c r="D2364" s="35">
        <v>11095941.75</v>
      </c>
      <c r="E2364" s="35">
        <v>49600</v>
      </c>
      <c r="F2364" s="35">
        <v>9483960.5600000005</v>
      </c>
    </row>
    <row r="2365" spans="1:6" x14ac:dyDescent="0.3">
      <c r="A2365" t="s">
        <v>50</v>
      </c>
      <c r="B2365">
        <v>2025</v>
      </c>
      <c r="C2365" t="s">
        <v>10</v>
      </c>
      <c r="D2365" s="35">
        <v>91859503.63000001</v>
      </c>
      <c r="E2365" s="35">
        <v>1544913</v>
      </c>
      <c r="F2365" s="35">
        <v>69037679.680000007</v>
      </c>
    </row>
    <row r="2366" spans="1:6" x14ac:dyDescent="0.3">
      <c r="A2366" t="s">
        <v>50</v>
      </c>
      <c r="B2366">
        <v>2025</v>
      </c>
      <c r="C2366" t="s">
        <v>4</v>
      </c>
      <c r="D2366" s="35">
        <v>506603183.12999988</v>
      </c>
      <c r="E2366" s="35">
        <v>808920</v>
      </c>
      <c r="F2366" s="35">
        <v>503852807.67999989</v>
      </c>
    </row>
    <row r="2367" spans="1:6" x14ac:dyDescent="0.3">
      <c r="A2367" t="s">
        <v>50</v>
      </c>
      <c r="B2367">
        <v>2025</v>
      </c>
      <c r="C2367" t="s">
        <v>13</v>
      </c>
      <c r="D2367" s="35">
        <v>59014603.57</v>
      </c>
      <c r="E2367" s="35">
        <v>494430</v>
      </c>
      <c r="F2367" s="35">
        <v>46581348.190000013</v>
      </c>
    </row>
    <row r="2368" spans="1:6" x14ac:dyDescent="0.3">
      <c r="A2368" t="s">
        <v>50</v>
      </c>
      <c r="B2368">
        <v>2025</v>
      </c>
      <c r="C2368" t="s">
        <v>16</v>
      </c>
      <c r="D2368" s="35">
        <v>34988301.330000013</v>
      </c>
      <c r="E2368" s="35">
        <v>78489</v>
      </c>
      <c r="F2368" s="35">
        <v>32790878.760000002</v>
      </c>
    </row>
    <row r="2369" spans="1:6" x14ac:dyDescent="0.3">
      <c r="A2369" t="s">
        <v>50</v>
      </c>
      <c r="B2369">
        <v>2025</v>
      </c>
      <c r="C2369" t="s">
        <v>14</v>
      </c>
      <c r="D2369" s="35">
        <v>53032565.320000008</v>
      </c>
      <c r="E2369" s="35">
        <v>888811</v>
      </c>
      <c r="F2369" s="35">
        <v>38152411.18</v>
      </c>
    </row>
    <row r="2370" spans="1:6" x14ac:dyDescent="0.3">
      <c r="A2370" t="s">
        <v>50</v>
      </c>
      <c r="B2370">
        <v>2025</v>
      </c>
      <c r="C2370" t="s">
        <v>7</v>
      </c>
      <c r="D2370" s="35">
        <v>123379207.89</v>
      </c>
      <c r="E2370" s="35">
        <v>42288</v>
      </c>
      <c r="F2370" s="35">
        <v>121470734.86</v>
      </c>
    </row>
    <row r="2371" spans="1:6" x14ac:dyDescent="0.3">
      <c r="A2371" t="s">
        <v>50</v>
      </c>
      <c r="B2371">
        <v>2025</v>
      </c>
      <c r="C2371" t="s">
        <v>11</v>
      </c>
      <c r="D2371" s="35">
        <v>64139132.729999997</v>
      </c>
      <c r="E2371" s="35">
        <v>147993</v>
      </c>
      <c r="F2371" s="35">
        <v>62131940.149999991</v>
      </c>
    </row>
    <row r="2372" spans="1:6" x14ac:dyDescent="0.3">
      <c r="A2372" t="s">
        <v>50</v>
      </c>
      <c r="B2372">
        <v>2025</v>
      </c>
      <c r="C2372" t="s">
        <v>3</v>
      </c>
      <c r="D2372" s="35">
        <v>505756352.63000011</v>
      </c>
      <c r="E2372" s="35">
        <v>608975</v>
      </c>
      <c r="F2372" s="35">
        <v>497004040.19999999</v>
      </c>
    </row>
    <row r="2373" spans="1:6" x14ac:dyDescent="0.3">
      <c r="A2373" t="s">
        <v>50</v>
      </c>
      <c r="B2373">
        <v>2025</v>
      </c>
      <c r="C2373" t="s">
        <v>12</v>
      </c>
      <c r="D2373" s="35">
        <v>69902268.559999987</v>
      </c>
      <c r="E2373" s="35">
        <v>1308857</v>
      </c>
      <c r="F2373" s="35">
        <v>49234601.649999999</v>
      </c>
    </row>
    <row r="2374" spans="1:6" x14ac:dyDescent="0.3">
      <c r="A2374" t="s">
        <v>50</v>
      </c>
      <c r="B2374">
        <v>2025</v>
      </c>
      <c r="C2374" t="s">
        <v>2</v>
      </c>
      <c r="D2374" s="35">
        <v>442023971.44000012</v>
      </c>
      <c r="E2374" s="35">
        <v>4064301</v>
      </c>
      <c r="F2374" s="35">
        <v>380731221.69999999</v>
      </c>
    </row>
    <row r="2375" spans="1:6" x14ac:dyDescent="0.3">
      <c r="A2375" t="s">
        <v>50</v>
      </c>
      <c r="B2375">
        <v>2025</v>
      </c>
      <c r="C2375" t="s">
        <v>5</v>
      </c>
      <c r="D2375" s="35">
        <v>160812119.68000001</v>
      </c>
      <c r="E2375" s="35">
        <v>62201</v>
      </c>
      <c r="F2375" s="35">
        <v>157655817.59</v>
      </c>
    </row>
    <row r="2376" spans="1:6" x14ac:dyDescent="0.3">
      <c r="A2376" t="s">
        <v>50</v>
      </c>
      <c r="B2376">
        <v>2025</v>
      </c>
      <c r="C2376" t="s">
        <v>17</v>
      </c>
      <c r="D2376" s="35">
        <v>3346730.44</v>
      </c>
      <c r="E2376" s="35">
        <v>253363</v>
      </c>
      <c r="F2376" s="35">
        <v>765662.75</v>
      </c>
    </row>
    <row r="2377" spans="1:6" x14ac:dyDescent="0.3">
      <c r="A2377" t="s">
        <v>50</v>
      </c>
      <c r="B2377">
        <v>2025</v>
      </c>
      <c r="C2377" t="s">
        <v>9</v>
      </c>
      <c r="D2377" s="35">
        <v>163780328.03999999</v>
      </c>
      <c r="E2377" s="35">
        <v>1773688</v>
      </c>
      <c r="F2377" s="35">
        <v>143416340.34999999</v>
      </c>
    </row>
    <row r="2378" spans="1:6" x14ac:dyDescent="0.3">
      <c r="A2378" t="s">
        <v>50</v>
      </c>
      <c r="B2378">
        <v>2025</v>
      </c>
      <c r="C2378" t="s">
        <v>8</v>
      </c>
      <c r="D2378" s="35">
        <v>84782636.229999974</v>
      </c>
      <c r="E2378" s="35">
        <v>4029</v>
      </c>
      <c r="F2378" s="35">
        <v>84782636.229999974</v>
      </c>
    </row>
    <row r="2379" spans="1:6" x14ac:dyDescent="0.3">
      <c r="A2379" t="s">
        <v>50</v>
      </c>
      <c r="B2379">
        <v>2025</v>
      </c>
      <c r="C2379" t="s">
        <v>6</v>
      </c>
      <c r="D2379" s="35">
        <v>164453073.02000001</v>
      </c>
      <c r="E2379" s="35">
        <v>1560583</v>
      </c>
      <c r="F2379" s="35">
        <v>142908475.28999999</v>
      </c>
    </row>
    <row r="2380" spans="1:6" x14ac:dyDescent="0.3">
      <c r="A2380" t="s">
        <v>50</v>
      </c>
      <c r="B2380">
        <v>2025</v>
      </c>
      <c r="C2380" t="s">
        <v>15</v>
      </c>
      <c r="D2380" s="35">
        <v>29314410.129999999</v>
      </c>
      <c r="E2380" s="35">
        <v>601631</v>
      </c>
      <c r="F2380" s="35">
        <v>17755080.609999988</v>
      </c>
    </row>
    <row r="2381" spans="1:6" x14ac:dyDescent="0.3">
      <c r="A2381" t="s">
        <v>50</v>
      </c>
      <c r="B2381">
        <v>2025</v>
      </c>
      <c r="C2381" t="s">
        <v>18</v>
      </c>
      <c r="D2381" s="35">
        <v>11470186.24</v>
      </c>
      <c r="E2381" s="35">
        <v>52867</v>
      </c>
      <c r="F2381" s="35">
        <v>9544635.9500000011</v>
      </c>
    </row>
    <row r="2382" spans="1:6" x14ac:dyDescent="0.3">
      <c r="A2382" t="s">
        <v>51</v>
      </c>
      <c r="B2382">
        <v>2019</v>
      </c>
      <c r="C2382" t="s">
        <v>10</v>
      </c>
      <c r="D2382" s="35">
        <v>38433811.390000008</v>
      </c>
      <c r="E2382" s="35">
        <v>2202506</v>
      </c>
      <c r="F2382" s="35">
        <v>25286436.699999999</v>
      </c>
    </row>
    <row r="2383" spans="1:6" x14ac:dyDescent="0.3">
      <c r="A2383" t="s">
        <v>51</v>
      </c>
      <c r="B2383">
        <v>2019</v>
      </c>
      <c r="C2383" t="s">
        <v>4</v>
      </c>
      <c r="D2383" s="35">
        <v>115360477.87</v>
      </c>
      <c r="E2383" s="35">
        <v>571213</v>
      </c>
      <c r="F2383" s="35">
        <v>113782878.37</v>
      </c>
    </row>
    <row r="2384" spans="1:6" x14ac:dyDescent="0.3">
      <c r="A2384" t="s">
        <v>51</v>
      </c>
      <c r="B2384">
        <v>2019</v>
      </c>
      <c r="C2384" t="s">
        <v>13</v>
      </c>
      <c r="D2384" s="35">
        <v>33267177.719999999</v>
      </c>
      <c r="E2384" s="35">
        <v>688819</v>
      </c>
      <c r="F2384" s="35">
        <v>23295812.510000002</v>
      </c>
    </row>
    <row r="2385" spans="1:6" x14ac:dyDescent="0.3">
      <c r="A2385" t="s">
        <v>51</v>
      </c>
      <c r="B2385">
        <v>2019</v>
      </c>
      <c r="C2385" t="s">
        <v>16</v>
      </c>
      <c r="D2385" s="35">
        <v>7710922.7199999997</v>
      </c>
      <c r="E2385" s="35">
        <v>63568</v>
      </c>
      <c r="F2385" s="35">
        <v>5455997.6099999994</v>
      </c>
    </row>
    <row r="2386" spans="1:6" x14ac:dyDescent="0.3">
      <c r="A2386" t="s">
        <v>51</v>
      </c>
      <c r="B2386">
        <v>2019</v>
      </c>
      <c r="C2386" t="s">
        <v>14</v>
      </c>
      <c r="D2386" s="35">
        <v>20438522.440000009</v>
      </c>
      <c r="E2386" s="35">
        <v>622000</v>
      </c>
      <c r="F2386" s="35">
        <v>14258214.48</v>
      </c>
    </row>
    <row r="2387" spans="1:6" x14ac:dyDescent="0.3">
      <c r="A2387" t="s">
        <v>51</v>
      </c>
      <c r="B2387">
        <v>2019</v>
      </c>
      <c r="C2387" t="s">
        <v>7</v>
      </c>
      <c r="D2387" s="35">
        <v>193333999.37</v>
      </c>
      <c r="E2387" s="35">
        <v>86798</v>
      </c>
      <c r="F2387" s="35">
        <v>192725729.08000001</v>
      </c>
    </row>
    <row r="2388" spans="1:6" x14ac:dyDescent="0.3">
      <c r="A2388" t="s">
        <v>51</v>
      </c>
      <c r="B2388">
        <v>2019</v>
      </c>
      <c r="C2388" t="s">
        <v>11</v>
      </c>
      <c r="D2388" s="35">
        <v>27721096.920000002</v>
      </c>
      <c r="E2388" s="35">
        <v>69891</v>
      </c>
      <c r="F2388" s="35">
        <v>26945648.920000002</v>
      </c>
    </row>
    <row r="2389" spans="1:6" x14ac:dyDescent="0.3">
      <c r="A2389" t="s">
        <v>51</v>
      </c>
      <c r="B2389">
        <v>2019</v>
      </c>
      <c r="C2389" t="s">
        <v>3</v>
      </c>
      <c r="D2389" s="35">
        <v>100974243.56999999</v>
      </c>
      <c r="E2389" s="35">
        <v>532560</v>
      </c>
      <c r="F2389" s="35">
        <v>95409378.450000003</v>
      </c>
    </row>
    <row r="2390" spans="1:6" x14ac:dyDescent="0.3">
      <c r="A2390" t="s">
        <v>51</v>
      </c>
      <c r="B2390">
        <v>2019</v>
      </c>
      <c r="C2390" t="s">
        <v>12</v>
      </c>
      <c r="D2390" s="35">
        <v>64119437.989999987</v>
      </c>
      <c r="E2390" s="35">
        <v>1485323</v>
      </c>
      <c r="F2390" s="35">
        <v>43693041.25999999</v>
      </c>
    </row>
    <row r="2391" spans="1:6" x14ac:dyDescent="0.3">
      <c r="A2391" t="s">
        <v>51</v>
      </c>
      <c r="B2391">
        <v>2019</v>
      </c>
      <c r="C2391" t="s">
        <v>2</v>
      </c>
      <c r="D2391" s="35">
        <v>301190953.27999997</v>
      </c>
      <c r="E2391" s="35">
        <v>3381882</v>
      </c>
      <c r="F2391" s="35">
        <v>233624973.63999999</v>
      </c>
    </row>
    <row r="2392" spans="1:6" x14ac:dyDescent="0.3">
      <c r="A2392" t="s">
        <v>51</v>
      </c>
      <c r="B2392">
        <v>2019</v>
      </c>
      <c r="C2392" t="s">
        <v>5</v>
      </c>
      <c r="D2392" s="35">
        <v>44315145.400000013</v>
      </c>
      <c r="E2392" s="35">
        <v>31492</v>
      </c>
      <c r="F2392" s="35">
        <v>39375665.039999999</v>
      </c>
    </row>
    <row r="2393" spans="1:6" x14ac:dyDescent="0.3">
      <c r="A2393" t="s">
        <v>51</v>
      </c>
      <c r="B2393">
        <v>2019</v>
      </c>
      <c r="C2393" t="s">
        <v>17</v>
      </c>
      <c r="D2393" s="35">
        <v>2560334.48</v>
      </c>
      <c r="E2393" s="35">
        <v>179727</v>
      </c>
      <c r="F2393" s="35">
        <v>719830.95</v>
      </c>
    </row>
    <row r="2394" spans="1:6" x14ac:dyDescent="0.3">
      <c r="A2394" t="s">
        <v>51</v>
      </c>
      <c r="B2394">
        <v>2019</v>
      </c>
      <c r="C2394" t="s">
        <v>9</v>
      </c>
      <c r="D2394" s="35">
        <v>119413910.44</v>
      </c>
      <c r="E2394" s="35">
        <v>1766330</v>
      </c>
      <c r="F2394" s="35">
        <v>104646242.26000001</v>
      </c>
    </row>
    <row r="2395" spans="1:6" x14ac:dyDescent="0.3">
      <c r="A2395" t="s">
        <v>51</v>
      </c>
      <c r="B2395">
        <v>2019</v>
      </c>
      <c r="C2395" t="s">
        <v>8</v>
      </c>
      <c r="D2395" s="35">
        <v>23240835.100000001</v>
      </c>
      <c r="E2395" s="35">
        <v>3399</v>
      </c>
      <c r="F2395" s="35">
        <v>23240835.100000001</v>
      </c>
    </row>
    <row r="2396" spans="1:6" x14ac:dyDescent="0.3">
      <c r="A2396" t="s">
        <v>51</v>
      </c>
      <c r="B2396">
        <v>2019</v>
      </c>
      <c r="C2396" t="s">
        <v>6</v>
      </c>
      <c r="D2396" s="35">
        <v>105487058.36</v>
      </c>
      <c r="E2396" s="35">
        <v>1701032</v>
      </c>
      <c r="F2396" s="35">
        <v>91659808.039999992</v>
      </c>
    </row>
    <row r="2397" spans="1:6" x14ac:dyDescent="0.3">
      <c r="A2397" t="s">
        <v>51</v>
      </c>
      <c r="B2397">
        <v>2019</v>
      </c>
      <c r="C2397" t="s">
        <v>15</v>
      </c>
      <c r="D2397" s="35">
        <v>24702372.640000001</v>
      </c>
      <c r="E2397" s="35">
        <v>782317</v>
      </c>
      <c r="F2397" s="35">
        <v>13519571.720000001</v>
      </c>
    </row>
    <row r="2398" spans="1:6" x14ac:dyDescent="0.3">
      <c r="A2398" t="s">
        <v>51</v>
      </c>
      <c r="B2398">
        <v>2019</v>
      </c>
      <c r="C2398" t="s">
        <v>18</v>
      </c>
      <c r="D2398" s="35">
        <v>4149047.7599999988</v>
      </c>
      <c r="E2398" s="35">
        <v>70111</v>
      </c>
      <c r="F2398" s="35">
        <v>2128590.75</v>
      </c>
    </row>
    <row r="2399" spans="1:6" x14ac:dyDescent="0.3">
      <c r="A2399" t="s">
        <v>51</v>
      </c>
      <c r="B2399">
        <v>2020</v>
      </c>
      <c r="C2399" t="s">
        <v>10</v>
      </c>
      <c r="D2399" s="35">
        <v>47154576.229999997</v>
      </c>
      <c r="E2399" s="35">
        <v>2168471</v>
      </c>
      <c r="F2399" s="35">
        <v>32743238.510000002</v>
      </c>
    </row>
    <row r="2400" spans="1:6" x14ac:dyDescent="0.3">
      <c r="A2400" t="s">
        <v>51</v>
      </c>
      <c r="B2400">
        <v>2020</v>
      </c>
      <c r="C2400" t="s">
        <v>4</v>
      </c>
      <c r="D2400" s="35">
        <v>128445840.27</v>
      </c>
      <c r="E2400" s="35">
        <v>588423</v>
      </c>
      <c r="F2400" s="35">
        <v>126778234.09</v>
      </c>
    </row>
    <row r="2401" spans="1:6" x14ac:dyDescent="0.3">
      <c r="A2401" t="s">
        <v>51</v>
      </c>
      <c r="B2401">
        <v>2020</v>
      </c>
      <c r="C2401" t="s">
        <v>13</v>
      </c>
      <c r="D2401" s="35">
        <v>37580864.659999996</v>
      </c>
      <c r="E2401" s="35">
        <v>694365</v>
      </c>
      <c r="F2401" s="35">
        <v>27024679.379999999</v>
      </c>
    </row>
    <row r="2402" spans="1:6" x14ac:dyDescent="0.3">
      <c r="A2402" t="s">
        <v>51</v>
      </c>
      <c r="B2402">
        <v>2020</v>
      </c>
      <c r="C2402" t="s">
        <v>16</v>
      </c>
      <c r="D2402" s="35">
        <v>11379191.75</v>
      </c>
      <c r="E2402" s="35">
        <v>68701</v>
      </c>
      <c r="F2402" s="35">
        <v>8950129.1600000001</v>
      </c>
    </row>
    <row r="2403" spans="1:6" x14ac:dyDescent="0.3">
      <c r="A2403" t="s">
        <v>51</v>
      </c>
      <c r="B2403">
        <v>2020</v>
      </c>
      <c r="C2403" t="s">
        <v>14</v>
      </c>
      <c r="D2403" s="35">
        <v>21842773.960000001</v>
      </c>
      <c r="E2403" s="35">
        <v>629626</v>
      </c>
      <c r="F2403" s="35">
        <v>14682881.119999999</v>
      </c>
    </row>
    <row r="2404" spans="1:6" x14ac:dyDescent="0.3">
      <c r="A2404" t="s">
        <v>51</v>
      </c>
      <c r="B2404">
        <v>2020</v>
      </c>
      <c r="C2404" t="s">
        <v>7</v>
      </c>
      <c r="D2404" s="35">
        <v>192065604.94</v>
      </c>
      <c r="E2404" s="35">
        <v>76628</v>
      </c>
      <c r="F2404" s="35">
        <v>190117024.84999999</v>
      </c>
    </row>
    <row r="2405" spans="1:6" x14ac:dyDescent="0.3">
      <c r="A2405" t="s">
        <v>51</v>
      </c>
      <c r="B2405">
        <v>2020</v>
      </c>
      <c r="C2405" t="s">
        <v>11</v>
      </c>
      <c r="D2405" s="35">
        <v>34540718.189999998</v>
      </c>
      <c r="E2405" s="35">
        <v>80016</v>
      </c>
      <c r="F2405" s="35">
        <v>32209367.379999999</v>
      </c>
    </row>
    <row r="2406" spans="1:6" x14ac:dyDescent="0.3">
      <c r="A2406" t="s">
        <v>51</v>
      </c>
      <c r="B2406">
        <v>2020</v>
      </c>
      <c r="C2406" t="s">
        <v>3</v>
      </c>
      <c r="D2406" s="35">
        <v>144326245.74000001</v>
      </c>
      <c r="E2406" s="35">
        <v>497613</v>
      </c>
      <c r="F2406" s="35">
        <v>138717131.78</v>
      </c>
    </row>
    <row r="2407" spans="1:6" x14ac:dyDescent="0.3">
      <c r="A2407" t="s">
        <v>51</v>
      </c>
      <c r="B2407">
        <v>2020</v>
      </c>
      <c r="C2407" t="s">
        <v>12</v>
      </c>
      <c r="D2407" s="35">
        <v>60177799.490000002</v>
      </c>
      <c r="E2407" s="35">
        <v>1229599</v>
      </c>
      <c r="F2407" s="35">
        <v>43866070.109999999</v>
      </c>
    </row>
    <row r="2408" spans="1:6" x14ac:dyDescent="0.3">
      <c r="A2408" t="s">
        <v>51</v>
      </c>
      <c r="B2408">
        <v>2020</v>
      </c>
      <c r="C2408" t="s">
        <v>2</v>
      </c>
      <c r="D2408" s="35">
        <v>281414337.42000002</v>
      </c>
      <c r="E2408" s="35">
        <v>3547808</v>
      </c>
      <c r="F2408" s="35">
        <v>211967774.5</v>
      </c>
    </row>
    <row r="2409" spans="1:6" x14ac:dyDescent="0.3">
      <c r="A2409" t="s">
        <v>51</v>
      </c>
      <c r="B2409">
        <v>2020</v>
      </c>
      <c r="C2409" t="s">
        <v>5</v>
      </c>
      <c r="D2409" s="35">
        <v>62368894.549999997</v>
      </c>
      <c r="E2409" s="35">
        <v>42121</v>
      </c>
      <c r="F2409" s="35">
        <v>58184421.419999987</v>
      </c>
    </row>
    <row r="2410" spans="1:6" x14ac:dyDescent="0.3">
      <c r="A2410" t="s">
        <v>51</v>
      </c>
      <c r="B2410">
        <v>2020</v>
      </c>
      <c r="C2410" t="s">
        <v>17</v>
      </c>
      <c r="D2410" s="35">
        <v>2303883.0099999988</v>
      </c>
      <c r="E2410" s="35">
        <v>159715</v>
      </c>
      <c r="F2410" s="35">
        <v>905697.13000000012</v>
      </c>
    </row>
    <row r="2411" spans="1:6" x14ac:dyDescent="0.3">
      <c r="A2411" t="s">
        <v>51</v>
      </c>
      <c r="B2411">
        <v>2020</v>
      </c>
      <c r="C2411" t="s">
        <v>9</v>
      </c>
      <c r="D2411" s="35">
        <v>133674981.33</v>
      </c>
      <c r="E2411" s="35">
        <v>1593062</v>
      </c>
      <c r="F2411" s="35">
        <v>120722479.34</v>
      </c>
    </row>
    <row r="2412" spans="1:6" x14ac:dyDescent="0.3">
      <c r="A2412" t="s">
        <v>51</v>
      </c>
      <c r="B2412">
        <v>2020</v>
      </c>
      <c r="C2412" t="s">
        <v>8</v>
      </c>
      <c r="D2412" s="35">
        <v>37402781.970000014</v>
      </c>
      <c r="E2412" s="35">
        <v>4224</v>
      </c>
      <c r="F2412" s="35">
        <v>37402781.970000014</v>
      </c>
    </row>
    <row r="2413" spans="1:6" x14ac:dyDescent="0.3">
      <c r="A2413" t="s">
        <v>51</v>
      </c>
      <c r="B2413">
        <v>2020</v>
      </c>
      <c r="C2413" t="s">
        <v>6</v>
      </c>
      <c r="D2413" s="35">
        <v>98808917.74000001</v>
      </c>
      <c r="E2413" s="35">
        <v>1627812</v>
      </c>
      <c r="F2413" s="35">
        <v>83137945.580000013</v>
      </c>
    </row>
    <row r="2414" spans="1:6" x14ac:dyDescent="0.3">
      <c r="A2414" t="s">
        <v>51</v>
      </c>
      <c r="B2414">
        <v>2020</v>
      </c>
      <c r="C2414" t="s">
        <v>15</v>
      </c>
      <c r="D2414" s="35">
        <v>20729015.760000009</v>
      </c>
      <c r="E2414" s="35">
        <v>569291</v>
      </c>
      <c r="F2414" s="35">
        <v>9740408.1599999983</v>
      </c>
    </row>
    <row r="2415" spans="1:6" x14ac:dyDescent="0.3">
      <c r="A2415" t="s">
        <v>51</v>
      </c>
      <c r="B2415">
        <v>2020</v>
      </c>
      <c r="C2415" t="s">
        <v>18</v>
      </c>
      <c r="D2415" s="35">
        <v>4312952.5599999987</v>
      </c>
      <c r="E2415" s="35">
        <v>68609</v>
      </c>
      <c r="F2415" s="35">
        <v>2541288.84</v>
      </c>
    </row>
    <row r="2416" spans="1:6" x14ac:dyDescent="0.3">
      <c r="A2416" t="s">
        <v>51</v>
      </c>
      <c r="B2416">
        <v>2021</v>
      </c>
      <c r="C2416" t="s">
        <v>10</v>
      </c>
      <c r="D2416" s="35">
        <v>58605855.090000004</v>
      </c>
      <c r="E2416" s="35">
        <v>2365628</v>
      </c>
      <c r="F2416" s="35">
        <v>41103922.299999997</v>
      </c>
    </row>
    <row r="2417" spans="1:6" x14ac:dyDescent="0.3">
      <c r="A2417" t="s">
        <v>51</v>
      </c>
      <c r="B2417">
        <v>2021</v>
      </c>
      <c r="C2417" t="s">
        <v>4</v>
      </c>
      <c r="D2417" s="35">
        <v>159177701.40000001</v>
      </c>
      <c r="E2417" s="35">
        <v>655174</v>
      </c>
      <c r="F2417" s="35">
        <v>156795365.58000001</v>
      </c>
    </row>
    <row r="2418" spans="1:6" x14ac:dyDescent="0.3">
      <c r="A2418" t="s">
        <v>51</v>
      </c>
      <c r="B2418">
        <v>2021</v>
      </c>
      <c r="C2418" t="s">
        <v>13</v>
      </c>
      <c r="D2418" s="35">
        <v>43346137.429999992</v>
      </c>
      <c r="E2418" s="35">
        <v>746829</v>
      </c>
      <c r="F2418" s="35">
        <v>29798632.819999989</v>
      </c>
    </row>
    <row r="2419" spans="1:6" x14ac:dyDescent="0.3">
      <c r="A2419" t="s">
        <v>51</v>
      </c>
      <c r="B2419">
        <v>2021</v>
      </c>
      <c r="C2419" t="s">
        <v>16</v>
      </c>
      <c r="D2419" s="35">
        <v>16018499.859999999</v>
      </c>
      <c r="E2419" s="35">
        <v>81996</v>
      </c>
      <c r="F2419" s="35">
        <v>13088249.710000001</v>
      </c>
    </row>
    <row r="2420" spans="1:6" x14ac:dyDescent="0.3">
      <c r="A2420" t="s">
        <v>51</v>
      </c>
      <c r="B2420">
        <v>2021</v>
      </c>
      <c r="C2420" t="s">
        <v>14</v>
      </c>
      <c r="D2420" s="35">
        <v>24305952.31000001</v>
      </c>
      <c r="E2420" s="35">
        <v>697300</v>
      </c>
      <c r="F2420" s="35">
        <v>16036286.220000001</v>
      </c>
    </row>
    <row r="2421" spans="1:6" x14ac:dyDescent="0.3">
      <c r="A2421" t="s">
        <v>51</v>
      </c>
      <c r="B2421">
        <v>2021</v>
      </c>
      <c r="C2421" t="s">
        <v>7</v>
      </c>
      <c r="D2421" s="35">
        <v>204236134.58999991</v>
      </c>
      <c r="E2421" s="35">
        <v>74766</v>
      </c>
      <c r="F2421" s="35">
        <v>199240292.62</v>
      </c>
    </row>
    <row r="2422" spans="1:6" x14ac:dyDescent="0.3">
      <c r="A2422" t="s">
        <v>51</v>
      </c>
      <c r="B2422">
        <v>2021</v>
      </c>
      <c r="C2422" t="s">
        <v>11</v>
      </c>
      <c r="D2422" s="35">
        <v>45212687.210000008</v>
      </c>
      <c r="E2422" s="35">
        <v>87316</v>
      </c>
      <c r="F2422" s="35">
        <v>41468959.640000023</v>
      </c>
    </row>
    <row r="2423" spans="1:6" x14ac:dyDescent="0.3">
      <c r="A2423" t="s">
        <v>51</v>
      </c>
      <c r="B2423">
        <v>2021</v>
      </c>
      <c r="C2423" t="s">
        <v>3</v>
      </c>
      <c r="D2423" s="35">
        <v>198372239.97</v>
      </c>
      <c r="E2423" s="35">
        <v>565250</v>
      </c>
      <c r="F2423" s="35">
        <v>191256385.74000001</v>
      </c>
    </row>
    <row r="2424" spans="1:6" x14ac:dyDescent="0.3">
      <c r="A2424" t="s">
        <v>51</v>
      </c>
      <c r="B2424">
        <v>2021</v>
      </c>
      <c r="C2424" t="s">
        <v>12</v>
      </c>
      <c r="D2424" s="35">
        <v>58041440.159999996</v>
      </c>
      <c r="E2424" s="35">
        <v>1264965</v>
      </c>
      <c r="F2424" s="35">
        <v>43365664.080000013</v>
      </c>
    </row>
    <row r="2425" spans="1:6" x14ac:dyDescent="0.3">
      <c r="A2425" t="s">
        <v>51</v>
      </c>
      <c r="B2425">
        <v>2021</v>
      </c>
      <c r="C2425" t="s">
        <v>2</v>
      </c>
      <c r="D2425" s="35">
        <v>339875003.43999988</v>
      </c>
      <c r="E2425" s="35">
        <v>3784892</v>
      </c>
      <c r="F2425" s="35">
        <v>275973310.01999998</v>
      </c>
    </row>
    <row r="2426" spans="1:6" x14ac:dyDescent="0.3">
      <c r="A2426" t="s">
        <v>51</v>
      </c>
      <c r="B2426">
        <v>2021</v>
      </c>
      <c r="C2426" t="s">
        <v>5</v>
      </c>
      <c r="D2426" s="35">
        <v>78892112.469999999</v>
      </c>
      <c r="E2426" s="35">
        <v>47681</v>
      </c>
      <c r="F2426" s="35">
        <v>73758988.640000001</v>
      </c>
    </row>
    <row r="2427" spans="1:6" x14ac:dyDescent="0.3">
      <c r="A2427" t="s">
        <v>51</v>
      </c>
      <c r="B2427">
        <v>2021</v>
      </c>
      <c r="C2427" t="s">
        <v>17</v>
      </c>
      <c r="D2427" s="35">
        <v>2643712.15</v>
      </c>
      <c r="E2427" s="35">
        <v>185165</v>
      </c>
      <c r="F2427" s="35">
        <v>1058367.74</v>
      </c>
    </row>
    <row r="2428" spans="1:6" x14ac:dyDescent="0.3">
      <c r="A2428" t="s">
        <v>51</v>
      </c>
      <c r="B2428">
        <v>2021</v>
      </c>
      <c r="C2428" t="s">
        <v>9</v>
      </c>
      <c r="D2428" s="35">
        <v>141935712.84</v>
      </c>
      <c r="E2428" s="35">
        <v>1628952</v>
      </c>
      <c r="F2428" s="35">
        <v>129681320.73</v>
      </c>
    </row>
    <row r="2429" spans="1:6" x14ac:dyDescent="0.3">
      <c r="A2429" t="s">
        <v>51</v>
      </c>
      <c r="B2429">
        <v>2021</v>
      </c>
      <c r="C2429" t="s">
        <v>8</v>
      </c>
      <c r="D2429" s="35">
        <v>35609917.189999998</v>
      </c>
      <c r="E2429" s="35">
        <v>3010</v>
      </c>
      <c r="F2429" s="35">
        <v>35552781.890000001</v>
      </c>
    </row>
    <row r="2430" spans="1:6" x14ac:dyDescent="0.3">
      <c r="A2430" t="s">
        <v>51</v>
      </c>
      <c r="B2430">
        <v>2021</v>
      </c>
      <c r="C2430" t="s">
        <v>6</v>
      </c>
      <c r="D2430" s="35">
        <v>104487556.42</v>
      </c>
      <c r="E2430" s="35">
        <v>1687590</v>
      </c>
      <c r="F2430" s="35">
        <v>84114768.360000014</v>
      </c>
    </row>
    <row r="2431" spans="1:6" x14ac:dyDescent="0.3">
      <c r="A2431" t="s">
        <v>51</v>
      </c>
      <c r="B2431">
        <v>2021</v>
      </c>
      <c r="C2431" t="s">
        <v>15</v>
      </c>
      <c r="D2431" s="35">
        <v>20117890.359999999</v>
      </c>
      <c r="E2431" s="35">
        <v>538122</v>
      </c>
      <c r="F2431" s="35">
        <v>7127661.2100000018</v>
      </c>
    </row>
    <row r="2432" spans="1:6" x14ac:dyDescent="0.3">
      <c r="A2432" t="s">
        <v>51</v>
      </c>
      <c r="B2432">
        <v>2021</v>
      </c>
      <c r="C2432" t="s">
        <v>18</v>
      </c>
      <c r="D2432" s="35">
        <v>5121947.3599999975</v>
      </c>
      <c r="E2432" s="35">
        <v>70078</v>
      </c>
      <c r="F2432" s="35">
        <v>2328881.81</v>
      </c>
    </row>
    <row r="2433" spans="1:6" x14ac:dyDescent="0.3">
      <c r="A2433" t="s">
        <v>51</v>
      </c>
      <c r="B2433">
        <v>2022</v>
      </c>
      <c r="C2433" t="s">
        <v>10</v>
      </c>
      <c r="D2433" s="35">
        <v>64080930.750000007</v>
      </c>
      <c r="E2433" s="35">
        <v>2406083</v>
      </c>
      <c r="F2433" s="35">
        <v>45901131.43</v>
      </c>
    </row>
    <row r="2434" spans="1:6" x14ac:dyDescent="0.3">
      <c r="A2434" t="s">
        <v>51</v>
      </c>
      <c r="B2434">
        <v>2022</v>
      </c>
      <c r="C2434" t="s">
        <v>4</v>
      </c>
      <c r="D2434" s="35">
        <v>186281199.06999999</v>
      </c>
      <c r="E2434" s="35">
        <v>691774</v>
      </c>
      <c r="F2434" s="35">
        <v>183883579.40000001</v>
      </c>
    </row>
    <row r="2435" spans="1:6" x14ac:dyDescent="0.3">
      <c r="A2435" t="s">
        <v>51</v>
      </c>
      <c r="B2435">
        <v>2022</v>
      </c>
      <c r="C2435" t="s">
        <v>13</v>
      </c>
      <c r="D2435" s="35">
        <v>46041322.190000013</v>
      </c>
      <c r="E2435" s="35">
        <v>747682</v>
      </c>
      <c r="F2435" s="35">
        <v>32648889.789999999</v>
      </c>
    </row>
    <row r="2436" spans="1:6" x14ac:dyDescent="0.3">
      <c r="A2436" t="s">
        <v>51</v>
      </c>
      <c r="B2436">
        <v>2022</v>
      </c>
      <c r="C2436" t="s">
        <v>16</v>
      </c>
      <c r="D2436" s="35">
        <v>16667755.380000001</v>
      </c>
      <c r="E2436" s="35">
        <v>82129</v>
      </c>
      <c r="F2436" s="35">
        <v>14032655.119999999</v>
      </c>
    </row>
    <row r="2437" spans="1:6" x14ac:dyDescent="0.3">
      <c r="A2437" t="s">
        <v>51</v>
      </c>
      <c r="B2437">
        <v>2022</v>
      </c>
      <c r="C2437" t="s">
        <v>14</v>
      </c>
      <c r="D2437" s="35">
        <v>24311314.600000009</v>
      </c>
      <c r="E2437" s="35">
        <v>753085</v>
      </c>
      <c r="F2437" s="35">
        <v>15837877.470000001</v>
      </c>
    </row>
    <row r="2438" spans="1:6" x14ac:dyDescent="0.3">
      <c r="A2438" t="s">
        <v>51</v>
      </c>
      <c r="B2438">
        <v>2022</v>
      </c>
      <c r="C2438" t="s">
        <v>7</v>
      </c>
      <c r="D2438" s="35">
        <v>217215174.86000001</v>
      </c>
      <c r="E2438" s="35">
        <v>75821</v>
      </c>
      <c r="F2438" s="35">
        <v>214022250.43000001</v>
      </c>
    </row>
    <row r="2439" spans="1:6" x14ac:dyDescent="0.3">
      <c r="A2439" t="s">
        <v>51</v>
      </c>
      <c r="B2439">
        <v>2022</v>
      </c>
      <c r="C2439" t="s">
        <v>11</v>
      </c>
      <c r="D2439" s="35">
        <v>47130385.130000003</v>
      </c>
      <c r="E2439" s="35">
        <v>86248</v>
      </c>
      <c r="F2439" s="35">
        <v>42900621.289999999</v>
      </c>
    </row>
    <row r="2440" spans="1:6" x14ac:dyDescent="0.3">
      <c r="A2440" t="s">
        <v>51</v>
      </c>
      <c r="B2440">
        <v>2022</v>
      </c>
      <c r="C2440" t="s">
        <v>3</v>
      </c>
      <c r="D2440" s="35">
        <v>252891864.15000001</v>
      </c>
      <c r="E2440" s="35">
        <v>625758</v>
      </c>
      <c r="F2440" s="35">
        <v>245816865.12</v>
      </c>
    </row>
    <row r="2441" spans="1:6" x14ac:dyDescent="0.3">
      <c r="A2441" t="s">
        <v>51</v>
      </c>
      <c r="B2441">
        <v>2022</v>
      </c>
      <c r="C2441" t="s">
        <v>12</v>
      </c>
      <c r="D2441" s="35">
        <v>57806421.020000003</v>
      </c>
      <c r="E2441" s="35">
        <v>1482875</v>
      </c>
      <c r="F2441" s="35">
        <v>41078286.489999987</v>
      </c>
    </row>
    <row r="2442" spans="1:6" x14ac:dyDescent="0.3">
      <c r="A2442" t="s">
        <v>51</v>
      </c>
      <c r="B2442">
        <v>2022</v>
      </c>
      <c r="C2442" t="s">
        <v>2</v>
      </c>
      <c r="D2442" s="35">
        <v>364128870.85000002</v>
      </c>
      <c r="E2442" s="35">
        <v>3964061</v>
      </c>
      <c r="F2442" s="35">
        <v>301916712.41000003</v>
      </c>
    </row>
    <row r="2443" spans="1:6" x14ac:dyDescent="0.3">
      <c r="A2443" t="s">
        <v>51</v>
      </c>
      <c r="B2443">
        <v>2022</v>
      </c>
      <c r="C2443" t="s">
        <v>5</v>
      </c>
      <c r="D2443" s="35">
        <v>107007799.76000001</v>
      </c>
      <c r="E2443" s="35">
        <v>51418</v>
      </c>
      <c r="F2443" s="35">
        <v>101268525.3</v>
      </c>
    </row>
    <row r="2444" spans="1:6" x14ac:dyDescent="0.3">
      <c r="A2444" t="s">
        <v>51</v>
      </c>
      <c r="B2444">
        <v>2022</v>
      </c>
      <c r="C2444" t="s">
        <v>17</v>
      </c>
      <c r="D2444" s="35">
        <v>2973303.88</v>
      </c>
      <c r="E2444" s="35">
        <v>188431</v>
      </c>
      <c r="F2444" s="35">
        <v>1280551.68</v>
      </c>
    </row>
    <row r="2445" spans="1:6" x14ac:dyDescent="0.3">
      <c r="A2445" t="s">
        <v>51</v>
      </c>
      <c r="B2445">
        <v>2022</v>
      </c>
      <c r="C2445" t="s">
        <v>9</v>
      </c>
      <c r="D2445" s="35">
        <v>150407429.05000001</v>
      </c>
      <c r="E2445" s="35">
        <v>1669375</v>
      </c>
      <c r="F2445" s="35">
        <v>135921268.5</v>
      </c>
    </row>
    <row r="2446" spans="1:6" x14ac:dyDescent="0.3">
      <c r="A2446" t="s">
        <v>51</v>
      </c>
      <c r="B2446">
        <v>2022</v>
      </c>
      <c r="C2446" t="s">
        <v>8</v>
      </c>
      <c r="D2446" s="35">
        <v>46288908.649999999</v>
      </c>
      <c r="E2446" s="35">
        <v>2599</v>
      </c>
      <c r="F2446" s="35">
        <v>46288908.649999999</v>
      </c>
    </row>
    <row r="2447" spans="1:6" x14ac:dyDescent="0.3">
      <c r="A2447" t="s">
        <v>51</v>
      </c>
      <c r="B2447">
        <v>2022</v>
      </c>
      <c r="C2447" t="s">
        <v>6</v>
      </c>
      <c r="D2447" s="35">
        <v>107110456.5</v>
      </c>
      <c r="E2447" s="35">
        <v>1869456</v>
      </c>
      <c r="F2447" s="35">
        <v>84138405.020000011</v>
      </c>
    </row>
    <row r="2448" spans="1:6" x14ac:dyDescent="0.3">
      <c r="A2448" t="s">
        <v>51</v>
      </c>
      <c r="B2448">
        <v>2022</v>
      </c>
      <c r="C2448" t="s">
        <v>15</v>
      </c>
      <c r="D2448" s="35">
        <v>17445473.610000011</v>
      </c>
      <c r="E2448" s="35">
        <v>479782</v>
      </c>
      <c r="F2448" s="35">
        <v>6522725.8900000006</v>
      </c>
    </row>
    <row r="2449" spans="1:6" x14ac:dyDescent="0.3">
      <c r="A2449" t="s">
        <v>51</v>
      </c>
      <c r="B2449">
        <v>2022</v>
      </c>
      <c r="C2449" t="s">
        <v>18</v>
      </c>
      <c r="D2449" s="35">
        <v>5848499.8300000001</v>
      </c>
      <c r="E2449" s="35">
        <v>62037</v>
      </c>
      <c r="F2449" s="35">
        <v>3123415.46</v>
      </c>
    </row>
    <row r="2450" spans="1:6" x14ac:dyDescent="0.3">
      <c r="A2450" t="s">
        <v>51</v>
      </c>
      <c r="B2450">
        <v>2023</v>
      </c>
      <c r="C2450" t="s">
        <v>10</v>
      </c>
      <c r="D2450" s="35">
        <v>64990816.18</v>
      </c>
      <c r="E2450" s="35">
        <v>2422048</v>
      </c>
      <c r="F2450" s="35">
        <v>49059083.440000013</v>
      </c>
    </row>
    <row r="2451" spans="1:6" x14ac:dyDescent="0.3">
      <c r="A2451" t="s">
        <v>51</v>
      </c>
      <c r="B2451">
        <v>2023</v>
      </c>
      <c r="C2451" t="s">
        <v>4</v>
      </c>
      <c r="D2451" s="35">
        <v>215498052.19999999</v>
      </c>
      <c r="E2451" s="35">
        <v>720673</v>
      </c>
      <c r="F2451" s="35">
        <v>213488177.59</v>
      </c>
    </row>
    <row r="2452" spans="1:6" x14ac:dyDescent="0.3">
      <c r="A2452" t="s">
        <v>51</v>
      </c>
      <c r="B2452">
        <v>2023</v>
      </c>
      <c r="C2452" t="s">
        <v>13</v>
      </c>
      <c r="D2452" s="35">
        <v>41619594.100000001</v>
      </c>
      <c r="E2452" s="35">
        <v>767730</v>
      </c>
      <c r="F2452" s="35">
        <v>29859269.180000011</v>
      </c>
    </row>
    <row r="2453" spans="1:6" x14ac:dyDescent="0.3">
      <c r="A2453" t="s">
        <v>51</v>
      </c>
      <c r="B2453">
        <v>2023</v>
      </c>
      <c r="C2453" t="s">
        <v>16</v>
      </c>
      <c r="D2453" s="35">
        <v>16713286.75</v>
      </c>
      <c r="E2453" s="35">
        <v>86277</v>
      </c>
      <c r="F2453" s="35">
        <v>14264269.119999999</v>
      </c>
    </row>
    <row r="2454" spans="1:6" x14ac:dyDescent="0.3">
      <c r="A2454" t="s">
        <v>51</v>
      </c>
      <c r="B2454">
        <v>2023</v>
      </c>
      <c r="C2454" t="s">
        <v>14</v>
      </c>
      <c r="D2454" s="35">
        <v>24151907.260000002</v>
      </c>
      <c r="E2454" s="35">
        <v>808359</v>
      </c>
      <c r="F2454" s="35">
        <v>15580416.119999999</v>
      </c>
    </row>
    <row r="2455" spans="1:6" x14ac:dyDescent="0.3">
      <c r="A2455" t="s">
        <v>51</v>
      </c>
      <c r="B2455">
        <v>2023</v>
      </c>
      <c r="C2455" t="s">
        <v>7</v>
      </c>
      <c r="D2455" s="35">
        <v>223469020.0200001</v>
      </c>
      <c r="E2455" s="35">
        <v>74565</v>
      </c>
      <c r="F2455" s="35">
        <v>220390744.50999999</v>
      </c>
    </row>
    <row r="2456" spans="1:6" x14ac:dyDescent="0.3">
      <c r="A2456" t="s">
        <v>51</v>
      </c>
      <c r="B2456">
        <v>2023</v>
      </c>
      <c r="C2456" t="s">
        <v>11</v>
      </c>
      <c r="D2456" s="35">
        <v>43573033.479999997</v>
      </c>
      <c r="E2456" s="35">
        <v>94403</v>
      </c>
      <c r="F2456" s="35">
        <v>40123377.060000002</v>
      </c>
    </row>
    <row r="2457" spans="1:6" x14ac:dyDescent="0.3">
      <c r="A2457" t="s">
        <v>51</v>
      </c>
      <c r="B2457">
        <v>2023</v>
      </c>
      <c r="C2457" t="s">
        <v>3</v>
      </c>
      <c r="D2457" s="35">
        <v>269633022.22000003</v>
      </c>
      <c r="E2457" s="35">
        <v>652192</v>
      </c>
      <c r="F2457" s="35">
        <v>262590419.50999999</v>
      </c>
    </row>
    <row r="2458" spans="1:6" x14ac:dyDescent="0.3">
      <c r="A2458" t="s">
        <v>51</v>
      </c>
      <c r="B2458">
        <v>2023</v>
      </c>
      <c r="C2458" t="s">
        <v>12</v>
      </c>
      <c r="D2458" s="35">
        <v>50567987.390000023</v>
      </c>
      <c r="E2458" s="35">
        <v>1664949</v>
      </c>
      <c r="F2458" s="35">
        <v>33857276.369999997</v>
      </c>
    </row>
    <row r="2459" spans="1:6" x14ac:dyDescent="0.3">
      <c r="A2459" t="s">
        <v>51</v>
      </c>
      <c r="B2459">
        <v>2023</v>
      </c>
      <c r="C2459" t="s">
        <v>2</v>
      </c>
      <c r="D2459" s="35">
        <v>357868407.13999993</v>
      </c>
      <c r="E2459" s="35">
        <v>4106298</v>
      </c>
      <c r="F2459" s="35">
        <v>292367797.00999999</v>
      </c>
    </row>
    <row r="2460" spans="1:6" x14ac:dyDescent="0.3">
      <c r="A2460" t="s">
        <v>51</v>
      </c>
      <c r="B2460">
        <v>2023</v>
      </c>
      <c r="C2460" t="s">
        <v>5</v>
      </c>
      <c r="D2460" s="35">
        <v>111651140.2</v>
      </c>
      <c r="E2460" s="35">
        <v>49697</v>
      </c>
      <c r="F2460" s="35">
        <v>105696199.59</v>
      </c>
    </row>
    <row r="2461" spans="1:6" x14ac:dyDescent="0.3">
      <c r="A2461" t="s">
        <v>51</v>
      </c>
      <c r="B2461">
        <v>2023</v>
      </c>
      <c r="C2461" t="s">
        <v>17</v>
      </c>
      <c r="D2461" s="35">
        <v>5329445.7699999996</v>
      </c>
      <c r="E2461" s="35">
        <v>207658</v>
      </c>
      <c r="F2461" s="35">
        <v>1673652.4</v>
      </c>
    </row>
    <row r="2462" spans="1:6" x14ac:dyDescent="0.3">
      <c r="A2462" t="s">
        <v>51</v>
      </c>
      <c r="B2462">
        <v>2023</v>
      </c>
      <c r="C2462" t="s">
        <v>9</v>
      </c>
      <c r="D2462" s="35">
        <v>164195358.78</v>
      </c>
      <c r="E2462" s="35">
        <v>1719560</v>
      </c>
      <c r="F2462" s="35">
        <v>148462725.13</v>
      </c>
    </row>
    <row r="2463" spans="1:6" x14ac:dyDescent="0.3">
      <c r="A2463" t="s">
        <v>51</v>
      </c>
      <c r="B2463">
        <v>2023</v>
      </c>
      <c r="C2463" t="s">
        <v>8</v>
      </c>
      <c r="D2463" s="35">
        <v>37721483.680000007</v>
      </c>
      <c r="E2463" s="35">
        <v>2337</v>
      </c>
      <c r="F2463" s="35">
        <v>37693385.869999997</v>
      </c>
    </row>
    <row r="2464" spans="1:6" x14ac:dyDescent="0.3">
      <c r="A2464" t="s">
        <v>51</v>
      </c>
      <c r="B2464">
        <v>2023</v>
      </c>
      <c r="C2464" t="s">
        <v>6</v>
      </c>
      <c r="D2464" s="35">
        <v>106406589.05</v>
      </c>
      <c r="E2464" s="35">
        <v>1973949</v>
      </c>
      <c r="F2464" s="35">
        <v>84903541.88000001</v>
      </c>
    </row>
    <row r="2465" spans="1:6" x14ac:dyDescent="0.3">
      <c r="A2465" t="s">
        <v>51</v>
      </c>
      <c r="B2465">
        <v>2023</v>
      </c>
      <c r="C2465" t="s">
        <v>15</v>
      </c>
      <c r="D2465" s="35">
        <v>13191770.609999999</v>
      </c>
      <c r="E2465" s="35">
        <v>381392</v>
      </c>
      <c r="F2465" s="35">
        <v>5687160.419999999</v>
      </c>
    </row>
    <row r="2466" spans="1:6" x14ac:dyDescent="0.3">
      <c r="A2466" t="s">
        <v>51</v>
      </c>
      <c r="B2466">
        <v>2023</v>
      </c>
      <c r="C2466" t="s">
        <v>18</v>
      </c>
      <c r="D2466" s="35">
        <v>4766441.6999999983</v>
      </c>
      <c r="E2466" s="35">
        <v>43850</v>
      </c>
      <c r="F2466" s="35">
        <v>3141737.57</v>
      </c>
    </row>
    <row r="2467" spans="1:6" x14ac:dyDescent="0.3">
      <c r="A2467" t="s">
        <v>51</v>
      </c>
      <c r="B2467">
        <v>2024</v>
      </c>
      <c r="C2467" t="s">
        <v>10</v>
      </c>
      <c r="D2467" s="35">
        <v>69421748.570000008</v>
      </c>
      <c r="E2467" s="35">
        <v>2267008</v>
      </c>
      <c r="F2467" s="35">
        <v>54359849.549999997</v>
      </c>
    </row>
    <row r="2468" spans="1:6" x14ac:dyDescent="0.3">
      <c r="A2468" t="s">
        <v>51</v>
      </c>
      <c r="B2468">
        <v>2024</v>
      </c>
      <c r="C2468" t="s">
        <v>4</v>
      </c>
      <c r="D2468" s="35">
        <v>214320963.61000001</v>
      </c>
      <c r="E2468" s="35">
        <v>701556</v>
      </c>
      <c r="F2468" s="35">
        <v>212407852.41000009</v>
      </c>
    </row>
    <row r="2469" spans="1:6" x14ac:dyDescent="0.3">
      <c r="A2469" t="s">
        <v>51</v>
      </c>
      <c r="B2469">
        <v>2024</v>
      </c>
      <c r="C2469" t="s">
        <v>13</v>
      </c>
      <c r="D2469" s="35">
        <v>40437032.840000004</v>
      </c>
      <c r="E2469" s="35">
        <v>729204</v>
      </c>
      <c r="F2469" s="35">
        <v>30422398.34</v>
      </c>
    </row>
    <row r="2470" spans="1:6" x14ac:dyDescent="0.3">
      <c r="A2470" t="s">
        <v>51</v>
      </c>
      <c r="B2470">
        <v>2024</v>
      </c>
      <c r="C2470" t="s">
        <v>16</v>
      </c>
      <c r="D2470" s="35">
        <v>18269877.219999991</v>
      </c>
      <c r="E2470" s="35">
        <v>85044</v>
      </c>
      <c r="F2470" s="35">
        <v>16076779.939999999</v>
      </c>
    </row>
    <row r="2471" spans="1:6" x14ac:dyDescent="0.3">
      <c r="A2471" t="s">
        <v>51</v>
      </c>
      <c r="B2471">
        <v>2024</v>
      </c>
      <c r="C2471" t="s">
        <v>14</v>
      </c>
      <c r="D2471" s="35">
        <v>26756375.02</v>
      </c>
      <c r="E2471" s="35">
        <v>795290</v>
      </c>
      <c r="F2471" s="35">
        <v>18379251.309999999</v>
      </c>
    </row>
    <row r="2472" spans="1:6" x14ac:dyDescent="0.3">
      <c r="A2472" t="s">
        <v>51</v>
      </c>
      <c r="B2472">
        <v>2024</v>
      </c>
      <c r="C2472" t="s">
        <v>7</v>
      </c>
      <c r="D2472" s="35">
        <v>207907707.69999999</v>
      </c>
      <c r="E2472" s="35">
        <v>65350</v>
      </c>
      <c r="F2472" s="35">
        <v>205224737.53999999</v>
      </c>
    </row>
    <row r="2473" spans="1:6" x14ac:dyDescent="0.3">
      <c r="A2473" t="s">
        <v>51</v>
      </c>
      <c r="B2473">
        <v>2024</v>
      </c>
      <c r="C2473" t="s">
        <v>11</v>
      </c>
      <c r="D2473" s="35">
        <v>66252561.720000014</v>
      </c>
      <c r="E2473" s="35">
        <v>80310</v>
      </c>
      <c r="F2473" s="35">
        <v>63738836.949999988</v>
      </c>
    </row>
    <row r="2474" spans="1:6" x14ac:dyDescent="0.3">
      <c r="A2474" t="s">
        <v>51</v>
      </c>
      <c r="B2474">
        <v>2024</v>
      </c>
      <c r="C2474" t="s">
        <v>3</v>
      </c>
      <c r="D2474" s="35">
        <v>232575645.06999999</v>
      </c>
      <c r="E2474" s="35">
        <v>637712</v>
      </c>
      <c r="F2474" s="35">
        <v>226055717.59999999</v>
      </c>
    </row>
    <row r="2475" spans="1:6" x14ac:dyDescent="0.3">
      <c r="A2475" t="s">
        <v>51</v>
      </c>
      <c r="B2475">
        <v>2024</v>
      </c>
      <c r="C2475" t="s">
        <v>12</v>
      </c>
      <c r="D2475" s="35">
        <v>52858671.669999987</v>
      </c>
      <c r="E2475" s="35">
        <v>1635954</v>
      </c>
      <c r="F2475" s="35">
        <v>35854538.950000003</v>
      </c>
    </row>
    <row r="2476" spans="1:6" x14ac:dyDescent="0.3">
      <c r="A2476" t="s">
        <v>51</v>
      </c>
      <c r="B2476">
        <v>2024</v>
      </c>
      <c r="C2476" t="s">
        <v>2</v>
      </c>
      <c r="D2476" s="35">
        <v>368772338.07999998</v>
      </c>
      <c r="E2476" s="35">
        <v>4069097</v>
      </c>
      <c r="F2476" s="35">
        <v>304263336.48000002</v>
      </c>
    </row>
    <row r="2477" spans="1:6" x14ac:dyDescent="0.3">
      <c r="A2477" t="s">
        <v>51</v>
      </c>
      <c r="B2477">
        <v>2024</v>
      </c>
      <c r="C2477" t="s">
        <v>5</v>
      </c>
      <c r="D2477" s="35">
        <v>118471622.33</v>
      </c>
      <c r="E2477" s="35">
        <v>50892</v>
      </c>
      <c r="F2477" s="35">
        <v>111603988.06</v>
      </c>
    </row>
    <row r="2478" spans="1:6" x14ac:dyDescent="0.3">
      <c r="A2478" t="s">
        <v>51</v>
      </c>
      <c r="B2478">
        <v>2024</v>
      </c>
      <c r="C2478" t="s">
        <v>17</v>
      </c>
      <c r="D2478" s="35">
        <v>6233989.7999999989</v>
      </c>
      <c r="E2478" s="35">
        <v>198329</v>
      </c>
      <c r="F2478" s="35">
        <v>2068785.18</v>
      </c>
    </row>
    <row r="2479" spans="1:6" x14ac:dyDescent="0.3">
      <c r="A2479" t="s">
        <v>51</v>
      </c>
      <c r="B2479">
        <v>2024</v>
      </c>
      <c r="C2479" t="s">
        <v>9</v>
      </c>
      <c r="D2479" s="35">
        <v>164285540.87</v>
      </c>
      <c r="E2479" s="35">
        <v>1622603</v>
      </c>
      <c r="F2479" s="35">
        <v>151600119.99000001</v>
      </c>
    </row>
    <row r="2480" spans="1:6" x14ac:dyDescent="0.3">
      <c r="A2480" t="s">
        <v>51</v>
      </c>
      <c r="B2480">
        <v>2024</v>
      </c>
      <c r="C2480" t="s">
        <v>8</v>
      </c>
      <c r="D2480" s="35">
        <v>48962528.219999999</v>
      </c>
      <c r="E2480" s="35">
        <v>2659</v>
      </c>
      <c r="F2480" s="35">
        <v>48930861.450000003</v>
      </c>
    </row>
    <row r="2481" spans="1:6" x14ac:dyDescent="0.3">
      <c r="A2481" t="s">
        <v>51</v>
      </c>
      <c r="B2481">
        <v>2024</v>
      </c>
      <c r="C2481" t="s">
        <v>6</v>
      </c>
      <c r="D2481" s="35">
        <v>94878760.850000009</v>
      </c>
      <c r="E2481" s="35">
        <v>1941931</v>
      </c>
      <c r="F2481" s="35">
        <v>73317478.749999985</v>
      </c>
    </row>
    <row r="2482" spans="1:6" x14ac:dyDescent="0.3">
      <c r="A2482" t="s">
        <v>51</v>
      </c>
      <c r="B2482">
        <v>2024</v>
      </c>
      <c r="C2482" t="s">
        <v>15</v>
      </c>
      <c r="D2482" s="35">
        <v>12556490.130000001</v>
      </c>
      <c r="E2482" s="35">
        <v>306386</v>
      </c>
      <c r="F2482" s="35">
        <v>6757913.6799999997</v>
      </c>
    </row>
    <row r="2483" spans="1:6" x14ac:dyDescent="0.3">
      <c r="A2483" t="s">
        <v>51</v>
      </c>
      <c r="B2483">
        <v>2024</v>
      </c>
      <c r="C2483" t="s">
        <v>18</v>
      </c>
      <c r="D2483" s="35">
        <v>3881160.82</v>
      </c>
      <c r="E2483" s="35">
        <v>40002</v>
      </c>
      <c r="F2483" s="35">
        <v>2332289.0699999998</v>
      </c>
    </row>
    <row r="2484" spans="1:6" x14ac:dyDescent="0.3">
      <c r="A2484" t="s">
        <v>51</v>
      </c>
      <c r="B2484">
        <v>2025</v>
      </c>
      <c r="C2484" t="s">
        <v>10</v>
      </c>
      <c r="D2484" s="35">
        <v>70902484.739999995</v>
      </c>
      <c r="E2484" s="35">
        <v>2153966</v>
      </c>
      <c r="F2484" s="35">
        <v>54863741.38000001</v>
      </c>
    </row>
    <row r="2485" spans="1:6" x14ac:dyDescent="0.3">
      <c r="A2485" t="s">
        <v>51</v>
      </c>
      <c r="B2485">
        <v>2025</v>
      </c>
      <c r="C2485" t="s">
        <v>4</v>
      </c>
      <c r="D2485" s="35">
        <v>215395617.71000001</v>
      </c>
      <c r="E2485" s="35">
        <v>684812</v>
      </c>
      <c r="F2485" s="35">
        <v>213323255.18000001</v>
      </c>
    </row>
    <row r="2486" spans="1:6" x14ac:dyDescent="0.3">
      <c r="A2486" t="s">
        <v>51</v>
      </c>
      <c r="B2486">
        <v>2025</v>
      </c>
      <c r="C2486" t="s">
        <v>13</v>
      </c>
      <c r="D2486" s="35">
        <v>37474484.259999998</v>
      </c>
      <c r="E2486" s="35">
        <v>700676</v>
      </c>
      <c r="F2486" s="35">
        <v>29426857.819999989</v>
      </c>
    </row>
    <row r="2487" spans="1:6" x14ac:dyDescent="0.3">
      <c r="A2487" t="s">
        <v>51</v>
      </c>
      <c r="B2487">
        <v>2025</v>
      </c>
      <c r="C2487" t="s">
        <v>16</v>
      </c>
      <c r="D2487" s="35">
        <v>17663298.420000002</v>
      </c>
      <c r="E2487" s="35">
        <v>83935</v>
      </c>
      <c r="F2487" s="35">
        <v>15795915.77</v>
      </c>
    </row>
    <row r="2488" spans="1:6" x14ac:dyDescent="0.3">
      <c r="A2488" t="s">
        <v>51</v>
      </c>
      <c r="B2488">
        <v>2025</v>
      </c>
      <c r="C2488" t="s">
        <v>14</v>
      </c>
      <c r="D2488" s="35">
        <v>26021043.030000001</v>
      </c>
      <c r="E2488" s="35">
        <v>789847</v>
      </c>
      <c r="F2488" s="35">
        <v>18817242.059999999</v>
      </c>
    </row>
    <row r="2489" spans="1:6" x14ac:dyDescent="0.3">
      <c r="A2489" t="s">
        <v>51</v>
      </c>
      <c r="B2489">
        <v>2025</v>
      </c>
      <c r="C2489" t="s">
        <v>7</v>
      </c>
      <c r="D2489" s="35">
        <v>196185267.84</v>
      </c>
      <c r="E2489" s="35">
        <v>58245</v>
      </c>
      <c r="F2489" s="35">
        <v>193018353.27000001</v>
      </c>
    </row>
    <row r="2490" spans="1:6" x14ac:dyDescent="0.3">
      <c r="A2490" t="s">
        <v>51</v>
      </c>
      <c r="B2490">
        <v>2025</v>
      </c>
      <c r="C2490" t="s">
        <v>11</v>
      </c>
      <c r="D2490" s="35">
        <v>54990876.780000009</v>
      </c>
      <c r="E2490" s="35">
        <v>75752</v>
      </c>
      <c r="F2490" s="35">
        <v>52024395.390000001</v>
      </c>
    </row>
    <row r="2491" spans="1:6" x14ac:dyDescent="0.3">
      <c r="A2491" t="s">
        <v>51</v>
      </c>
      <c r="B2491">
        <v>2025</v>
      </c>
      <c r="C2491" t="s">
        <v>3</v>
      </c>
      <c r="D2491" s="35">
        <v>234294729.36999989</v>
      </c>
      <c r="E2491" s="35">
        <v>611307</v>
      </c>
      <c r="F2491" s="35">
        <v>228779135.54000011</v>
      </c>
    </row>
    <row r="2492" spans="1:6" x14ac:dyDescent="0.3">
      <c r="A2492" t="s">
        <v>51</v>
      </c>
      <c r="B2492">
        <v>2025</v>
      </c>
      <c r="C2492" t="s">
        <v>12</v>
      </c>
      <c r="D2492" s="35">
        <v>43996551.920000002</v>
      </c>
      <c r="E2492" s="35">
        <v>1508112</v>
      </c>
      <c r="F2492" s="35">
        <v>28734273.670000002</v>
      </c>
    </row>
    <row r="2493" spans="1:6" x14ac:dyDescent="0.3">
      <c r="A2493" t="s">
        <v>51</v>
      </c>
      <c r="B2493">
        <v>2025</v>
      </c>
      <c r="C2493" t="s">
        <v>2</v>
      </c>
      <c r="D2493" s="35">
        <v>377166967.20999998</v>
      </c>
      <c r="E2493" s="35">
        <v>4094435</v>
      </c>
      <c r="F2493" s="35">
        <v>311696253.52999997</v>
      </c>
    </row>
    <row r="2494" spans="1:6" x14ac:dyDescent="0.3">
      <c r="A2494" t="s">
        <v>51</v>
      </c>
      <c r="B2494">
        <v>2025</v>
      </c>
      <c r="C2494" t="s">
        <v>5</v>
      </c>
      <c r="D2494" s="35">
        <v>121175650.20999999</v>
      </c>
      <c r="E2494" s="35">
        <v>47922</v>
      </c>
      <c r="F2494" s="35">
        <v>112630754.69</v>
      </c>
    </row>
    <row r="2495" spans="1:6" x14ac:dyDescent="0.3">
      <c r="A2495" t="s">
        <v>51</v>
      </c>
      <c r="B2495">
        <v>2025</v>
      </c>
      <c r="C2495" t="s">
        <v>17</v>
      </c>
      <c r="D2495" s="35">
        <v>5284309.04</v>
      </c>
      <c r="E2495" s="35">
        <v>172626</v>
      </c>
      <c r="F2495" s="35">
        <v>1759822.55</v>
      </c>
    </row>
    <row r="2496" spans="1:6" x14ac:dyDescent="0.3">
      <c r="A2496" t="s">
        <v>51</v>
      </c>
      <c r="B2496">
        <v>2025</v>
      </c>
      <c r="C2496" t="s">
        <v>9</v>
      </c>
      <c r="D2496" s="35">
        <v>155520448.5</v>
      </c>
      <c r="E2496" s="35">
        <v>1545656</v>
      </c>
      <c r="F2496" s="35">
        <v>143852947.49000001</v>
      </c>
    </row>
    <row r="2497" spans="1:6" x14ac:dyDescent="0.3">
      <c r="A2497" t="s">
        <v>51</v>
      </c>
      <c r="B2497">
        <v>2025</v>
      </c>
      <c r="C2497" t="s">
        <v>8</v>
      </c>
      <c r="D2497" s="35">
        <v>42651818.909999996</v>
      </c>
      <c r="E2497" s="35">
        <v>2348</v>
      </c>
      <c r="F2497" s="35">
        <v>42651818.909999996</v>
      </c>
    </row>
    <row r="2498" spans="1:6" x14ac:dyDescent="0.3">
      <c r="A2498" t="s">
        <v>51</v>
      </c>
      <c r="B2498">
        <v>2025</v>
      </c>
      <c r="C2498" t="s">
        <v>6</v>
      </c>
      <c r="D2498" s="35">
        <v>88986132.280000001</v>
      </c>
      <c r="E2498" s="35">
        <v>1848147</v>
      </c>
      <c r="F2498" s="35">
        <v>68911419.150000021</v>
      </c>
    </row>
    <row r="2499" spans="1:6" x14ac:dyDescent="0.3">
      <c r="A2499" t="s">
        <v>51</v>
      </c>
      <c r="B2499">
        <v>2025</v>
      </c>
      <c r="C2499" t="s">
        <v>15</v>
      </c>
      <c r="D2499" s="35">
        <v>14921422.59</v>
      </c>
      <c r="E2499" s="35">
        <v>266969</v>
      </c>
      <c r="F2499" s="35">
        <v>10279159.560000001</v>
      </c>
    </row>
    <row r="2500" spans="1:6" x14ac:dyDescent="0.3">
      <c r="A2500" t="s">
        <v>51</v>
      </c>
      <c r="B2500">
        <v>2025</v>
      </c>
      <c r="C2500" t="s">
        <v>18</v>
      </c>
      <c r="D2500" s="35">
        <v>3380651.08</v>
      </c>
      <c r="E2500" s="35">
        <v>39636</v>
      </c>
      <c r="F2500" s="35">
        <v>1973028.4</v>
      </c>
    </row>
    <row r="2501" spans="1:6" x14ac:dyDescent="0.3">
      <c r="A2501" t="s">
        <v>52</v>
      </c>
      <c r="B2501">
        <v>2019</v>
      </c>
      <c r="C2501" t="s">
        <v>10</v>
      </c>
      <c r="D2501" s="35">
        <v>6665687.8400000008</v>
      </c>
      <c r="E2501" s="35">
        <v>171090</v>
      </c>
      <c r="F2501" s="35">
        <v>3749397.62</v>
      </c>
    </row>
    <row r="2502" spans="1:6" x14ac:dyDescent="0.3">
      <c r="A2502" t="s">
        <v>52</v>
      </c>
      <c r="B2502">
        <v>2019</v>
      </c>
      <c r="C2502" t="s">
        <v>4</v>
      </c>
      <c r="D2502" s="35">
        <v>26940874.98</v>
      </c>
      <c r="E2502" s="35">
        <v>68223</v>
      </c>
      <c r="F2502" s="35">
        <v>26661602.350000001</v>
      </c>
    </row>
    <row r="2503" spans="1:6" x14ac:dyDescent="0.3">
      <c r="A2503" t="s">
        <v>52</v>
      </c>
      <c r="B2503">
        <v>2019</v>
      </c>
      <c r="C2503" t="s">
        <v>13</v>
      </c>
      <c r="D2503" s="35">
        <v>7816449.8099999996</v>
      </c>
      <c r="E2503" s="35">
        <v>79079</v>
      </c>
      <c r="F2503" s="35">
        <v>6112119.79</v>
      </c>
    </row>
    <row r="2504" spans="1:6" x14ac:dyDescent="0.3">
      <c r="A2504" t="s">
        <v>52</v>
      </c>
      <c r="B2504">
        <v>2019</v>
      </c>
      <c r="C2504" t="s">
        <v>16</v>
      </c>
      <c r="D2504" s="35">
        <v>7093326.3799999999</v>
      </c>
      <c r="E2504" s="35">
        <v>8975</v>
      </c>
      <c r="F2504" s="35">
        <v>6982126.5799999991</v>
      </c>
    </row>
    <row r="2505" spans="1:6" x14ac:dyDescent="0.3">
      <c r="A2505" t="s">
        <v>52</v>
      </c>
      <c r="B2505">
        <v>2019</v>
      </c>
      <c r="C2505" t="s">
        <v>14</v>
      </c>
      <c r="D2505" s="35">
        <v>5687393.1100000003</v>
      </c>
      <c r="E2505" s="35">
        <v>107992</v>
      </c>
      <c r="F2505" s="35">
        <v>4125881.78</v>
      </c>
    </row>
    <row r="2506" spans="1:6" x14ac:dyDescent="0.3">
      <c r="A2506" t="s">
        <v>52</v>
      </c>
      <c r="B2506">
        <v>2019</v>
      </c>
      <c r="C2506" t="s">
        <v>7</v>
      </c>
      <c r="D2506" s="35">
        <v>12553232.74</v>
      </c>
      <c r="E2506" s="35">
        <v>5886</v>
      </c>
      <c r="F2506" s="35">
        <v>12541898.57</v>
      </c>
    </row>
    <row r="2507" spans="1:6" x14ac:dyDescent="0.3">
      <c r="A2507" t="s">
        <v>52</v>
      </c>
      <c r="B2507">
        <v>2019</v>
      </c>
      <c r="C2507" t="s">
        <v>11</v>
      </c>
      <c r="D2507" s="35">
        <v>4872360.7200000007</v>
      </c>
      <c r="E2507" s="35">
        <v>9544</v>
      </c>
      <c r="F2507" s="35">
        <v>4698792.0400000019</v>
      </c>
    </row>
    <row r="2508" spans="1:6" x14ac:dyDescent="0.3">
      <c r="A2508" t="s">
        <v>52</v>
      </c>
      <c r="B2508">
        <v>2019</v>
      </c>
      <c r="C2508" t="s">
        <v>3</v>
      </c>
      <c r="D2508" s="35">
        <v>24609756.190000009</v>
      </c>
      <c r="E2508" s="35">
        <v>68011</v>
      </c>
      <c r="F2508" s="35">
        <v>23699047.840000011</v>
      </c>
    </row>
    <row r="2509" spans="1:6" x14ac:dyDescent="0.3">
      <c r="A2509" t="s">
        <v>52</v>
      </c>
      <c r="B2509">
        <v>2019</v>
      </c>
      <c r="C2509" t="s">
        <v>12</v>
      </c>
      <c r="D2509" s="35">
        <v>24109522.080000009</v>
      </c>
      <c r="E2509" s="35">
        <v>191750</v>
      </c>
      <c r="F2509" s="35">
        <v>20847545.190000001</v>
      </c>
    </row>
    <row r="2510" spans="1:6" x14ac:dyDescent="0.3">
      <c r="A2510" t="s">
        <v>52</v>
      </c>
      <c r="B2510">
        <v>2019</v>
      </c>
      <c r="C2510" t="s">
        <v>2</v>
      </c>
      <c r="D2510" s="35">
        <v>72938862.579999998</v>
      </c>
      <c r="E2510" s="35">
        <v>695321</v>
      </c>
      <c r="F2510" s="35">
        <v>61246407.590000004</v>
      </c>
    </row>
    <row r="2511" spans="1:6" x14ac:dyDescent="0.3">
      <c r="A2511" t="s">
        <v>52</v>
      </c>
      <c r="B2511">
        <v>2019</v>
      </c>
      <c r="C2511" t="s">
        <v>5</v>
      </c>
      <c r="D2511" s="35">
        <v>13001113.199999999</v>
      </c>
      <c r="E2511" s="35">
        <v>7972</v>
      </c>
      <c r="F2511" s="35">
        <v>12549028.82</v>
      </c>
    </row>
    <row r="2512" spans="1:6" x14ac:dyDescent="0.3">
      <c r="A2512" t="s">
        <v>52</v>
      </c>
      <c r="B2512">
        <v>2019</v>
      </c>
      <c r="C2512" t="s">
        <v>17</v>
      </c>
      <c r="D2512" s="35">
        <v>543097.51</v>
      </c>
      <c r="E2512" s="35">
        <v>23066</v>
      </c>
      <c r="F2512" s="35">
        <v>237201.41</v>
      </c>
    </row>
    <row r="2513" spans="1:6" x14ac:dyDescent="0.3">
      <c r="A2513" t="s">
        <v>52</v>
      </c>
      <c r="B2513">
        <v>2019</v>
      </c>
      <c r="C2513" t="s">
        <v>9</v>
      </c>
      <c r="D2513" s="35">
        <v>28661532.25999999</v>
      </c>
      <c r="E2513" s="35">
        <v>329052</v>
      </c>
      <c r="F2513" s="35">
        <v>25215546.469999999</v>
      </c>
    </row>
    <row r="2514" spans="1:6" x14ac:dyDescent="0.3">
      <c r="A2514" t="s">
        <v>52</v>
      </c>
      <c r="B2514">
        <v>2019</v>
      </c>
      <c r="C2514" t="s">
        <v>8</v>
      </c>
      <c r="D2514" s="35">
        <v>8051072.1599999992</v>
      </c>
      <c r="E2514" s="35">
        <v>955</v>
      </c>
      <c r="F2514" s="35">
        <v>8051072.1599999992</v>
      </c>
    </row>
    <row r="2515" spans="1:6" x14ac:dyDescent="0.3">
      <c r="A2515" t="s">
        <v>52</v>
      </c>
      <c r="B2515">
        <v>2019</v>
      </c>
      <c r="C2515" t="s">
        <v>6</v>
      </c>
      <c r="D2515" s="35">
        <v>29581660.300000001</v>
      </c>
      <c r="E2515" s="35">
        <v>271408</v>
      </c>
      <c r="F2515" s="35">
        <v>27242511.800000001</v>
      </c>
    </row>
    <row r="2516" spans="1:6" x14ac:dyDescent="0.3">
      <c r="A2516" t="s">
        <v>52</v>
      </c>
      <c r="B2516">
        <v>2019</v>
      </c>
      <c r="C2516" t="s">
        <v>15</v>
      </c>
      <c r="D2516" s="35">
        <v>9669896.9900000002</v>
      </c>
      <c r="E2516" s="35">
        <v>137819</v>
      </c>
      <c r="F2516" s="35">
        <v>7565139.9399999976</v>
      </c>
    </row>
    <row r="2517" spans="1:6" x14ac:dyDescent="0.3">
      <c r="A2517" t="s">
        <v>52</v>
      </c>
      <c r="B2517">
        <v>2019</v>
      </c>
      <c r="C2517" t="s">
        <v>18</v>
      </c>
      <c r="D2517" s="35">
        <v>1557938.53</v>
      </c>
      <c r="E2517" s="35">
        <v>6245</v>
      </c>
      <c r="F2517" s="35">
        <v>1476514.88</v>
      </c>
    </row>
    <row r="2518" spans="1:6" x14ac:dyDescent="0.3">
      <c r="A2518" t="s">
        <v>52</v>
      </c>
      <c r="B2518">
        <v>2020</v>
      </c>
      <c r="C2518" t="s">
        <v>10</v>
      </c>
      <c r="D2518" s="35">
        <v>10189430.060000001</v>
      </c>
      <c r="E2518" s="35">
        <v>220610</v>
      </c>
      <c r="F2518" s="35">
        <v>6048363.1600000001</v>
      </c>
    </row>
    <row r="2519" spans="1:6" x14ac:dyDescent="0.3">
      <c r="A2519" t="s">
        <v>52</v>
      </c>
      <c r="B2519">
        <v>2020</v>
      </c>
      <c r="C2519" t="s">
        <v>4</v>
      </c>
      <c r="D2519" s="35">
        <v>36835793.369999997</v>
      </c>
      <c r="E2519" s="35">
        <v>88053</v>
      </c>
      <c r="F2519" s="35">
        <v>36467103.630000003</v>
      </c>
    </row>
    <row r="2520" spans="1:6" x14ac:dyDescent="0.3">
      <c r="A2520" t="s">
        <v>52</v>
      </c>
      <c r="B2520">
        <v>2020</v>
      </c>
      <c r="C2520" t="s">
        <v>13</v>
      </c>
      <c r="D2520" s="35">
        <v>11039406.41</v>
      </c>
      <c r="E2520" s="35">
        <v>93942</v>
      </c>
      <c r="F2520" s="35">
        <v>8877792.7899999991</v>
      </c>
    </row>
    <row r="2521" spans="1:6" x14ac:dyDescent="0.3">
      <c r="A2521" t="s">
        <v>52</v>
      </c>
      <c r="B2521">
        <v>2020</v>
      </c>
      <c r="C2521" t="s">
        <v>16</v>
      </c>
      <c r="D2521" s="35">
        <v>9067063.5299999993</v>
      </c>
      <c r="E2521" s="35">
        <v>9748</v>
      </c>
      <c r="F2521" s="35">
        <v>8928854.2700000014</v>
      </c>
    </row>
    <row r="2522" spans="1:6" x14ac:dyDescent="0.3">
      <c r="A2522" t="s">
        <v>52</v>
      </c>
      <c r="B2522">
        <v>2020</v>
      </c>
      <c r="C2522" t="s">
        <v>14</v>
      </c>
      <c r="D2522" s="35">
        <v>7802393.4299999997</v>
      </c>
      <c r="E2522" s="35">
        <v>145297</v>
      </c>
      <c r="F2522" s="35">
        <v>5271806.0599999996</v>
      </c>
    </row>
    <row r="2523" spans="1:6" x14ac:dyDescent="0.3">
      <c r="A2523" t="s">
        <v>52</v>
      </c>
      <c r="B2523">
        <v>2020</v>
      </c>
      <c r="C2523" t="s">
        <v>7</v>
      </c>
      <c r="D2523" s="35">
        <v>14481082.810000001</v>
      </c>
      <c r="E2523" s="35">
        <v>6136</v>
      </c>
      <c r="F2523" s="35">
        <v>14479712.57</v>
      </c>
    </row>
    <row r="2524" spans="1:6" x14ac:dyDescent="0.3">
      <c r="A2524" t="s">
        <v>52</v>
      </c>
      <c r="B2524">
        <v>2020</v>
      </c>
      <c r="C2524" t="s">
        <v>11</v>
      </c>
      <c r="D2524" s="35">
        <v>8877900.8600000013</v>
      </c>
      <c r="E2524" s="35">
        <v>11464</v>
      </c>
      <c r="F2524" s="35">
        <v>8649372.5999999996</v>
      </c>
    </row>
    <row r="2525" spans="1:6" x14ac:dyDescent="0.3">
      <c r="A2525" t="s">
        <v>52</v>
      </c>
      <c r="B2525">
        <v>2020</v>
      </c>
      <c r="C2525" t="s">
        <v>3</v>
      </c>
      <c r="D2525" s="35">
        <v>45667865.190000013</v>
      </c>
      <c r="E2525" s="35">
        <v>75362</v>
      </c>
      <c r="F2525" s="35">
        <v>44621036.75</v>
      </c>
    </row>
    <row r="2526" spans="1:6" x14ac:dyDescent="0.3">
      <c r="A2526" t="s">
        <v>52</v>
      </c>
      <c r="B2526">
        <v>2020</v>
      </c>
      <c r="C2526" t="s">
        <v>12</v>
      </c>
      <c r="D2526" s="35">
        <v>23602188.329999998</v>
      </c>
      <c r="E2526" s="35">
        <v>181429</v>
      </c>
      <c r="F2526" s="35">
        <v>20263412.640000001</v>
      </c>
    </row>
    <row r="2527" spans="1:6" x14ac:dyDescent="0.3">
      <c r="A2527" t="s">
        <v>52</v>
      </c>
      <c r="B2527">
        <v>2020</v>
      </c>
      <c r="C2527" t="s">
        <v>2</v>
      </c>
      <c r="D2527" s="35">
        <v>85576189.200000003</v>
      </c>
      <c r="E2527" s="35">
        <v>793905</v>
      </c>
      <c r="F2527" s="35">
        <v>71860573.189999998</v>
      </c>
    </row>
    <row r="2528" spans="1:6" x14ac:dyDescent="0.3">
      <c r="A2528" t="s">
        <v>52</v>
      </c>
      <c r="B2528">
        <v>2020</v>
      </c>
      <c r="C2528" t="s">
        <v>5</v>
      </c>
      <c r="D2528" s="35">
        <v>15484268.470000001</v>
      </c>
      <c r="E2528" s="35">
        <v>9497</v>
      </c>
      <c r="F2528" s="35">
        <v>15035324.17</v>
      </c>
    </row>
    <row r="2529" spans="1:6" x14ac:dyDescent="0.3">
      <c r="A2529" t="s">
        <v>52</v>
      </c>
      <c r="B2529">
        <v>2020</v>
      </c>
      <c r="C2529" t="s">
        <v>17</v>
      </c>
      <c r="D2529" s="35">
        <v>997800.52</v>
      </c>
      <c r="E2529" s="35">
        <v>28019</v>
      </c>
      <c r="F2529" s="35">
        <v>448211.86999999988</v>
      </c>
    </row>
    <row r="2530" spans="1:6" x14ac:dyDescent="0.3">
      <c r="A2530" t="s">
        <v>52</v>
      </c>
      <c r="B2530">
        <v>2020</v>
      </c>
      <c r="C2530" t="s">
        <v>9</v>
      </c>
      <c r="D2530" s="35">
        <v>39991767.409999989</v>
      </c>
      <c r="E2530" s="35">
        <v>401226</v>
      </c>
      <c r="F2530" s="35">
        <v>35490958.600000001</v>
      </c>
    </row>
    <row r="2531" spans="1:6" x14ac:dyDescent="0.3">
      <c r="A2531" t="s">
        <v>52</v>
      </c>
      <c r="B2531">
        <v>2020</v>
      </c>
      <c r="C2531" t="s">
        <v>8</v>
      </c>
      <c r="D2531" s="35">
        <v>17049696.170000002</v>
      </c>
      <c r="E2531" s="35">
        <v>1365</v>
      </c>
      <c r="F2531" s="35">
        <v>17049696.170000002</v>
      </c>
    </row>
    <row r="2532" spans="1:6" x14ac:dyDescent="0.3">
      <c r="A2532" t="s">
        <v>52</v>
      </c>
      <c r="B2532">
        <v>2020</v>
      </c>
      <c r="C2532" t="s">
        <v>6</v>
      </c>
      <c r="D2532" s="35">
        <v>35733327.020000003</v>
      </c>
      <c r="E2532" s="35">
        <v>308349</v>
      </c>
      <c r="F2532" s="35">
        <v>32754987.120000001</v>
      </c>
    </row>
    <row r="2533" spans="1:6" x14ac:dyDescent="0.3">
      <c r="A2533" t="s">
        <v>52</v>
      </c>
      <c r="B2533">
        <v>2020</v>
      </c>
      <c r="C2533" t="s">
        <v>15</v>
      </c>
      <c r="D2533" s="35">
        <v>7981736.7699999996</v>
      </c>
      <c r="E2533" s="35">
        <v>106612</v>
      </c>
      <c r="F2533" s="35">
        <v>6036771.0499999998</v>
      </c>
    </row>
    <row r="2534" spans="1:6" x14ac:dyDescent="0.3">
      <c r="A2534" t="s">
        <v>52</v>
      </c>
      <c r="B2534">
        <v>2020</v>
      </c>
      <c r="C2534" t="s">
        <v>18</v>
      </c>
      <c r="D2534" s="35">
        <v>1586527.72</v>
      </c>
      <c r="E2534" s="35">
        <v>6984</v>
      </c>
      <c r="F2534" s="35">
        <v>1493352.62</v>
      </c>
    </row>
    <row r="2535" spans="1:6" x14ac:dyDescent="0.3">
      <c r="A2535" t="s">
        <v>52</v>
      </c>
      <c r="B2535">
        <v>2021</v>
      </c>
      <c r="C2535" t="s">
        <v>10</v>
      </c>
      <c r="D2535" s="35">
        <v>12898374.460000001</v>
      </c>
      <c r="E2535" s="35">
        <v>258800</v>
      </c>
      <c r="F2535" s="35">
        <v>8077107.7300000004</v>
      </c>
    </row>
    <row r="2536" spans="1:6" x14ac:dyDescent="0.3">
      <c r="A2536" t="s">
        <v>52</v>
      </c>
      <c r="B2536">
        <v>2021</v>
      </c>
      <c r="C2536" t="s">
        <v>4</v>
      </c>
      <c r="D2536" s="35">
        <v>48106120.100000001</v>
      </c>
      <c r="E2536" s="35">
        <v>107741</v>
      </c>
      <c r="F2536" s="35">
        <v>47633776.369999982</v>
      </c>
    </row>
    <row r="2537" spans="1:6" x14ac:dyDescent="0.3">
      <c r="A2537" t="s">
        <v>52</v>
      </c>
      <c r="B2537">
        <v>2021</v>
      </c>
      <c r="C2537" t="s">
        <v>13</v>
      </c>
      <c r="D2537" s="35">
        <v>14725211.73</v>
      </c>
      <c r="E2537" s="35">
        <v>108203</v>
      </c>
      <c r="F2537" s="35">
        <v>12426311.119999999</v>
      </c>
    </row>
    <row r="2538" spans="1:6" x14ac:dyDescent="0.3">
      <c r="A2538" t="s">
        <v>52</v>
      </c>
      <c r="B2538">
        <v>2021</v>
      </c>
      <c r="C2538" t="s">
        <v>16</v>
      </c>
      <c r="D2538" s="35">
        <v>9522723.3800000008</v>
      </c>
      <c r="E2538" s="35">
        <v>10875</v>
      </c>
      <c r="F2538" s="35">
        <v>9312119.6199999992</v>
      </c>
    </row>
    <row r="2539" spans="1:6" x14ac:dyDescent="0.3">
      <c r="A2539" t="s">
        <v>52</v>
      </c>
      <c r="B2539">
        <v>2021</v>
      </c>
      <c r="C2539" t="s">
        <v>14</v>
      </c>
      <c r="D2539" s="35">
        <v>8967486.3900000006</v>
      </c>
      <c r="E2539" s="35">
        <v>168955</v>
      </c>
      <c r="F2539" s="35">
        <v>6020916.2600000007</v>
      </c>
    </row>
    <row r="2540" spans="1:6" x14ac:dyDescent="0.3">
      <c r="A2540" t="s">
        <v>52</v>
      </c>
      <c r="B2540">
        <v>2021</v>
      </c>
      <c r="C2540" t="s">
        <v>7</v>
      </c>
      <c r="D2540" s="35">
        <v>15674788.15</v>
      </c>
      <c r="E2540" s="35">
        <v>6302</v>
      </c>
      <c r="F2540" s="35">
        <v>15670978.09</v>
      </c>
    </row>
    <row r="2541" spans="1:6" x14ac:dyDescent="0.3">
      <c r="A2541" t="s">
        <v>52</v>
      </c>
      <c r="B2541">
        <v>2021</v>
      </c>
      <c r="C2541" t="s">
        <v>11</v>
      </c>
      <c r="D2541" s="35">
        <v>9588810.4500000011</v>
      </c>
      <c r="E2541" s="35">
        <v>12236</v>
      </c>
      <c r="F2541" s="35">
        <v>9412874.6800000016</v>
      </c>
    </row>
    <row r="2542" spans="1:6" x14ac:dyDescent="0.3">
      <c r="A2542" t="s">
        <v>52</v>
      </c>
      <c r="B2542">
        <v>2021</v>
      </c>
      <c r="C2542" t="s">
        <v>3</v>
      </c>
      <c r="D2542" s="35">
        <v>69373058.949999988</v>
      </c>
      <c r="E2542" s="35">
        <v>85543</v>
      </c>
      <c r="F2542" s="35">
        <v>68160117.75999999</v>
      </c>
    </row>
    <row r="2543" spans="1:6" x14ac:dyDescent="0.3">
      <c r="A2543" t="s">
        <v>52</v>
      </c>
      <c r="B2543">
        <v>2021</v>
      </c>
      <c r="C2543" t="s">
        <v>12</v>
      </c>
      <c r="D2543" s="35">
        <v>23166330.710000001</v>
      </c>
      <c r="E2543" s="35">
        <v>190528</v>
      </c>
      <c r="F2543" s="35">
        <v>19789970.82</v>
      </c>
    </row>
    <row r="2544" spans="1:6" x14ac:dyDescent="0.3">
      <c r="A2544" t="s">
        <v>52</v>
      </c>
      <c r="B2544">
        <v>2021</v>
      </c>
      <c r="C2544" t="s">
        <v>2</v>
      </c>
      <c r="D2544" s="35">
        <v>99079264.640000001</v>
      </c>
      <c r="E2544" s="35">
        <v>885142</v>
      </c>
      <c r="F2544" s="35">
        <v>84293500.200000003</v>
      </c>
    </row>
    <row r="2545" spans="1:6" x14ac:dyDescent="0.3">
      <c r="A2545" t="s">
        <v>52</v>
      </c>
      <c r="B2545">
        <v>2021</v>
      </c>
      <c r="C2545" t="s">
        <v>5</v>
      </c>
      <c r="D2545" s="35">
        <v>19174327.350000001</v>
      </c>
      <c r="E2545" s="35">
        <v>9696</v>
      </c>
      <c r="F2545" s="35">
        <v>18644134.82</v>
      </c>
    </row>
    <row r="2546" spans="1:6" x14ac:dyDescent="0.3">
      <c r="A2546" t="s">
        <v>52</v>
      </c>
      <c r="B2546">
        <v>2021</v>
      </c>
      <c r="C2546" t="s">
        <v>17</v>
      </c>
      <c r="D2546" s="35">
        <v>1346830.04</v>
      </c>
      <c r="E2546" s="35">
        <v>31325</v>
      </c>
      <c r="F2546" s="35">
        <v>733042.29999999993</v>
      </c>
    </row>
    <row r="2547" spans="1:6" x14ac:dyDescent="0.3">
      <c r="A2547" t="s">
        <v>52</v>
      </c>
      <c r="B2547">
        <v>2021</v>
      </c>
      <c r="C2547" t="s">
        <v>9</v>
      </c>
      <c r="D2547" s="35">
        <v>43001987.810000002</v>
      </c>
      <c r="E2547" s="35">
        <v>424608</v>
      </c>
      <c r="F2547" s="35">
        <v>37936361.93</v>
      </c>
    </row>
    <row r="2548" spans="1:6" x14ac:dyDescent="0.3">
      <c r="A2548" t="s">
        <v>52</v>
      </c>
      <c r="B2548">
        <v>2021</v>
      </c>
      <c r="C2548" t="s">
        <v>8</v>
      </c>
      <c r="D2548" s="35">
        <v>17342766.140000001</v>
      </c>
      <c r="E2548" s="35">
        <v>1336</v>
      </c>
      <c r="F2548" s="35">
        <v>17342766.140000001</v>
      </c>
    </row>
    <row r="2549" spans="1:6" x14ac:dyDescent="0.3">
      <c r="A2549" t="s">
        <v>52</v>
      </c>
      <c r="B2549">
        <v>2021</v>
      </c>
      <c r="C2549" t="s">
        <v>6</v>
      </c>
      <c r="D2549" s="35">
        <v>38179820.010000013</v>
      </c>
      <c r="E2549" s="35">
        <v>328016</v>
      </c>
      <c r="F2549" s="35">
        <v>33611189.120000012</v>
      </c>
    </row>
    <row r="2550" spans="1:6" x14ac:dyDescent="0.3">
      <c r="A2550" t="s">
        <v>52</v>
      </c>
      <c r="B2550">
        <v>2021</v>
      </c>
      <c r="C2550" t="s">
        <v>15</v>
      </c>
      <c r="D2550" s="35">
        <v>8100500.6000000006</v>
      </c>
      <c r="E2550" s="35">
        <v>102680</v>
      </c>
      <c r="F2550" s="35">
        <v>6046556.0799999991</v>
      </c>
    </row>
    <row r="2551" spans="1:6" x14ac:dyDescent="0.3">
      <c r="A2551" t="s">
        <v>52</v>
      </c>
      <c r="B2551">
        <v>2021</v>
      </c>
      <c r="C2551" t="s">
        <v>18</v>
      </c>
      <c r="D2551" s="35">
        <v>1949239.04</v>
      </c>
      <c r="E2551" s="35">
        <v>8264</v>
      </c>
      <c r="F2551" s="35">
        <v>1794735.82</v>
      </c>
    </row>
    <row r="2552" spans="1:6" x14ac:dyDescent="0.3">
      <c r="A2552" t="s">
        <v>52</v>
      </c>
      <c r="B2552">
        <v>2022</v>
      </c>
      <c r="C2552" t="s">
        <v>10</v>
      </c>
      <c r="D2552" s="35">
        <v>15059295.58</v>
      </c>
      <c r="E2552" s="35">
        <v>279719</v>
      </c>
      <c r="F2552" s="35">
        <v>10084955.01</v>
      </c>
    </row>
    <row r="2553" spans="1:6" x14ac:dyDescent="0.3">
      <c r="A2553" t="s">
        <v>52</v>
      </c>
      <c r="B2553">
        <v>2022</v>
      </c>
      <c r="C2553" t="s">
        <v>4</v>
      </c>
      <c r="D2553" s="35">
        <v>57630895.200000003</v>
      </c>
      <c r="E2553" s="35">
        <v>118900</v>
      </c>
      <c r="F2553" s="35">
        <v>57142308.430000007</v>
      </c>
    </row>
    <row r="2554" spans="1:6" x14ac:dyDescent="0.3">
      <c r="A2554" t="s">
        <v>52</v>
      </c>
      <c r="B2554">
        <v>2022</v>
      </c>
      <c r="C2554" t="s">
        <v>13</v>
      </c>
      <c r="D2554" s="35">
        <v>12290626.26</v>
      </c>
      <c r="E2554" s="35">
        <v>106796</v>
      </c>
      <c r="F2554" s="35">
        <v>10149237.02</v>
      </c>
    </row>
    <row r="2555" spans="1:6" x14ac:dyDescent="0.3">
      <c r="A2555" t="s">
        <v>52</v>
      </c>
      <c r="B2555">
        <v>2022</v>
      </c>
      <c r="C2555" t="s">
        <v>16</v>
      </c>
      <c r="D2555" s="35">
        <v>10280999.83</v>
      </c>
      <c r="E2555" s="35">
        <v>11250</v>
      </c>
      <c r="F2555" s="35">
        <v>10065967.67</v>
      </c>
    </row>
    <row r="2556" spans="1:6" x14ac:dyDescent="0.3">
      <c r="A2556" t="s">
        <v>52</v>
      </c>
      <c r="B2556">
        <v>2022</v>
      </c>
      <c r="C2556" t="s">
        <v>14</v>
      </c>
      <c r="D2556" s="35">
        <v>9390010.6300000008</v>
      </c>
      <c r="E2556" s="35">
        <v>178591</v>
      </c>
      <c r="F2556" s="35">
        <v>6381327.8000000017</v>
      </c>
    </row>
    <row r="2557" spans="1:6" x14ac:dyDescent="0.3">
      <c r="A2557" t="s">
        <v>52</v>
      </c>
      <c r="B2557">
        <v>2022</v>
      </c>
      <c r="C2557" t="s">
        <v>7</v>
      </c>
      <c r="D2557" s="35">
        <v>15568364.49</v>
      </c>
      <c r="E2557" s="35">
        <v>5973</v>
      </c>
      <c r="F2557" s="35">
        <v>15548763.039999999</v>
      </c>
    </row>
    <row r="2558" spans="1:6" x14ac:dyDescent="0.3">
      <c r="A2558" t="s">
        <v>52</v>
      </c>
      <c r="B2558">
        <v>2022</v>
      </c>
      <c r="C2558" t="s">
        <v>11</v>
      </c>
      <c r="D2558" s="35">
        <v>7204709.4100000001</v>
      </c>
      <c r="E2558" s="35">
        <v>14803</v>
      </c>
      <c r="F2558" s="35">
        <v>6943953.1899999985</v>
      </c>
    </row>
    <row r="2559" spans="1:6" x14ac:dyDescent="0.3">
      <c r="A2559" t="s">
        <v>52</v>
      </c>
      <c r="B2559">
        <v>2022</v>
      </c>
      <c r="C2559" t="s">
        <v>3</v>
      </c>
      <c r="D2559" s="35">
        <v>91250532.13000001</v>
      </c>
      <c r="E2559" s="35">
        <v>95639</v>
      </c>
      <c r="F2559" s="35">
        <v>89845576.420000002</v>
      </c>
    </row>
    <row r="2560" spans="1:6" x14ac:dyDescent="0.3">
      <c r="A2560" t="s">
        <v>52</v>
      </c>
      <c r="B2560">
        <v>2022</v>
      </c>
      <c r="C2560" t="s">
        <v>12</v>
      </c>
      <c r="D2560" s="35">
        <v>20254841.809999999</v>
      </c>
      <c r="E2560" s="35">
        <v>231683</v>
      </c>
      <c r="F2560" s="35">
        <v>16198836.460000001</v>
      </c>
    </row>
    <row r="2561" spans="1:6" x14ac:dyDescent="0.3">
      <c r="A2561" t="s">
        <v>52</v>
      </c>
      <c r="B2561">
        <v>2022</v>
      </c>
      <c r="C2561" t="s">
        <v>2</v>
      </c>
      <c r="D2561" s="35">
        <v>108244439.86</v>
      </c>
      <c r="E2561" s="35">
        <v>929990</v>
      </c>
      <c r="F2561" s="35">
        <v>93406983.549999982</v>
      </c>
    </row>
    <row r="2562" spans="1:6" x14ac:dyDescent="0.3">
      <c r="A2562" t="s">
        <v>52</v>
      </c>
      <c r="B2562">
        <v>2022</v>
      </c>
      <c r="C2562" t="s">
        <v>5</v>
      </c>
      <c r="D2562" s="35">
        <v>18911984.73</v>
      </c>
      <c r="E2562" s="35">
        <v>9662</v>
      </c>
      <c r="F2562" s="35">
        <v>18455612.719999999</v>
      </c>
    </row>
    <row r="2563" spans="1:6" x14ac:dyDescent="0.3">
      <c r="A2563" t="s">
        <v>52</v>
      </c>
      <c r="B2563">
        <v>2022</v>
      </c>
      <c r="C2563" t="s">
        <v>17</v>
      </c>
      <c r="D2563" s="35">
        <v>1003655.42</v>
      </c>
      <c r="E2563" s="35">
        <v>29601</v>
      </c>
      <c r="F2563" s="35">
        <v>448466.27</v>
      </c>
    </row>
    <row r="2564" spans="1:6" x14ac:dyDescent="0.3">
      <c r="A2564" t="s">
        <v>52</v>
      </c>
      <c r="B2564">
        <v>2022</v>
      </c>
      <c r="C2564" t="s">
        <v>9</v>
      </c>
      <c r="D2564" s="35">
        <v>44982877.68</v>
      </c>
      <c r="E2564" s="35">
        <v>433458</v>
      </c>
      <c r="F2564" s="35">
        <v>38933409.940000013</v>
      </c>
    </row>
    <row r="2565" spans="1:6" x14ac:dyDescent="0.3">
      <c r="A2565" t="s">
        <v>52</v>
      </c>
      <c r="B2565">
        <v>2022</v>
      </c>
      <c r="C2565" t="s">
        <v>8</v>
      </c>
      <c r="D2565" s="35">
        <v>22888487.760000002</v>
      </c>
      <c r="E2565" s="35">
        <v>1461</v>
      </c>
      <c r="F2565" s="35">
        <v>22888487.760000002</v>
      </c>
    </row>
    <row r="2566" spans="1:6" x14ac:dyDescent="0.3">
      <c r="A2566" t="s">
        <v>52</v>
      </c>
      <c r="B2566">
        <v>2022</v>
      </c>
      <c r="C2566" t="s">
        <v>6</v>
      </c>
      <c r="D2566" s="35">
        <v>41083890.039999999</v>
      </c>
      <c r="E2566" s="35">
        <v>360742</v>
      </c>
      <c r="F2566" s="35">
        <v>35643590.200000003</v>
      </c>
    </row>
    <row r="2567" spans="1:6" x14ac:dyDescent="0.3">
      <c r="A2567" t="s">
        <v>52</v>
      </c>
      <c r="B2567">
        <v>2022</v>
      </c>
      <c r="C2567" t="s">
        <v>15</v>
      </c>
      <c r="D2567" s="35">
        <v>6970073.4100000001</v>
      </c>
      <c r="E2567" s="35">
        <v>96381</v>
      </c>
      <c r="F2567" s="35">
        <v>5157588.21</v>
      </c>
    </row>
    <row r="2568" spans="1:6" x14ac:dyDescent="0.3">
      <c r="A2568" t="s">
        <v>52</v>
      </c>
      <c r="B2568">
        <v>2022</v>
      </c>
      <c r="C2568" t="s">
        <v>18</v>
      </c>
      <c r="D2568" s="35">
        <v>1978924.31</v>
      </c>
      <c r="E2568" s="35">
        <v>8827</v>
      </c>
      <c r="F2568" s="35">
        <v>1853728.68</v>
      </c>
    </row>
    <row r="2569" spans="1:6" x14ac:dyDescent="0.3">
      <c r="A2569" t="s">
        <v>52</v>
      </c>
      <c r="B2569">
        <v>2023</v>
      </c>
      <c r="C2569" t="s">
        <v>10</v>
      </c>
      <c r="D2569" s="35">
        <v>17166887.219999999</v>
      </c>
      <c r="E2569" s="35">
        <v>296455</v>
      </c>
      <c r="F2569" s="35">
        <v>11997587.57</v>
      </c>
    </row>
    <row r="2570" spans="1:6" x14ac:dyDescent="0.3">
      <c r="A2570" t="s">
        <v>52</v>
      </c>
      <c r="B2570">
        <v>2023</v>
      </c>
      <c r="C2570" t="s">
        <v>4</v>
      </c>
      <c r="D2570" s="35">
        <v>70089426.290000007</v>
      </c>
      <c r="E2570" s="35">
        <v>131819</v>
      </c>
      <c r="F2570" s="35">
        <v>69598579.109999999</v>
      </c>
    </row>
    <row r="2571" spans="1:6" x14ac:dyDescent="0.3">
      <c r="A2571" t="s">
        <v>52</v>
      </c>
      <c r="B2571">
        <v>2023</v>
      </c>
      <c r="C2571" t="s">
        <v>13</v>
      </c>
      <c r="D2571" s="35">
        <v>11964362.52</v>
      </c>
      <c r="E2571" s="35">
        <v>116093</v>
      </c>
      <c r="F2571" s="35">
        <v>9519227.8399999999</v>
      </c>
    </row>
    <row r="2572" spans="1:6" x14ac:dyDescent="0.3">
      <c r="A2572" t="s">
        <v>52</v>
      </c>
      <c r="B2572">
        <v>2023</v>
      </c>
      <c r="C2572" t="s">
        <v>16</v>
      </c>
      <c r="D2572" s="35">
        <v>9914015.9000000022</v>
      </c>
      <c r="E2572" s="35">
        <v>11637</v>
      </c>
      <c r="F2572" s="35">
        <v>9716777.3000000007</v>
      </c>
    </row>
    <row r="2573" spans="1:6" x14ac:dyDescent="0.3">
      <c r="A2573" t="s">
        <v>52</v>
      </c>
      <c r="B2573">
        <v>2023</v>
      </c>
      <c r="C2573" t="s">
        <v>14</v>
      </c>
      <c r="D2573" s="35">
        <v>10334521.890000001</v>
      </c>
      <c r="E2573" s="35">
        <v>189004</v>
      </c>
      <c r="F2573" s="35">
        <v>7038250.0600000015</v>
      </c>
    </row>
    <row r="2574" spans="1:6" x14ac:dyDescent="0.3">
      <c r="A2574" t="s">
        <v>52</v>
      </c>
      <c r="B2574">
        <v>2023</v>
      </c>
      <c r="C2574" t="s">
        <v>7</v>
      </c>
      <c r="D2574" s="35">
        <v>17102535.940000001</v>
      </c>
      <c r="E2574" s="35">
        <v>5884</v>
      </c>
      <c r="F2574" s="35">
        <v>17088798.859999999</v>
      </c>
    </row>
    <row r="2575" spans="1:6" x14ac:dyDescent="0.3">
      <c r="A2575" t="s">
        <v>52</v>
      </c>
      <c r="B2575">
        <v>2023</v>
      </c>
      <c r="C2575" t="s">
        <v>11</v>
      </c>
      <c r="D2575" s="35">
        <v>7865277.1999999993</v>
      </c>
      <c r="E2575" s="35">
        <v>14495</v>
      </c>
      <c r="F2575" s="35">
        <v>7660321.1699999999</v>
      </c>
    </row>
    <row r="2576" spans="1:6" x14ac:dyDescent="0.3">
      <c r="A2576" t="s">
        <v>52</v>
      </c>
      <c r="B2576">
        <v>2023</v>
      </c>
      <c r="C2576" t="s">
        <v>3</v>
      </c>
      <c r="D2576" s="35">
        <v>102150827.59999999</v>
      </c>
      <c r="E2576" s="35">
        <v>98543</v>
      </c>
      <c r="F2576" s="35">
        <v>100799837.18000001</v>
      </c>
    </row>
    <row r="2577" spans="1:6" x14ac:dyDescent="0.3">
      <c r="A2577" t="s">
        <v>52</v>
      </c>
      <c r="B2577">
        <v>2023</v>
      </c>
      <c r="C2577" t="s">
        <v>12</v>
      </c>
      <c r="D2577" s="35">
        <v>19574419.149999991</v>
      </c>
      <c r="E2577" s="35">
        <v>258348</v>
      </c>
      <c r="F2577" s="35">
        <v>15217654.77</v>
      </c>
    </row>
    <row r="2578" spans="1:6" x14ac:dyDescent="0.3">
      <c r="A2578" t="s">
        <v>52</v>
      </c>
      <c r="B2578">
        <v>2023</v>
      </c>
      <c r="C2578" t="s">
        <v>2</v>
      </c>
      <c r="D2578" s="35">
        <v>124801760.34</v>
      </c>
      <c r="E2578" s="35">
        <v>969951</v>
      </c>
      <c r="F2578" s="35">
        <v>109792687.19</v>
      </c>
    </row>
    <row r="2579" spans="1:6" x14ac:dyDescent="0.3">
      <c r="A2579" t="s">
        <v>52</v>
      </c>
      <c r="B2579">
        <v>2023</v>
      </c>
      <c r="C2579" t="s">
        <v>5</v>
      </c>
      <c r="D2579" s="35">
        <v>14853291.710000001</v>
      </c>
      <c r="E2579" s="35">
        <v>8063</v>
      </c>
      <c r="F2579" s="35">
        <v>14578884.75</v>
      </c>
    </row>
    <row r="2580" spans="1:6" x14ac:dyDescent="0.3">
      <c r="A2580" t="s">
        <v>52</v>
      </c>
      <c r="B2580">
        <v>2023</v>
      </c>
      <c r="C2580" t="s">
        <v>17</v>
      </c>
      <c r="D2580" s="35">
        <v>1476784.1</v>
      </c>
      <c r="E2580" s="35">
        <v>34697</v>
      </c>
      <c r="F2580" s="35">
        <v>845385</v>
      </c>
    </row>
    <row r="2581" spans="1:6" x14ac:dyDescent="0.3">
      <c r="A2581" t="s">
        <v>52</v>
      </c>
      <c r="B2581">
        <v>2023</v>
      </c>
      <c r="C2581" t="s">
        <v>9</v>
      </c>
      <c r="D2581" s="35">
        <v>46310115.979999997</v>
      </c>
      <c r="E2581" s="35">
        <v>401717</v>
      </c>
      <c r="F2581" s="35">
        <v>39863410.009999998</v>
      </c>
    </row>
    <row r="2582" spans="1:6" x14ac:dyDescent="0.3">
      <c r="A2582" t="s">
        <v>52</v>
      </c>
      <c r="B2582">
        <v>2023</v>
      </c>
      <c r="C2582" t="s">
        <v>8</v>
      </c>
      <c r="D2582" s="35">
        <v>25751992.789999999</v>
      </c>
      <c r="E2582" s="35">
        <v>1494</v>
      </c>
      <c r="F2582" s="35">
        <v>25751992.789999999</v>
      </c>
    </row>
    <row r="2583" spans="1:6" x14ac:dyDescent="0.3">
      <c r="A2583" t="s">
        <v>52</v>
      </c>
      <c r="B2583">
        <v>2023</v>
      </c>
      <c r="C2583" t="s">
        <v>6</v>
      </c>
      <c r="D2583" s="35">
        <v>43111253.690000013</v>
      </c>
      <c r="E2583" s="35">
        <v>366089</v>
      </c>
      <c r="F2583" s="35">
        <v>38998493.609999999</v>
      </c>
    </row>
    <row r="2584" spans="1:6" x14ac:dyDescent="0.3">
      <c r="A2584" t="s">
        <v>52</v>
      </c>
      <c r="B2584">
        <v>2023</v>
      </c>
      <c r="C2584" t="s">
        <v>15</v>
      </c>
      <c r="D2584" s="35">
        <v>5549839.9099999992</v>
      </c>
      <c r="E2584" s="35">
        <v>79571</v>
      </c>
      <c r="F2584" s="35">
        <v>4006665.43</v>
      </c>
    </row>
    <row r="2585" spans="1:6" x14ac:dyDescent="0.3">
      <c r="A2585" t="s">
        <v>52</v>
      </c>
      <c r="B2585">
        <v>2023</v>
      </c>
      <c r="C2585" t="s">
        <v>18</v>
      </c>
      <c r="D2585" s="35">
        <v>2068774.64</v>
      </c>
      <c r="E2585" s="35">
        <v>8779</v>
      </c>
      <c r="F2585" s="35">
        <v>1979176.87</v>
      </c>
    </row>
    <row r="2586" spans="1:6" x14ac:dyDescent="0.3">
      <c r="A2586" t="s">
        <v>52</v>
      </c>
      <c r="B2586">
        <v>2024</v>
      </c>
      <c r="C2586" t="s">
        <v>10</v>
      </c>
      <c r="D2586" s="35">
        <v>20299500.640000001</v>
      </c>
      <c r="E2586" s="35">
        <v>310205</v>
      </c>
      <c r="F2586" s="35">
        <v>15207891.560000001</v>
      </c>
    </row>
    <row r="2587" spans="1:6" x14ac:dyDescent="0.3">
      <c r="A2587" t="s">
        <v>52</v>
      </c>
      <c r="B2587">
        <v>2024</v>
      </c>
      <c r="C2587" t="s">
        <v>4</v>
      </c>
      <c r="D2587" s="35">
        <v>60393317.890000001</v>
      </c>
      <c r="E2587" s="35">
        <v>130295</v>
      </c>
      <c r="F2587" s="35">
        <v>59884477.089999989</v>
      </c>
    </row>
    <row r="2588" spans="1:6" x14ac:dyDescent="0.3">
      <c r="A2588" t="s">
        <v>52</v>
      </c>
      <c r="B2588">
        <v>2024</v>
      </c>
      <c r="C2588" t="s">
        <v>13</v>
      </c>
      <c r="D2588" s="35">
        <v>13133571.5</v>
      </c>
      <c r="E2588" s="35">
        <v>121232</v>
      </c>
      <c r="F2588" s="35">
        <v>10549252.98</v>
      </c>
    </row>
    <row r="2589" spans="1:6" x14ac:dyDescent="0.3">
      <c r="A2589" t="s">
        <v>52</v>
      </c>
      <c r="B2589">
        <v>2024</v>
      </c>
      <c r="C2589" t="s">
        <v>16</v>
      </c>
      <c r="D2589" s="35">
        <v>10704491.35</v>
      </c>
      <c r="E2589" s="35">
        <v>12677</v>
      </c>
      <c r="F2589" s="35">
        <v>10513108.300000001</v>
      </c>
    </row>
    <row r="2590" spans="1:6" x14ac:dyDescent="0.3">
      <c r="A2590" t="s">
        <v>52</v>
      </c>
      <c r="B2590">
        <v>2024</v>
      </c>
      <c r="C2590" t="s">
        <v>14</v>
      </c>
      <c r="D2590" s="35">
        <v>10556569.68</v>
      </c>
      <c r="E2590" s="35">
        <v>195173</v>
      </c>
      <c r="F2590" s="35">
        <v>7281570.2499999991</v>
      </c>
    </row>
    <row r="2591" spans="1:6" x14ac:dyDescent="0.3">
      <c r="A2591" t="s">
        <v>52</v>
      </c>
      <c r="B2591">
        <v>2024</v>
      </c>
      <c r="C2591" t="s">
        <v>7</v>
      </c>
      <c r="D2591" s="35">
        <v>17167435.079999998</v>
      </c>
      <c r="E2591" s="35">
        <v>5496</v>
      </c>
      <c r="F2591" s="35">
        <v>17149852.489999991</v>
      </c>
    </row>
    <row r="2592" spans="1:6" x14ac:dyDescent="0.3">
      <c r="A2592" t="s">
        <v>52</v>
      </c>
      <c r="B2592">
        <v>2024</v>
      </c>
      <c r="C2592" t="s">
        <v>11</v>
      </c>
      <c r="D2592" s="35">
        <v>12109103.75</v>
      </c>
      <c r="E2592" s="35">
        <v>13822</v>
      </c>
      <c r="F2592" s="35">
        <v>11904327.09</v>
      </c>
    </row>
    <row r="2593" spans="1:6" x14ac:dyDescent="0.3">
      <c r="A2593" t="s">
        <v>52</v>
      </c>
      <c r="B2593">
        <v>2024</v>
      </c>
      <c r="C2593" t="s">
        <v>3</v>
      </c>
      <c r="D2593" s="35">
        <v>107990224.34</v>
      </c>
      <c r="E2593" s="35">
        <v>102230</v>
      </c>
      <c r="F2593" s="35">
        <v>106725381.53</v>
      </c>
    </row>
    <row r="2594" spans="1:6" x14ac:dyDescent="0.3">
      <c r="A2594" t="s">
        <v>52</v>
      </c>
      <c r="B2594">
        <v>2024</v>
      </c>
      <c r="C2594" t="s">
        <v>12</v>
      </c>
      <c r="D2594" s="35">
        <v>22680219.620000001</v>
      </c>
      <c r="E2594" s="35">
        <v>278638</v>
      </c>
      <c r="F2594" s="35">
        <v>17619350.069999989</v>
      </c>
    </row>
    <row r="2595" spans="1:6" x14ac:dyDescent="0.3">
      <c r="A2595" t="s">
        <v>52</v>
      </c>
      <c r="B2595">
        <v>2024</v>
      </c>
      <c r="C2595" t="s">
        <v>2</v>
      </c>
      <c r="D2595" s="35">
        <v>118149243.56999999</v>
      </c>
      <c r="E2595" s="35">
        <v>972029</v>
      </c>
      <c r="F2595" s="35">
        <v>102400852.41</v>
      </c>
    </row>
    <row r="2596" spans="1:6" x14ac:dyDescent="0.3">
      <c r="A2596" t="s">
        <v>52</v>
      </c>
      <c r="B2596">
        <v>2024</v>
      </c>
      <c r="C2596" t="s">
        <v>5</v>
      </c>
      <c r="D2596" s="35">
        <v>18947416.41</v>
      </c>
      <c r="E2596" s="35">
        <v>8706</v>
      </c>
      <c r="F2596" s="35">
        <v>18742967.640000001</v>
      </c>
    </row>
    <row r="2597" spans="1:6" x14ac:dyDescent="0.3">
      <c r="A2597" t="s">
        <v>52</v>
      </c>
      <c r="B2597">
        <v>2024</v>
      </c>
      <c r="C2597" t="s">
        <v>17</v>
      </c>
      <c r="D2597" s="35">
        <v>1795365.01</v>
      </c>
      <c r="E2597" s="35">
        <v>36776</v>
      </c>
      <c r="F2597" s="35">
        <v>1201728.8799999999</v>
      </c>
    </row>
    <row r="2598" spans="1:6" x14ac:dyDescent="0.3">
      <c r="A2598" t="s">
        <v>52</v>
      </c>
      <c r="B2598">
        <v>2024</v>
      </c>
      <c r="C2598" t="s">
        <v>9</v>
      </c>
      <c r="D2598" s="35">
        <v>47179429.99000001</v>
      </c>
      <c r="E2598" s="35">
        <v>380570</v>
      </c>
      <c r="F2598" s="35">
        <v>40791146.780000009</v>
      </c>
    </row>
    <row r="2599" spans="1:6" x14ac:dyDescent="0.3">
      <c r="A2599" t="s">
        <v>52</v>
      </c>
      <c r="B2599">
        <v>2024</v>
      </c>
      <c r="C2599" t="s">
        <v>8</v>
      </c>
      <c r="D2599" s="35">
        <v>25101395.66</v>
      </c>
      <c r="E2599" s="35">
        <v>1518</v>
      </c>
      <c r="F2599" s="35">
        <v>25101395.66</v>
      </c>
    </row>
    <row r="2600" spans="1:6" x14ac:dyDescent="0.3">
      <c r="A2600" t="s">
        <v>52</v>
      </c>
      <c r="B2600">
        <v>2024</v>
      </c>
      <c r="C2600" t="s">
        <v>6</v>
      </c>
      <c r="D2600" s="35">
        <v>36880210.320000008</v>
      </c>
      <c r="E2600" s="35">
        <v>363146</v>
      </c>
      <c r="F2600" s="35">
        <v>31697908.870000001</v>
      </c>
    </row>
    <row r="2601" spans="1:6" x14ac:dyDescent="0.3">
      <c r="A2601" t="s">
        <v>52</v>
      </c>
      <c r="B2601">
        <v>2024</v>
      </c>
      <c r="C2601" t="s">
        <v>15</v>
      </c>
      <c r="D2601" s="35">
        <v>3076162.9</v>
      </c>
      <c r="E2601" s="35">
        <v>67873</v>
      </c>
      <c r="F2601" s="35">
        <v>1712663.86</v>
      </c>
    </row>
    <row r="2602" spans="1:6" x14ac:dyDescent="0.3">
      <c r="A2602" t="s">
        <v>52</v>
      </c>
      <c r="B2602">
        <v>2024</v>
      </c>
      <c r="C2602" t="s">
        <v>18</v>
      </c>
      <c r="D2602" s="35">
        <v>2333694.1800000002</v>
      </c>
      <c r="E2602" s="35">
        <v>9321</v>
      </c>
      <c r="F2602" s="35">
        <v>2174195.36</v>
      </c>
    </row>
    <row r="2603" spans="1:6" x14ac:dyDescent="0.3">
      <c r="A2603" t="s">
        <v>52</v>
      </c>
      <c r="B2603">
        <v>2025</v>
      </c>
      <c r="C2603" t="s">
        <v>10</v>
      </c>
      <c r="D2603" s="35">
        <v>19956377.629999999</v>
      </c>
      <c r="E2603" s="35">
        <v>278134</v>
      </c>
      <c r="F2603" s="35">
        <v>15587210.02</v>
      </c>
    </row>
    <row r="2604" spans="1:6" x14ac:dyDescent="0.3">
      <c r="A2604" t="s">
        <v>52</v>
      </c>
      <c r="B2604">
        <v>2025</v>
      </c>
      <c r="C2604" t="s">
        <v>4</v>
      </c>
      <c r="D2604" s="35">
        <v>65115794.43999999</v>
      </c>
      <c r="E2604" s="35">
        <v>130795</v>
      </c>
      <c r="F2604" s="35">
        <v>64645243.649999999</v>
      </c>
    </row>
    <row r="2605" spans="1:6" x14ac:dyDescent="0.3">
      <c r="A2605" t="s">
        <v>52</v>
      </c>
      <c r="B2605">
        <v>2025</v>
      </c>
      <c r="C2605" t="s">
        <v>13</v>
      </c>
      <c r="D2605" s="35">
        <v>15013800.949999999</v>
      </c>
      <c r="E2605" s="35">
        <v>118728</v>
      </c>
      <c r="F2605" s="35">
        <v>12611160.109999999</v>
      </c>
    </row>
    <row r="2606" spans="1:6" x14ac:dyDescent="0.3">
      <c r="A2606" t="s">
        <v>52</v>
      </c>
      <c r="B2606">
        <v>2025</v>
      </c>
      <c r="C2606" t="s">
        <v>16</v>
      </c>
      <c r="D2606" s="35">
        <v>12528758.27</v>
      </c>
      <c r="E2606" s="35">
        <v>13131</v>
      </c>
      <c r="F2606" s="35">
        <v>12350552.83</v>
      </c>
    </row>
    <row r="2607" spans="1:6" x14ac:dyDescent="0.3">
      <c r="A2607" t="s">
        <v>52</v>
      </c>
      <c r="B2607">
        <v>2025</v>
      </c>
      <c r="C2607" t="s">
        <v>14</v>
      </c>
      <c r="D2607" s="35">
        <v>11062402.35</v>
      </c>
      <c r="E2607" s="35">
        <v>185711</v>
      </c>
      <c r="F2607" s="35">
        <v>8337378.3000000007</v>
      </c>
    </row>
    <row r="2608" spans="1:6" x14ac:dyDescent="0.3">
      <c r="A2608" t="s">
        <v>52</v>
      </c>
      <c r="B2608">
        <v>2025</v>
      </c>
      <c r="C2608" t="s">
        <v>7</v>
      </c>
      <c r="D2608" s="35">
        <v>18181528.91</v>
      </c>
      <c r="E2608" s="35">
        <v>5683</v>
      </c>
      <c r="F2608" s="35">
        <v>18156667</v>
      </c>
    </row>
    <row r="2609" spans="1:6" x14ac:dyDescent="0.3">
      <c r="A2609" t="s">
        <v>52</v>
      </c>
      <c r="B2609">
        <v>2025</v>
      </c>
      <c r="C2609" t="s">
        <v>11</v>
      </c>
      <c r="D2609" s="35">
        <v>8760895.0600000005</v>
      </c>
      <c r="E2609" s="35">
        <v>13438</v>
      </c>
      <c r="F2609" s="35">
        <v>8569871.6100000013</v>
      </c>
    </row>
    <row r="2610" spans="1:6" x14ac:dyDescent="0.3">
      <c r="A2610" t="s">
        <v>52</v>
      </c>
      <c r="B2610">
        <v>2025</v>
      </c>
      <c r="C2610" t="s">
        <v>3</v>
      </c>
      <c r="D2610" s="35">
        <v>117537799.73999999</v>
      </c>
      <c r="E2610" s="35">
        <v>97297</v>
      </c>
      <c r="F2610" s="35">
        <v>116449154.70999999</v>
      </c>
    </row>
    <row r="2611" spans="1:6" x14ac:dyDescent="0.3">
      <c r="A2611" t="s">
        <v>52</v>
      </c>
      <c r="B2611">
        <v>2025</v>
      </c>
      <c r="C2611" t="s">
        <v>12</v>
      </c>
      <c r="D2611" s="35">
        <v>19129912.390000001</v>
      </c>
      <c r="E2611" s="35">
        <v>254220</v>
      </c>
      <c r="F2611" s="35">
        <v>14887801</v>
      </c>
    </row>
    <row r="2612" spans="1:6" x14ac:dyDescent="0.3">
      <c r="A2612" t="s">
        <v>52</v>
      </c>
      <c r="B2612">
        <v>2025</v>
      </c>
      <c r="C2612" t="s">
        <v>2</v>
      </c>
      <c r="D2612" s="35">
        <v>115701427.83</v>
      </c>
      <c r="E2612" s="35">
        <v>935852</v>
      </c>
      <c r="F2612" s="35">
        <v>101181340.48</v>
      </c>
    </row>
    <row r="2613" spans="1:6" x14ac:dyDescent="0.3">
      <c r="A2613" t="s">
        <v>52</v>
      </c>
      <c r="B2613">
        <v>2025</v>
      </c>
      <c r="C2613" t="s">
        <v>5</v>
      </c>
      <c r="D2613" s="35">
        <v>20919430.98</v>
      </c>
      <c r="E2613" s="35">
        <v>9618</v>
      </c>
      <c r="F2613" s="35">
        <v>20725188.629999999</v>
      </c>
    </row>
    <row r="2614" spans="1:6" x14ac:dyDescent="0.3">
      <c r="A2614" t="s">
        <v>52</v>
      </c>
      <c r="B2614">
        <v>2025</v>
      </c>
      <c r="C2614" t="s">
        <v>17</v>
      </c>
      <c r="D2614" s="35">
        <v>1024897.1</v>
      </c>
      <c r="E2614" s="35">
        <v>33134</v>
      </c>
      <c r="F2614" s="35">
        <v>517418.75</v>
      </c>
    </row>
    <row r="2615" spans="1:6" x14ac:dyDescent="0.3">
      <c r="A2615" t="s">
        <v>52</v>
      </c>
      <c r="B2615">
        <v>2025</v>
      </c>
      <c r="C2615" t="s">
        <v>9</v>
      </c>
      <c r="D2615" s="35">
        <v>46751312.369999997</v>
      </c>
      <c r="E2615" s="35">
        <v>350829</v>
      </c>
      <c r="F2615" s="35">
        <v>41734827.500000007</v>
      </c>
    </row>
    <row r="2616" spans="1:6" x14ac:dyDescent="0.3">
      <c r="A2616" t="s">
        <v>52</v>
      </c>
      <c r="B2616">
        <v>2025</v>
      </c>
      <c r="C2616" t="s">
        <v>8</v>
      </c>
      <c r="D2616" s="35">
        <v>25646133.109999999</v>
      </c>
      <c r="E2616" s="35">
        <v>1524</v>
      </c>
      <c r="F2616" s="35">
        <v>25646133.109999999</v>
      </c>
    </row>
    <row r="2617" spans="1:6" x14ac:dyDescent="0.3">
      <c r="A2617" t="s">
        <v>52</v>
      </c>
      <c r="B2617">
        <v>2025</v>
      </c>
      <c r="C2617" t="s">
        <v>6</v>
      </c>
      <c r="D2617" s="35">
        <v>33708082.210000001</v>
      </c>
      <c r="E2617" s="35">
        <v>340454</v>
      </c>
      <c r="F2617" s="35">
        <v>29195082.050000001</v>
      </c>
    </row>
    <row r="2618" spans="1:6" x14ac:dyDescent="0.3">
      <c r="A2618" t="s">
        <v>52</v>
      </c>
      <c r="B2618">
        <v>2025</v>
      </c>
      <c r="C2618" t="s">
        <v>15</v>
      </c>
      <c r="D2618" s="35">
        <v>2228619.11</v>
      </c>
      <c r="E2618" s="35">
        <v>54201</v>
      </c>
      <c r="F2618" s="35">
        <v>1152513.04</v>
      </c>
    </row>
    <row r="2619" spans="1:6" x14ac:dyDescent="0.3">
      <c r="A2619" t="s">
        <v>52</v>
      </c>
      <c r="B2619">
        <v>2025</v>
      </c>
      <c r="C2619" t="s">
        <v>18</v>
      </c>
      <c r="D2619" s="35">
        <v>2196893.3900000011</v>
      </c>
      <c r="E2619" s="35">
        <v>8066</v>
      </c>
      <c r="F2619" s="35">
        <v>2121079.4</v>
      </c>
    </row>
    <row r="2620" spans="1:6" x14ac:dyDescent="0.3">
      <c r="A2620" t="s">
        <v>53</v>
      </c>
      <c r="B2620">
        <v>2019</v>
      </c>
      <c r="C2620" t="s">
        <v>10</v>
      </c>
      <c r="D2620" s="35">
        <v>77188055.069999978</v>
      </c>
      <c r="E2620" s="35">
        <v>4881713</v>
      </c>
      <c r="F2620" s="35">
        <v>45745899.12999998</v>
      </c>
    </row>
    <row r="2621" spans="1:6" x14ac:dyDescent="0.3">
      <c r="A2621" t="s">
        <v>53</v>
      </c>
      <c r="B2621">
        <v>2019</v>
      </c>
      <c r="C2621" t="s">
        <v>4</v>
      </c>
      <c r="D2621" s="35">
        <v>205340543.09</v>
      </c>
      <c r="E2621" s="35">
        <v>1225843</v>
      </c>
      <c r="F2621" s="35">
        <v>202477164.22</v>
      </c>
    </row>
    <row r="2622" spans="1:6" x14ac:dyDescent="0.3">
      <c r="A2622" t="s">
        <v>53</v>
      </c>
      <c r="B2622">
        <v>2019</v>
      </c>
      <c r="C2622" t="s">
        <v>13</v>
      </c>
      <c r="D2622" s="35">
        <v>65060675.799999997</v>
      </c>
      <c r="E2622" s="35">
        <v>1549949</v>
      </c>
      <c r="F2622" s="35">
        <v>44885518.979999997</v>
      </c>
    </row>
    <row r="2623" spans="1:6" x14ac:dyDescent="0.3">
      <c r="A2623" t="s">
        <v>53</v>
      </c>
      <c r="B2623">
        <v>2019</v>
      </c>
      <c r="C2623" t="s">
        <v>16</v>
      </c>
      <c r="D2623" s="35">
        <v>14915366.369999999</v>
      </c>
      <c r="E2623" s="35">
        <v>76371</v>
      </c>
      <c r="F2623" s="35">
        <v>13683417.59</v>
      </c>
    </row>
    <row r="2624" spans="1:6" x14ac:dyDescent="0.3">
      <c r="A2624" t="s">
        <v>53</v>
      </c>
      <c r="B2624">
        <v>2019</v>
      </c>
      <c r="C2624" t="s">
        <v>14</v>
      </c>
      <c r="D2624" s="35">
        <v>34855755.379999988</v>
      </c>
      <c r="E2624" s="35">
        <v>1725074</v>
      </c>
      <c r="F2624" s="35">
        <v>19463930.199999999</v>
      </c>
    </row>
    <row r="2625" spans="1:6" x14ac:dyDescent="0.3">
      <c r="A2625" t="s">
        <v>53</v>
      </c>
      <c r="B2625">
        <v>2019</v>
      </c>
      <c r="C2625" t="s">
        <v>7</v>
      </c>
      <c r="D2625" s="35">
        <v>145162124.27000001</v>
      </c>
      <c r="E2625" s="35">
        <v>59971</v>
      </c>
      <c r="F2625" s="35">
        <v>144768390.72</v>
      </c>
    </row>
    <row r="2626" spans="1:6" x14ac:dyDescent="0.3">
      <c r="A2626" t="s">
        <v>53</v>
      </c>
      <c r="B2626">
        <v>2019</v>
      </c>
      <c r="C2626" t="s">
        <v>11</v>
      </c>
      <c r="D2626" s="35">
        <v>51909151.719999976</v>
      </c>
      <c r="E2626" s="35">
        <v>111501</v>
      </c>
      <c r="F2626" s="35">
        <v>50036390.109999992</v>
      </c>
    </row>
    <row r="2627" spans="1:6" x14ac:dyDescent="0.3">
      <c r="A2627" t="s">
        <v>53</v>
      </c>
      <c r="B2627">
        <v>2019</v>
      </c>
      <c r="C2627" t="s">
        <v>3</v>
      </c>
      <c r="D2627" s="35">
        <v>175668035.71000001</v>
      </c>
      <c r="E2627" s="35">
        <v>1201223</v>
      </c>
      <c r="F2627" s="35">
        <v>160759708.28999999</v>
      </c>
    </row>
    <row r="2628" spans="1:6" x14ac:dyDescent="0.3">
      <c r="A2628" t="s">
        <v>53</v>
      </c>
      <c r="B2628">
        <v>2019</v>
      </c>
      <c r="C2628" t="s">
        <v>12</v>
      </c>
      <c r="D2628" s="35">
        <v>145419855.03999999</v>
      </c>
      <c r="E2628" s="35">
        <v>2478811</v>
      </c>
      <c r="F2628" s="35">
        <v>110138067.79000001</v>
      </c>
    </row>
    <row r="2629" spans="1:6" x14ac:dyDescent="0.3">
      <c r="A2629" t="s">
        <v>53</v>
      </c>
      <c r="B2629">
        <v>2019</v>
      </c>
      <c r="C2629" t="s">
        <v>2</v>
      </c>
      <c r="D2629" s="35">
        <v>741474887.49000001</v>
      </c>
      <c r="E2629" s="35">
        <v>6456804</v>
      </c>
      <c r="F2629" s="35">
        <v>602796556.52999997</v>
      </c>
    </row>
    <row r="2630" spans="1:6" x14ac:dyDescent="0.3">
      <c r="A2630" t="s">
        <v>53</v>
      </c>
      <c r="B2630">
        <v>2019</v>
      </c>
      <c r="C2630" t="s">
        <v>5</v>
      </c>
      <c r="D2630" s="35">
        <v>132753118.20999999</v>
      </c>
      <c r="E2630" s="35">
        <v>96565</v>
      </c>
      <c r="F2630" s="35">
        <v>125996921.53</v>
      </c>
    </row>
    <row r="2631" spans="1:6" x14ac:dyDescent="0.3">
      <c r="A2631" t="s">
        <v>53</v>
      </c>
      <c r="B2631">
        <v>2019</v>
      </c>
      <c r="C2631" t="s">
        <v>17</v>
      </c>
      <c r="D2631" s="35">
        <v>3647021.1</v>
      </c>
      <c r="E2631" s="35">
        <v>349108</v>
      </c>
      <c r="F2631" s="35">
        <v>1036577.52</v>
      </c>
    </row>
    <row r="2632" spans="1:6" x14ac:dyDescent="0.3">
      <c r="A2632" t="s">
        <v>53</v>
      </c>
      <c r="B2632">
        <v>2019</v>
      </c>
      <c r="C2632" t="s">
        <v>9</v>
      </c>
      <c r="D2632" s="35">
        <v>126542107.22</v>
      </c>
      <c r="E2632" s="35">
        <v>3380708</v>
      </c>
      <c r="F2632" s="35">
        <v>91553742.359999985</v>
      </c>
    </row>
    <row r="2633" spans="1:6" x14ac:dyDescent="0.3">
      <c r="A2633" t="s">
        <v>53</v>
      </c>
      <c r="B2633">
        <v>2019</v>
      </c>
      <c r="C2633" t="s">
        <v>8</v>
      </c>
      <c r="D2633" s="35">
        <v>91779252.150000006</v>
      </c>
      <c r="E2633" s="35">
        <v>9664</v>
      </c>
      <c r="F2633" s="35">
        <v>91779252.150000006</v>
      </c>
    </row>
    <row r="2634" spans="1:6" x14ac:dyDescent="0.3">
      <c r="A2634" t="s">
        <v>53</v>
      </c>
      <c r="B2634">
        <v>2019</v>
      </c>
      <c r="C2634" t="s">
        <v>6</v>
      </c>
      <c r="D2634" s="35">
        <v>199187818.48999989</v>
      </c>
      <c r="E2634" s="35">
        <v>3725345</v>
      </c>
      <c r="F2634" s="35">
        <v>170704690.78</v>
      </c>
    </row>
    <row r="2635" spans="1:6" x14ac:dyDescent="0.3">
      <c r="A2635" t="s">
        <v>53</v>
      </c>
      <c r="B2635">
        <v>2019</v>
      </c>
      <c r="C2635" t="s">
        <v>15</v>
      </c>
      <c r="D2635" s="35">
        <v>51970486.949999988</v>
      </c>
      <c r="E2635" s="35">
        <v>2137797</v>
      </c>
      <c r="F2635" s="35">
        <v>21939599.109999999</v>
      </c>
    </row>
    <row r="2636" spans="1:6" x14ac:dyDescent="0.3">
      <c r="A2636" t="s">
        <v>53</v>
      </c>
      <c r="B2636">
        <v>2019</v>
      </c>
      <c r="C2636" t="s">
        <v>18</v>
      </c>
      <c r="D2636" s="35">
        <v>9037981.8800000008</v>
      </c>
      <c r="E2636" s="35">
        <v>124112</v>
      </c>
      <c r="F2636" s="35">
        <v>4350177.6099999994</v>
      </c>
    </row>
    <row r="2637" spans="1:6" x14ac:dyDescent="0.3">
      <c r="A2637" t="s">
        <v>53</v>
      </c>
      <c r="B2637">
        <v>2020</v>
      </c>
      <c r="C2637" t="s">
        <v>10</v>
      </c>
      <c r="D2637" s="35">
        <v>94650975.460000008</v>
      </c>
      <c r="E2637" s="35">
        <v>5001839</v>
      </c>
      <c r="F2637" s="35">
        <v>60419380.649999984</v>
      </c>
    </row>
    <row r="2638" spans="1:6" x14ac:dyDescent="0.3">
      <c r="A2638" t="s">
        <v>53</v>
      </c>
      <c r="B2638">
        <v>2020</v>
      </c>
      <c r="C2638" t="s">
        <v>4</v>
      </c>
      <c r="D2638" s="35">
        <v>231527289.69</v>
      </c>
      <c r="E2638" s="35">
        <v>1277584</v>
      </c>
      <c r="F2638" s="35">
        <v>228036235.56</v>
      </c>
    </row>
    <row r="2639" spans="1:6" x14ac:dyDescent="0.3">
      <c r="A2639" t="s">
        <v>53</v>
      </c>
      <c r="B2639">
        <v>2020</v>
      </c>
      <c r="C2639" t="s">
        <v>13</v>
      </c>
      <c r="D2639" s="35">
        <v>63566611.839999989</v>
      </c>
      <c r="E2639" s="35">
        <v>1546500</v>
      </c>
      <c r="F2639" s="35">
        <v>43131290.119999997</v>
      </c>
    </row>
    <row r="2640" spans="1:6" x14ac:dyDescent="0.3">
      <c r="A2640" t="s">
        <v>53</v>
      </c>
      <c r="B2640">
        <v>2020</v>
      </c>
      <c r="C2640" t="s">
        <v>16</v>
      </c>
      <c r="D2640" s="35">
        <v>14622696.02</v>
      </c>
      <c r="E2640" s="35">
        <v>72484</v>
      </c>
      <c r="F2640" s="35">
        <v>13538755.130000001</v>
      </c>
    </row>
    <row r="2641" spans="1:6" x14ac:dyDescent="0.3">
      <c r="A2641" t="s">
        <v>53</v>
      </c>
      <c r="B2641">
        <v>2020</v>
      </c>
      <c r="C2641" t="s">
        <v>14</v>
      </c>
      <c r="D2641" s="35">
        <v>39269567.329999998</v>
      </c>
      <c r="E2641" s="35">
        <v>1877770</v>
      </c>
      <c r="F2641" s="35">
        <v>21079191.82</v>
      </c>
    </row>
    <row r="2642" spans="1:6" x14ac:dyDescent="0.3">
      <c r="A2642" t="s">
        <v>53</v>
      </c>
      <c r="B2642">
        <v>2020</v>
      </c>
      <c r="C2642" t="s">
        <v>7</v>
      </c>
      <c r="D2642" s="35">
        <v>169070727.94</v>
      </c>
      <c r="E2642" s="35">
        <v>61752</v>
      </c>
      <c r="F2642" s="35">
        <v>167812567.02000001</v>
      </c>
    </row>
    <row r="2643" spans="1:6" x14ac:dyDescent="0.3">
      <c r="A2643" t="s">
        <v>53</v>
      </c>
      <c r="B2643">
        <v>2020</v>
      </c>
      <c r="C2643" t="s">
        <v>11</v>
      </c>
      <c r="D2643" s="35">
        <v>48044787.770000003</v>
      </c>
      <c r="E2643" s="35">
        <v>110155</v>
      </c>
      <c r="F2643" s="35">
        <v>42475367.580000013</v>
      </c>
    </row>
    <row r="2644" spans="1:6" x14ac:dyDescent="0.3">
      <c r="A2644" t="s">
        <v>53</v>
      </c>
      <c r="B2644">
        <v>2020</v>
      </c>
      <c r="C2644" t="s">
        <v>3</v>
      </c>
      <c r="D2644" s="35">
        <v>221388566.43000001</v>
      </c>
      <c r="E2644" s="35">
        <v>1029838</v>
      </c>
      <c r="F2644" s="35">
        <v>207804544.05000001</v>
      </c>
    </row>
    <row r="2645" spans="1:6" x14ac:dyDescent="0.3">
      <c r="A2645" t="s">
        <v>53</v>
      </c>
      <c r="B2645">
        <v>2020</v>
      </c>
      <c r="C2645" t="s">
        <v>12</v>
      </c>
      <c r="D2645" s="35">
        <v>121944529.34999999</v>
      </c>
      <c r="E2645" s="35">
        <v>2097821</v>
      </c>
      <c r="F2645" s="35">
        <v>93865635.76000002</v>
      </c>
    </row>
    <row r="2646" spans="1:6" x14ac:dyDescent="0.3">
      <c r="A2646" t="s">
        <v>53</v>
      </c>
      <c r="B2646">
        <v>2020</v>
      </c>
      <c r="C2646" t="s">
        <v>2</v>
      </c>
      <c r="D2646" s="35">
        <v>767784063.43000007</v>
      </c>
      <c r="E2646" s="35">
        <v>6560292</v>
      </c>
      <c r="F2646" s="35">
        <v>630892812.13999999</v>
      </c>
    </row>
    <row r="2647" spans="1:6" x14ac:dyDescent="0.3">
      <c r="A2647" t="s">
        <v>53</v>
      </c>
      <c r="B2647">
        <v>2020</v>
      </c>
      <c r="C2647" t="s">
        <v>5</v>
      </c>
      <c r="D2647" s="35">
        <v>148880438.50999999</v>
      </c>
      <c r="E2647" s="35">
        <v>91922</v>
      </c>
      <c r="F2647" s="35">
        <v>141999310.15000001</v>
      </c>
    </row>
    <row r="2648" spans="1:6" x14ac:dyDescent="0.3">
      <c r="A2648" t="s">
        <v>53</v>
      </c>
      <c r="B2648">
        <v>2020</v>
      </c>
      <c r="C2648" t="s">
        <v>17</v>
      </c>
      <c r="D2648" s="35">
        <v>3204521.13</v>
      </c>
      <c r="E2648" s="35">
        <v>360904</v>
      </c>
      <c r="F2648" s="35">
        <v>1029948.64</v>
      </c>
    </row>
    <row r="2649" spans="1:6" x14ac:dyDescent="0.3">
      <c r="A2649" t="s">
        <v>53</v>
      </c>
      <c r="B2649">
        <v>2020</v>
      </c>
      <c r="C2649" t="s">
        <v>9</v>
      </c>
      <c r="D2649" s="35">
        <v>138956236.49000001</v>
      </c>
      <c r="E2649" s="35">
        <v>3181938</v>
      </c>
      <c r="F2649" s="35">
        <v>106689767.61</v>
      </c>
    </row>
    <row r="2650" spans="1:6" x14ac:dyDescent="0.3">
      <c r="A2650" t="s">
        <v>53</v>
      </c>
      <c r="B2650">
        <v>2020</v>
      </c>
      <c r="C2650" t="s">
        <v>8</v>
      </c>
      <c r="D2650" s="35">
        <v>119634682.62</v>
      </c>
      <c r="E2650" s="35">
        <v>10235</v>
      </c>
      <c r="F2650" s="35">
        <v>119600579.04000001</v>
      </c>
    </row>
    <row r="2651" spans="1:6" x14ac:dyDescent="0.3">
      <c r="A2651" t="s">
        <v>53</v>
      </c>
      <c r="B2651">
        <v>2020</v>
      </c>
      <c r="C2651" t="s">
        <v>6</v>
      </c>
      <c r="D2651" s="35">
        <v>213288290.38</v>
      </c>
      <c r="E2651" s="35">
        <v>3671541</v>
      </c>
      <c r="F2651" s="35">
        <v>180140453.41</v>
      </c>
    </row>
    <row r="2652" spans="1:6" x14ac:dyDescent="0.3">
      <c r="A2652" t="s">
        <v>53</v>
      </c>
      <c r="B2652">
        <v>2020</v>
      </c>
      <c r="C2652" t="s">
        <v>15</v>
      </c>
      <c r="D2652" s="35">
        <v>39785967.850000009</v>
      </c>
      <c r="E2652" s="35">
        <v>1617126</v>
      </c>
      <c r="F2652" s="35">
        <v>13781939.1</v>
      </c>
    </row>
    <row r="2653" spans="1:6" x14ac:dyDescent="0.3">
      <c r="A2653" t="s">
        <v>53</v>
      </c>
      <c r="B2653">
        <v>2020</v>
      </c>
      <c r="C2653" t="s">
        <v>18</v>
      </c>
      <c r="D2653" s="35">
        <v>9040027.040000001</v>
      </c>
      <c r="E2653" s="35">
        <v>119959</v>
      </c>
      <c r="F2653" s="35">
        <v>4876024.04</v>
      </c>
    </row>
    <row r="2654" spans="1:6" x14ac:dyDescent="0.3">
      <c r="A2654" t="s">
        <v>53</v>
      </c>
      <c r="B2654">
        <v>2021</v>
      </c>
      <c r="C2654" t="s">
        <v>10</v>
      </c>
      <c r="D2654" s="35">
        <v>133330707.08</v>
      </c>
      <c r="E2654" s="35">
        <v>5242267</v>
      </c>
      <c r="F2654" s="35">
        <v>98219849.929999992</v>
      </c>
    </row>
    <row r="2655" spans="1:6" x14ac:dyDescent="0.3">
      <c r="A2655" t="s">
        <v>53</v>
      </c>
      <c r="B2655">
        <v>2021</v>
      </c>
      <c r="C2655" t="s">
        <v>4</v>
      </c>
      <c r="D2655" s="35">
        <v>408616159.1500001</v>
      </c>
      <c r="E2655" s="35">
        <v>1406128</v>
      </c>
      <c r="F2655" s="35">
        <v>404335324.44000012</v>
      </c>
    </row>
    <row r="2656" spans="1:6" x14ac:dyDescent="0.3">
      <c r="A2656" t="s">
        <v>53</v>
      </c>
      <c r="B2656">
        <v>2021</v>
      </c>
      <c r="C2656" t="s">
        <v>13</v>
      </c>
      <c r="D2656" s="35">
        <v>72812123.350000024</v>
      </c>
      <c r="E2656" s="35">
        <v>1678695</v>
      </c>
      <c r="F2656" s="35">
        <v>50323412.739999987</v>
      </c>
    </row>
    <row r="2657" spans="1:6" x14ac:dyDescent="0.3">
      <c r="A2657" t="s">
        <v>53</v>
      </c>
      <c r="B2657">
        <v>2021</v>
      </c>
      <c r="C2657" t="s">
        <v>16</v>
      </c>
      <c r="D2657" s="35">
        <v>18554802.859999999</v>
      </c>
      <c r="E2657" s="35">
        <v>79295</v>
      </c>
      <c r="F2657" s="35">
        <v>17150046.100000001</v>
      </c>
    </row>
    <row r="2658" spans="1:6" x14ac:dyDescent="0.3">
      <c r="A2658" t="s">
        <v>53</v>
      </c>
      <c r="B2658">
        <v>2021</v>
      </c>
      <c r="C2658" t="s">
        <v>14</v>
      </c>
      <c r="D2658" s="35">
        <v>49608715.909999996</v>
      </c>
      <c r="E2658" s="35">
        <v>2132067</v>
      </c>
      <c r="F2658" s="35">
        <v>32166017.399999991</v>
      </c>
    </row>
    <row r="2659" spans="1:6" x14ac:dyDescent="0.3">
      <c r="A2659" t="s">
        <v>53</v>
      </c>
      <c r="B2659">
        <v>2021</v>
      </c>
      <c r="C2659" t="s">
        <v>7</v>
      </c>
      <c r="D2659" s="35">
        <v>184916863.74000001</v>
      </c>
      <c r="E2659" s="35">
        <v>62945</v>
      </c>
      <c r="F2659" s="35">
        <v>182591886.06999999</v>
      </c>
    </row>
    <row r="2660" spans="1:6" x14ac:dyDescent="0.3">
      <c r="A2660" t="s">
        <v>53</v>
      </c>
      <c r="B2660">
        <v>2021</v>
      </c>
      <c r="C2660" t="s">
        <v>11</v>
      </c>
      <c r="D2660" s="35">
        <v>55660753.479999989</v>
      </c>
      <c r="E2660" s="35">
        <v>155964</v>
      </c>
      <c r="F2660" s="35">
        <v>48376995.13000001</v>
      </c>
    </row>
    <row r="2661" spans="1:6" x14ac:dyDescent="0.3">
      <c r="A2661" t="s">
        <v>53</v>
      </c>
      <c r="B2661">
        <v>2021</v>
      </c>
      <c r="C2661" t="s">
        <v>3</v>
      </c>
      <c r="D2661" s="35">
        <v>387638542.56999987</v>
      </c>
      <c r="E2661" s="35">
        <v>1147950</v>
      </c>
      <c r="F2661" s="35">
        <v>374757312.27999997</v>
      </c>
    </row>
    <row r="2662" spans="1:6" x14ac:dyDescent="0.3">
      <c r="A2662" t="s">
        <v>53</v>
      </c>
      <c r="B2662">
        <v>2021</v>
      </c>
      <c r="C2662" t="s">
        <v>12</v>
      </c>
      <c r="D2662" s="35">
        <v>101163520.45</v>
      </c>
      <c r="E2662" s="35">
        <v>2283979</v>
      </c>
      <c r="F2662" s="35">
        <v>75931075.570000008</v>
      </c>
    </row>
    <row r="2663" spans="1:6" x14ac:dyDescent="0.3">
      <c r="A2663" t="s">
        <v>53</v>
      </c>
      <c r="B2663">
        <v>2021</v>
      </c>
      <c r="C2663" t="s">
        <v>2</v>
      </c>
      <c r="D2663" s="35">
        <v>835518620.32999992</v>
      </c>
      <c r="E2663" s="35">
        <v>6865575</v>
      </c>
      <c r="F2663" s="35">
        <v>700659965.69000006</v>
      </c>
    </row>
    <row r="2664" spans="1:6" x14ac:dyDescent="0.3">
      <c r="A2664" t="s">
        <v>53</v>
      </c>
      <c r="B2664">
        <v>2021</v>
      </c>
      <c r="C2664" t="s">
        <v>5</v>
      </c>
      <c r="D2664" s="35">
        <v>168254455.41999999</v>
      </c>
      <c r="E2664" s="35">
        <v>95546</v>
      </c>
      <c r="F2664" s="35">
        <v>158789355.39999989</v>
      </c>
    </row>
    <row r="2665" spans="1:6" x14ac:dyDescent="0.3">
      <c r="A2665" t="s">
        <v>53</v>
      </c>
      <c r="B2665">
        <v>2021</v>
      </c>
      <c r="C2665" t="s">
        <v>17</v>
      </c>
      <c r="D2665" s="35">
        <v>3583886.92</v>
      </c>
      <c r="E2665" s="35">
        <v>372352</v>
      </c>
      <c r="F2665" s="35">
        <v>1319456.6100000001</v>
      </c>
    </row>
    <row r="2666" spans="1:6" x14ac:dyDescent="0.3">
      <c r="A2666" t="s">
        <v>53</v>
      </c>
      <c r="B2666">
        <v>2021</v>
      </c>
      <c r="C2666" t="s">
        <v>9</v>
      </c>
      <c r="D2666" s="35">
        <v>145838958.77000001</v>
      </c>
      <c r="E2666" s="35">
        <v>3431554</v>
      </c>
      <c r="F2666" s="35">
        <v>114970934.12</v>
      </c>
    </row>
    <row r="2667" spans="1:6" x14ac:dyDescent="0.3">
      <c r="A2667" t="s">
        <v>53</v>
      </c>
      <c r="B2667">
        <v>2021</v>
      </c>
      <c r="C2667" t="s">
        <v>8</v>
      </c>
      <c r="D2667" s="35">
        <v>142739578.38</v>
      </c>
      <c r="E2667" s="35">
        <v>9310</v>
      </c>
      <c r="F2667" s="35">
        <v>142087722.75</v>
      </c>
    </row>
    <row r="2668" spans="1:6" x14ac:dyDescent="0.3">
      <c r="A2668" t="s">
        <v>53</v>
      </c>
      <c r="B2668">
        <v>2021</v>
      </c>
      <c r="C2668" t="s">
        <v>6</v>
      </c>
      <c r="D2668" s="35">
        <v>299118066.77999991</v>
      </c>
      <c r="E2668" s="35">
        <v>3817111</v>
      </c>
      <c r="F2668" s="35">
        <v>271190706.04000002</v>
      </c>
    </row>
    <row r="2669" spans="1:6" x14ac:dyDescent="0.3">
      <c r="A2669" t="s">
        <v>53</v>
      </c>
      <c r="B2669">
        <v>2021</v>
      </c>
      <c r="C2669" t="s">
        <v>15</v>
      </c>
      <c r="D2669" s="35">
        <v>37216273.219999991</v>
      </c>
      <c r="E2669" s="35">
        <v>1456119</v>
      </c>
      <c r="F2669" s="35">
        <v>13948190.210000001</v>
      </c>
    </row>
    <row r="2670" spans="1:6" x14ac:dyDescent="0.3">
      <c r="A2670" t="s">
        <v>53</v>
      </c>
      <c r="B2670">
        <v>2021</v>
      </c>
      <c r="C2670" t="s">
        <v>18</v>
      </c>
      <c r="D2670" s="35">
        <v>10687614.050000001</v>
      </c>
      <c r="E2670" s="35">
        <v>127497</v>
      </c>
      <c r="F2670" s="35">
        <v>7044395.0099999998</v>
      </c>
    </row>
    <row r="2671" spans="1:6" x14ac:dyDescent="0.3">
      <c r="A2671" t="s">
        <v>53</v>
      </c>
      <c r="B2671">
        <v>2022</v>
      </c>
      <c r="C2671" t="s">
        <v>10</v>
      </c>
      <c r="D2671" s="35">
        <v>158418490.61000001</v>
      </c>
      <c r="E2671" s="35">
        <v>4962980</v>
      </c>
      <c r="F2671" s="35">
        <v>122043286.09</v>
      </c>
    </row>
    <row r="2672" spans="1:6" x14ac:dyDescent="0.3">
      <c r="A2672" t="s">
        <v>53</v>
      </c>
      <c r="B2672">
        <v>2022</v>
      </c>
      <c r="C2672" t="s">
        <v>4</v>
      </c>
      <c r="D2672" s="35">
        <v>566654686.31999981</v>
      </c>
      <c r="E2672" s="35">
        <v>1385980</v>
      </c>
      <c r="F2672" s="35">
        <v>562299079.30999982</v>
      </c>
    </row>
    <row r="2673" spans="1:6" x14ac:dyDescent="0.3">
      <c r="A2673" t="s">
        <v>53</v>
      </c>
      <c r="B2673">
        <v>2022</v>
      </c>
      <c r="C2673" t="s">
        <v>13</v>
      </c>
      <c r="D2673" s="35">
        <v>80762340.739999995</v>
      </c>
      <c r="E2673" s="35">
        <v>1697287</v>
      </c>
      <c r="F2673" s="35">
        <v>56870468.93</v>
      </c>
    </row>
    <row r="2674" spans="1:6" x14ac:dyDescent="0.3">
      <c r="A2674" t="s">
        <v>53</v>
      </c>
      <c r="B2674">
        <v>2022</v>
      </c>
      <c r="C2674" t="s">
        <v>16</v>
      </c>
      <c r="D2674" s="35">
        <v>23494290.899999991</v>
      </c>
      <c r="E2674" s="35">
        <v>81907</v>
      </c>
      <c r="F2674" s="35">
        <v>22321300.84</v>
      </c>
    </row>
    <row r="2675" spans="1:6" x14ac:dyDescent="0.3">
      <c r="A2675" t="s">
        <v>53</v>
      </c>
      <c r="B2675">
        <v>2022</v>
      </c>
      <c r="C2675" t="s">
        <v>14</v>
      </c>
      <c r="D2675" s="35">
        <v>59193908.920000002</v>
      </c>
      <c r="E2675" s="35">
        <v>2317728</v>
      </c>
      <c r="F2675" s="35">
        <v>40387204.579999998</v>
      </c>
    </row>
    <row r="2676" spans="1:6" x14ac:dyDescent="0.3">
      <c r="A2676" t="s">
        <v>53</v>
      </c>
      <c r="B2676">
        <v>2022</v>
      </c>
      <c r="C2676" t="s">
        <v>7</v>
      </c>
      <c r="D2676" s="35">
        <v>200764417.59999999</v>
      </c>
      <c r="E2676" s="35">
        <v>63066</v>
      </c>
      <c r="F2676" s="35">
        <v>200227909.74000001</v>
      </c>
    </row>
    <row r="2677" spans="1:6" x14ac:dyDescent="0.3">
      <c r="A2677" t="s">
        <v>53</v>
      </c>
      <c r="B2677">
        <v>2022</v>
      </c>
      <c r="C2677" t="s">
        <v>11</v>
      </c>
      <c r="D2677" s="35">
        <v>54812243.889999993</v>
      </c>
      <c r="E2677" s="35">
        <v>128945</v>
      </c>
      <c r="F2677" s="35">
        <v>48480334.589999981</v>
      </c>
    </row>
    <row r="2678" spans="1:6" x14ac:dyDescent="0.3">
      <c r="A2678" t="s">
        <v>53</v>
      </c>
      <c r="B2678">
        <v>2022</v>
      </c>
      <c r="C2678" t="s">
        <v>3</v>
      </c>
      <c r="D2678" s="35">
        <v>553127928.62999976</v>
      </c>
      <c r="E2678" s="35">
        <v>1308284</v>
      </c>
      <c r="F2678" s="35">
        <v>539511788.85000002</v>
      </c>
    </row>
    <row r="2679" spans="1:6" x14ac:dyDescent="0.3">
      <c r="A2679" t="s">
        <v>53</v>
      </c>
      <c r="B2679">
        <v>2022</v>
      </c>
      <c r="C2679" t="s">
        <v>12</v>
      </c>
      <c r="D2679" s="35">
        <v>115700551.88</v>
      </c>
      <c r="E2679" s="35">
        <v>2630409</v>
      </c>
      <c r="F2679" s="35">
        <v>82664387.830000013</v>
      </c>
    </row>
    <row r="2680" spans="1:6" x14ac:dyDescent="0.3">
      <c r="A2680" t="s">
        <v>53</v>
      </c>
      <c r="B2680">
        <v>2022</v>
      </c>
      <c r="C2680" t="s">
        <v>2</v>
      </c>
      <c r="D2680" s="35">
        <v>901906136.43999994</v>
      </c>
      <c r="E2680" s="35">
        <v>7024906</v>
      </c>
      <c r="F2680" s="35">
        <v>763325116.98999989</v>
      </c>
    </row>
    <row r="2681" spans="1:6" x14ac:dyDescent="0.3">
      <c r="A2681" t="s">
        <v>53</v>
      </c>
      <c r="B2681">
        <v>2022</v>
      </c>
      <c r="C2681" t="s">
        <v>5</v>
      </c>
      <c r="D2681" s="35">
        <v>201348949.9300001</v>
      </c>
      <c r="E2681" s="35">
        <v>102488</v>
      </c>
      <c r="F2681" s="35">
        <v>189028065.55000001</v>
      </c>
    </row>
    <row r="2682" spans="1:6" x14ac:dyDescent="0.3">
      <c r="A2682" t="s">
        <v>53</v>
      </c>
      <c r="B2682">
        <v>2022</v>
      </c>
      <c r="C2682" t="s">
        <v>17</v>
      </c>
      <c r="D2682" s="35">
        <v>3614965.9800000009</v>
      </c>
      <c r="E2682" s="35">
        <v>358472</v>
      </c>
      <c r="F2682" s="35">
        <v>1397630.82</v>
      </c>
    </row>
    <row r="2683" spans="1:6" x14ac:dyDescent="0.3">
      <c r="A2683" t="s">
        <v>53</v>
      </c>
      <c r="B2683">
        <v>2022</v>
      </c>
      <c r="C2683" t="s">
        <v>9</v>
      </c>
      <c r="D2683" s="35">
        <v>161018573.34999999</v>
      </c>
      <c r="E2683" s="35">
        <v>3620637</v>
      </c>
      <c r="F2683" s="35">
        <v>125418802.62</v>
      </c>
    </row>
    <row r="2684" spans="1:6" x14ac:dyDescent="0.3">
      <c r="A2684" t="s">
        <v>53</v>
      </c>
      <c r="B2684">
        <v>2022</v>
      </c>
      <c r="C2684" t="s">
        <v>8</v>
      </c>
      <c r="D2684" s="35">
        <v>160335600.30000001</v>
      </c>
      <c r="E2684" s="35">
        <v>9727</v>
      </c>
      <c r="F2684" s="35">
        <v>159470807.56999999</v>
      </c>
    </row>
    <row r="2685" spans="1:6" x14ac:dyDescent="0.3">
      <c r="A2685" t="s">
        <v>53</v>
      </c>
      <c r="B2685">
        <v>2022</v>
      </c>
      <c r="C2685" t="s">
        <v>6</v>
      </c>
      <c r="D2685" s="35">
        <v>330720533.56000012</v>
      </c>
      <c r="E2685" s="35">
        <v>4065665</v>
      </c>
      <c r="F2685" s="35">
        <v>299190863.54000002</v>
      </c>
    </row>
    <row r="2686" spans="1:6" x14ac:dyDescent="0.3">
      <c r="A2686" t="s">
        <v>53</v>
      </c>
      <c r="B2686">
        <v>2022</v>
      </c>
      <c r="C2686" t="s">
        <v>15</v>
      </c>
      <c r="D2686" s="35">
        <v>32371760.030000001</v>
      </c>
      <c r="E2686" s="35">
        <v>1241829</v>
      </c>
      <c r="F2686" s="35">
        <v>12138542.68</v>
      </c>
    </row>
    <row r="2687" spans="1:6" x14ac:dyDescent="0.3">
      <c r="A2687" t="s">
        <v>53</v>
      </c>
      <c r="B2687">
        <v>2022</v>
      </c>
      <c r="C2687" t="s">
        <v>18</v>
      </c>
      <c r="D2687" s="35">
        <v>14871490.59</v>
      </c>
      <c r="E2687" s="35">
        <v>133401</v>
      </c>
      <c r="F2687" s="35">
        <v>10657469.289999999</v>
      </c>
    </row>
    <row r="2688" spans="1:6" x14ac:dyDescent="0.3">
      <c r="A2688" t="s">
        <v>53</v>
      </c>
      <c r="B2688">
        <v>2023</v>
      </c>
      <c r="C2688" t="s">
        <v>10</v>
      </c>
      <c r="D2688" s="35">
        <v>167485006.66999999</v>
      </c>
      <c r="E2688" s="35">
        <v>4877795</v>
      </c>
      <c r="F2688" s="35">
        <v>136405991.08000001</v>
      </c>
    </row>
    <row r="2689" spans="1:6" x14ac:dyDescent="0.3">
      <c r="A2689" t="s">
        <v>53</v>
      </c>
      <c r="B2689">
        <v>2023</v>
      </c>
      <c r="C2689" t="s">
        <v>4</v>
      </c>
      <c r="D2689" s="35">
        <v>778479260.71999979</v>
      </c>
      <c r="E2689" s="35">
        <v>1501149</v>
      </c>
      <c r="F2689" s="35">
        <v>774679396.08000016</v>
      </c>
    </row>
    <row r="2690" spans="1:6" x14ac:dyDescent="0.3">
      <c r="A2690" t="s">
        <v>53</v>
      </c>
      <c r="B2690">
        <v>2023</v>
      </c>
      <c r="C2690" t="s">
        <v>13</v>
      </c>
      <c r="D2690" s="35">
        <v>72721860.049999997</v>
      </c>
      <c r="E2690" s="35">
        <v>1726144</v>
      </c>
      <c r="F2690" s="35">
        <v>50436195.830000013</v>
      </c>
    </row>
    <row r="2691" spans="1:6" x14ac:dyDescent="0.3">
      <c r="A2691" t="s">
        <v>53</v>
      </c>
      <c r="B2691">
        <v>2023</v>
      </c>
      <c r="C2691" t="s">
        <v>16</v>
      </c>
      <c r="D2691" s="35">
        <v>27411118.82</v>
      </c>
      <c r="E2691" s="35">
        <v>92738</v>
      </c>
      <c r="F2691" s="35">
        <v>26092713.65000001</v>
      </c>
    </row>
    <row r="2692" spans="1:6" x14ac:dyDescent="0.3">
      <c r="A2692" t="s">
        <v>53</v>
      </c>
      <c r="B2692">
        <v>2023</v>
      </c>
      <c r="C2692" t="s">
        <v>14</v>
      </c>
      <c r="D2692" s="35">
        <v>68297373.060000002</v>
      </c>
      <c r="E2692" s="35">
        <v>2442395</v>
      </c>
      <c r="F2692" s="35">
        <v>51175540.429999992</v>
      </c>
    </row>
    <row r="2693" spans="1:6" x14ac:dyDescent="0.3">
      <c r="A2693" t="s">
        <v>53</v>
      </c>
      <c r="B2693">
        <v>2023</v>
      </c>
      <c r="C2693" t="s">
        <v>7</v>
      </c>
      <c r="D2693" s="35">
        <v>208144397.91999999</v>
      </c>
      <c r="E2693" s="35">
        <v>59358</v>
      </c>
      <c r="F2693" s="35">
        <v>207528779.88999999</v>
      </c>
    </row>
    <row r="2694" spans="1:6" x14ac:dyDescent="0.3">
      <c r="A2694" t="s">
        <v>53</v>
      </c>
      <c r="B2694">
        <v>2023</v>
      </c>
      <c r="C2694" t="s">
        <v>11</v>
      </c>
      <c r="D2694" s="35">
        <v>52580425.68</v>
      </c>
      <c r="E2694" s="35">
        <v>99461</v>
      </c>
      <c r="F2694" s="35">
        <v>45837996.719999991</v>
      </c>
    </row>
    <row r="2695" spans="1:6" x14ac:dyDescent="0.3">
      <c r="A2695" t="s">
        <v>53</v>
      </c>
      <c r="B2695">
        <v>2023</v>
      </c>
      <c r="C2695" t="s">
        <v>3</v>
      </c>
      <c r="D2695" s="35">
        <v>719377672.78000033</v>
      </c>
      <c r="E2695" s="35">
        <v>1360877</v>
      </c>
      <c r="F2695" s="35">
        <v>706409175.42000008</v>
      </c>
    </row>
    <row r="2696" spans="1:6" x14ac:dyDescent="0.3">
      <c r="A2696" t="s">
        <v>53</v>
      </c>
      <c r="B2696">
        <v>2023</v>
      </c>
      <c r="C2696" t="s">
        <v>12</v>
      </c>
      <c r="D2696" s="35">
        <v>111873174.03</v>
      </c>
      <c r="E2696" s="35">
        <v>2858369</v>
      </c>
      <c r="F2696" s="35">
        <v>80926119.01000002</v>
      </c>
    </row>
    <row r="2697" spans="1:6" x14ac:dyDescent="0.3">
      <c r="A2697" t="s">
        <v>53</v>
      </c>
      <c r="B2697">
        <v>2023</v>
      </c>
      <c r="C2697" t="s">
        <v>2</v>
      </c>
      <c r="D2697" s="35">
        <v>931171753.02999997</v>
      </c>
      <c r="E2697" s="35">
        <v>7076994</v>
      </c>
      <c r="F2697" s="35">
        <v>785353448.74000001</v>
      </c>
    </row>
    <row r="2698" spans="1:6" x14ac:dyDescent="0.3">
      <c r="A2698" t="s">
        <v>53</v>
      </c>
      <c r="B2698">
        <v>2023</v>
      </c>
      <c r="C2698" t="s">
        <v>5</v>
      </c>
      <c r="D2698" s="35">
        <v>205475452.13</v>
      </c>
      <c r="E2698" s="35">
        <v>101763</v>
      </c>
      <c r="F2698" s="35">
        <v>192591879.47999999</v>
      </c>
    </row>
    <row r="2699" spans="1:6" x14ac:dyDescent="0.3">
      <c r="A2699" t="s">
        <v>53</v>
      </c>
      <c r="B2699">
        <v>2023</v>
      </c>
      <c r="C2699" t="s">
        <v>17</v>
      </c>
      <c r="D2699" s="35">
        <v>3440994.06</v>
      </c>
      <c r="E2699" s="35">
        <v>346695</v>
      </c>
      <c r="F2699" s="35">
        <v>1449126.12</v>
      </c>
    </row>
    <row r="2700" spans="1:6" x14ac:dyDescent="0.3">
      <c r="A2700" t="s">
        <v>53</v>
      </c>
      <c r="B2700">
        <v>2023</v>
      </c>
      <c r="C2700" t="s">
        <v>9</v>
      </c>
      <c r="D2700" s="35">
        <v>175728980.63000011</v>
      </c>
      <c r="E2700" s="35">
        <v>3708213</v>
      </c>
      <c r="F2700" s="35">
        <v>139337380.58000001</v>
      </c>
    </row>
    <row r="2701" spans="1:6" x14ac:dyDescent="0.3">
      <c r="A2701" t="s">
        <v>53</v>
      </c>
      <c r="B2701">
        <v>2023</v>
      </c>
      <c r="C2701" t="s">
        <v>8</v>
      </c>
      <c r="D2701" s="35">
        <v>176369567.02000001</v>
      </c>
      <c r="E2701" s="35">
        <v>9769</v>
      </c>
      <c r="F2701" s="35">
        <v>174984738.62</v>
      </c>
    </row>
    <row r="2702" spans="1:6" x14ac:dyDescent="0.3">
      <c r="A2702" t="s">
        <v>53</v>
      </c>
      <c r="B2702">
        <v>2023</v>
      </c>
      <c r="C2702" t="s">
        <v>6</v>
      </c>
      <c r="D2702" s="35">
        <v>349533973.26000011</v>
      </c>
      <c r="E2702" s="35">
        <v>4159899</v>
      </c>
      <c r="F2702" s="35">
        <v>323711712.69</v>
      </c>
    </row>
    <row r="2703" spans="1:6" x14ac:dyDescent="0.3">
      <c r="A2703" t="s">
        <v>53</v>
      </c>
      <c r="B2703">
        <v>2023</v>
      </c>
      <c r="C2703" t="s">
        <v>15</v>
      </c>
      <c r="D2703" s="35">
        <v>29828585.52</v>
      </c>
      <c r="E2703" s="35">
        <v>1051464</v>
      </c>
      <c r="F2703" s="35">
        <v>13814648.52</v>
      </c>
    </row>
    <row r="2704" spans="1:6" x14ac:dyDescent="0.3">
      <c r="A2704" t="s">
        <v>53</v>
      </c>
      <c r="B2704">
        <v>2023</v>
      </c>
      <c r="C2704" t="s">
        <v>18</v>
      </c>
      <c r="D2704" s="35">
        <v>17434329.050000001</v>
      </c>
      <c r="E2704" s="35">
        <v>128354</v>
      </c>
      <c r="F2704" s="35">
        <v>13682132.1</v>
      </c>
    </row>
    <row r="2705" spans="1:6" x14ac:dyDescent="0.3">
      <c r="A2705" t="s">
        <v>53</v>
      </c>
      <c r="B2705">
        <v>2024</v>
      </c>
      <c r="C2705" t="s">
        <v>10</v>
      </c>
      <c r="D2705" s="35">
        <v>151195827.00999999</v>
      </c>
      <c r="E2705" s="35">
        <v>4272989</v>
      </c>
      <c r="F2705" s="35">
        <v>124874456.61</v>
      </c>
    </row>
    <row r="2706" spans="1:6" x14ac:dyDescent="0.3">
      <c r="A2706" t="s">
        <v>53</v>
      </c>
      <c r="B2706">
        <v>2024</v>
      </c>
      <c r="C2706" t="s">
        <v>4</v>
      </c>
      <c r="D2706" s="35">
        <v>670344266.84000003</v>
      </c>
      <c r="E2706" s="35">
        <v>1391998</v>
      </c>
      <c r="F2706" s="35">
        <v>665083812.66000009</v>
      </c>
    </row>
    <row r="2707" spans="1:6" x14ac:dyDescent="0.3">
      <c r="A2707" t="s">
        <v>53</v>
      </c>
      <c r="B2707">
        <v>2024</v>
      </c>
      <c r="C2707" t="s">
        <v>13</v>
      </c>
      <c r="D2707" s="35">
        <v>68607266.180000022</v>
      </c>
      <c r="E2707" s="35">
        <v>1509243</v>
      </c>
      <c r="F2707" s="35">
        <v>51062776.220000014</v>
      </c>
    </row>
    <row r="2708" spans="1:6" x14ac:dyDescent="0.3">
      <c r="A2708" t="s">
        <v>53</v>
      </c>
      <c r="B2708">
        <v>2024</v>
      </c>
      <c r="C2708" t="s">
        <v>16</v>
      </c>
      <c r="D2708" s="35">
        <v>26625338.93</v>
      </c>
      <c r="E2708" s="35">
        <v>97944</v>
      </c>
      <c r="F2708" s="35">
        <v>25296456.32</v>
      </c>
    </row>
    <row r="2709" spans="1:6" x14ac:dyDescent="0.3">
      <c r="A2709" t="s">
        <v>53</v>
      </c>
      <c r="B2709">
        <v>2024</v>
      </c>
      <c r="C2709" t="s">
        <v>14</v>
      </c>
      <c r="D2709" s="35">
        <v>67439478.25999999</v>
      </c>
      <c r="E2709" s="35">
        <v>2192684</v>
      </c>
      <c r="F2709" s="35">
        <v>52115995.010000013</v>
      </c>
    </row>
    <row r="2710" spans="1:6" x14ac:dyDescent="0.3">
      <c r="A2710" t="s">
        <v>53</v>
      </c>
      <c r="B2710">
        <v>2024</v>
      </c>
      <c r="C2710" t="s">
        <v>7</v>
      </c>
      <c r="D2710" s="35">
        <v>162191150.32000011</v>
      </c>
      <c r="E2710" s="35">
        <v>50173</v>
      </c>
      <c r="F2710" s="35">
        <v>161883654.62</v>
      </c>
    </row>
    <row r="2711" spans="1:6" x14ac:dyDescent="0.3">
      <c r="A2711" t="s">
        <v>53</v>
      </c>
      <c r="B2711">
        <v>2024</v>
      </c>
      <c r="C2711" t="s">
        <v>11</v>
      </c>
      <c r="D2711" s="35">
        <v>52143142.43999999</v>
      </c>
      <c r="E2711" s="35">
        <v>85535</v>
      </c>
      <c r="F2711" s="35">
        <v>47289917.390000008</v>
      </c>
    </row>
    <row r="2712" spans="1:6" x14ac:dyDescent="0.3">
      <c r="A2712" t="s">
        <v>53</v>
      </c>
      <c r="B2712">
        <v>2024</v>
      </c>
      <c r="C2712" t="s">
        <v>3</v>
      </c>
      <c r="D2712" s="35">
        <v>716351090.99999976</v>
      </c>
      <c r="E2712" s="35">
        <v>1253921</v>
      </c>
      <c r="F2712" s="35">
        <v>705949334.36999989</v>
      </c>
    </row>
    <row r="2713" spans="1:6" x14ac:dyDescent="0.3">
      <c r="A2713" t="s">
        <v>53</v>
      </c>
      <c r="B2713">
        <v>2024</v>
      </c>
      <c r="C2713" t="s">
        <v>12</v>
      </c>
      <c r="D2713" s="35">
        <v>93467011.519999996</v>
      </c>
      <c r="E2713" s="35">
        <v>2647342</v>
      </c>
      <c r="F2713" s="35">
        <v>67612166.819999993</v>
      </c>
    </row>
    <row r="2714" spans="1:6" x14ac:dyDescent="0.3">
      <c r="A2714" t="s">
        <v>53</v>
      </c>
      <c r="B2714">
        <v>2024</v>
      </c>
      <c r="C2714" t="s">
        <v>2</v>
      </c>
      <c r="D2714" s="35">
        <v>892412084.58000004</v>
      </c>
      <c r="E2714" s="35">
        <v>6424119</v>
      </c>
      <c r="F2714" s="35">
        <v>760464584.69000006</v>
      </c>
    </row>
    <row r="2715" spans="1:6" x14ac:dyDescent="0.3">
      <c r="A2715" t="s">
        <v>53</v>
      </c>
      <c r="B2715">
        <v>2024</v>
      </c>
      <c r="C2715" t="s">
        <v>5</v>
      </c>
      <c r="D2715" s="35">
        <v>202957972.84</v>
      </c>
      <c r="E2715" s="35">
        <v>94387</v>
      </c>
      <c r="F2715" s="35">
        <v>194925500.22</v>
      </c>
    </row>
    <row r="2716" spans="1:6" x14ac:dyDescent="0.3">
      <c r="A2716" t="s">
        <v>53</v>
      </c>
      <c r="B2716">
        <v>2024</v>
      </c>
      <c r="C2716" t="s">
        <v>17</v>
      </c>
      <c r="D2716" s="35">
        <v>3156914.52</v>
      </c>
      <c r="E2716" s="35">
        <v>322974</v>
      </c>
      <c r="F2716" s="35">
        <v>1365351.58</v>
      </c>
    </row>
    <row r="2717" spans="1:6" x14ac:dyDescent="0.3">
      <c r="A2717" t="s">
        <v>53</v>
      </c>
      <c r="B2717">
        <v>2024</v>
      </c>
      <c r="C2717" t="s">
        <v>9</v>
      </c>
      <c r="D2717" s="35">
        <v>165354281.8499999</v>
      </c>
      <c r="E2717" s="35">
        <v>3454748</v>
      </c>
      <c r="F2717" s="35">
        <v>134566689.22999999</v>
      </c>
    </row>
    <row r="2718" spans="1:6" x14ac:dyDescent="0.3">
      <c r="A2718" t="s">
        <v>53</v>
      </c>
      <c r="B2718">
        <v>2024</v>
      </c>
      <c r="C2718" t="s">
        <v>8</v>
      </c>
      <c r="D2718" s="35">
        <v>175454683.52000001</v>
      </c>
      <c r="E2718" s="35">
        <v>9799</v>
      </c>
      <c r="F2718" s="35">
        <v>174152525.13</v>
      </c>
    </row>
    <row r="2719" spans="1:6" x14ac:dyDescent="0.3">
      <c r="A2719" t="s">
        <v>53</v>
      </c>
      <c r="B2719">
        <v>2024</v>
      </c>
      <c r="C2719" t="s">
        <v>6</v>
      </c>
      <c r="D2719" s="35">
        <v>268403052.43000001</v>
      </c>
      <c r="E2719" s="35">
        <v>3806742</v>
      </c>
      <c r="F2719" s="35">
        <v>239486444.36000001</v>
      </c>
    </row>
    <row r="2720" spans="1:6" x14ac:dyDescent="0.3">
      <c r="A2720" t="s">
        <v>53</v>
      </c>
      <c r="B2720">
        <v>2024</v>
      </c>
      <c r="C2720" t="s">
        <v>15</v>
      </c>
      <c r="D2720" s="35">
        <v>26066537.52</v>
      </c>
      <c r="E2720" s="35">
        <v>853370</v>
      </c>
      <c r="F2720" s="35">
        <v>13034428.119999999</v>
      </c>
    </row>
    <row r="2721" spans="1:6" x14ac:dyDescent="0.3">
      <c r="A2721" t="s">
        <v>53</v>
      </c>
      <c r="B2721">
        <v>2024</v>
      </c>
      <c r="C2721" t="s">
        <v>18</v>
      </c>
      <c r="D2721" s="35">
        <v>15605961.970000001</v>
      </c>
      <c r="E2721" s="35">
        <v>111071</v>
      </c>
      <c r="F2721" s="35">
        <v>12077418.67</v>
      </c>
    </row>
    <row r="2722" spans="1:6" x14ac:dyDescent="0.3">
      <c r="A2722" t="s">
        <v>53</v>
      </c>
      <c r="B2722">
        <v>2025</v>
      </c>
      <c r="C2722" t="s">
        <v>10</v>
      </c>
      <c r="D2722" s="35">
        <v>152223357.66</v>
      </c>
      <c r="E2722" s="35">
        <v>4014405</v>
      </c>
      <c r="F2722" s="35">
        <v>128864606.36</v>
      </c>
    </row>
    <row r="2723" spans="1:6" x14ac:dyDescent="0.3">
      <c r="A2723" t="s">
        <v>53</v>
      </c>
      <c r="B2723">
        <v>2025</v>
      </c>
      <c r="C2723" t="s">
        <v>4</v>
      </c>
      <c r="D2723" s="35">
        <v>906208321.56999993</v>
      </c>
      <c r="E2723" s="35">
        <v>1549056</v>
      </c>
      <c r="F2723" s="35">
        <v>903459127.65999997</v>
      </c>
    </row>
    <row r="2724" spans="1:6" x14ac:dyDescent="0.3">
      <c r="A2724" t="s">
        <v>53</v>
      </c>
      <c r="B2724">
        <v>2025</v>
      </c>
      <c r="C2724" t="s">
        <v>13</v>
      </c>
      <c r="D2724" s="35">
        <v>73501599.450000003</v>
      </c>
      <c r="E2724" s="35">
        <v>1498146</v>
      </c>
      <c r="F2724" s="35">
        <v>56816063.030000001</v>
      </c>
    </row>
    <row r="2725" spans="1:6" x14ac:dyDescent="0.3">
      <c r="A2725" t="s">
        <v>53</v>
      </c>
      <c r="B2725">
        <v>2025</v>
      </c>
      <c r="C2725" t="s">
        <v>16</v>
      </c>
      <c r="D2725" s="35">
        <v>26718504.080000009</v>
      </c>
      <c r="E2725" s="35">
        <v>106657</v>
      </c>
      <c r="F2725" s="35">
        <v>25268417.210000001</v>
      </c>
    </row>
    <row r="2726" spans="1:6" x14ac:dyDescent="0.3">
      <c r="A2726" t="s">
        <v>53</v>
      </c>
      <c r="B2726">
        <v>2025</v>
      </c>
      <c r="C2726" t="s">
        <v>14</v>
      </c>
      <c r="D2726" s="35">
        <v>73100027.719999984</v>
      </c>
      <c r="E2726" s="35">
        <v>2194802</v>
      </c>
      <c r="F2726" s="35">
        <v>57152241.539999992</v>
      </c>
    </row>
    <row r="2727" spans="1:6" x14ac:dyDescent="0.3">
      <c r="A2727" t="s">
        <v>53</v>
      </c>
      <c r="B2727">
        <v>2025</v>
      </c>
      <c r="C2727" t="s">
        <v>7</v>
      </c>
      <c r="D2727" s="35">
        <v>198802404.91</v>
      </c>
      <c r="E2727" s="35">
        <v>48506</v>
      </c>
      <c r="F2727" s="35">
        <v>198533581.46000001</v>
      </c>
    </row>
    <row r="2728" spans="1:6" x14ac:dyDescent="0.3">
      <c r="A2728" t="s">
        <v>53</v>
      </c>
      <c r="B2728">
        <v>2025</v>
      </c>
      <c r="C2728" t="s">
        <v>11</v>
      </c>
      <c r="D2728" s="35">
        <v>57180766.659999996</v>
      </c>
      <c r="E2728" s="35">
        <v>85877</v>
      </c>
      <c r="F2728" s="35">
        <v>50758656.36999999</v>
      </c>
    </row>
    <row r="2729" spans="1:6" x14ac:dyDescent="0.3">
      <c r="A2729" t="s">
        <v>53</v>
      </c>
      <c r="B2729">
        <v>2025</v>
      </c>
      <c r="C2729" t="s">
        <v>3</v>
      </c>
      <c r="D2729" s="35">
        <v>745289119.21000004</v>
      </c>
      <c r="E2729" s="35">
        <v>1229405</v>
      </c>
      <c r="F2729" s="35">
        <v>735770134.56999981</v>
      </c>
    </row>
    <row r="2730" spans="1:6" x14ac:dyDescent="0.3">
      <c r="A2730" t="s">
        <v>53</v>
      </c>
      <c r="B2730">
        <v>2025</v>
      </c>
      <c r="C2730" t="s">
        <v>12</v>
      </c>
      <c r="D2730" s="35">
        <v>80040502.12999998</v>
      </c>
      <c r="E2730" s="35">
        <v>2495474</v>
      </c>
      <c r="F2730" s="35">
        <v>57950471.739999987</v>
      </c>
    </row>
    <row r="2731" spans="1:6" x14ac:dyDescent="0.3">
      <c r="A2731" t="s">
        <v>53</v>
      </c>
      <c r="B2731">
        <v>2025</v>
      </c>
      <c r="C2731" t="s">
        <v>2</v>
      </c>
      <c r="D2731" s="35">
        <v>980317898.43000007</v>
      </c>
      <c r="E2731" s="35">
        <v>6313993</v>
      </c>
      <c r="F2731" s="35">
        <v>841175994.44000006</v>
      </c>
    </row>
    <row r="2732" spans="1:6" x14ac:dyDescent="0.3">
      <c r="A2732" t="s">
        <v>53</v>
      </c>
      <c r="B2732">
        <v>2025</v>
      </c>
      <c r="C2732" t="s">
        <v>5</v>
      </c>
      <c r="D2732" s="35">
        <v>198442630.25999999</v>
      </c>
      <c r="E2732" s="35">
        <v>90842</v>
      </c>
      <c r="F2732" s="35">
        <v>188934504.99000001</v>
      </c>
    </row>
    <row r="2733" spans="1:6" x14ac:dyDescent="0.3">
      <c r="A2733" t="s">
        <v>53</v>
      </c>
      <c r="B2733">
        <v>2025</v>
      </c>
      <c r="C2733" t="s">
        <v>17</v>
      </c>
      <c r="D2733" s="35">
        <v>3090967.27</v>
      </c>
      <c r="E2733" s="35">
        <v>302409</v>
      </c>
      <c r="F2733" s="35">
        <v>1528563.57</v>
      </c>
    </row>
    <row r="2734" spans="1:6" x14ac:dyDescent="0.3">
      <c r="A2734" t="s">
        <v>53</v>
      </c>
      <c r="B2734">
        <v>2025</v>
      </c>
      <c r="C2734" t="s">
        <v>9</v>
      </c>
      <c r="D2734" s="35">
        <v>169927894.52000001</v>
      </c>
      <c r="E2734" s="35">
        <v>3507743</v>
      </c>
      <c r="F2734" s="35">
        <v>137583195.09</v>
      </c>
    </row>
    <row r="2735" spans="1:6" x14ac:dyDescent="0.3">
      <c r="A2735" t="s">
        <v>53</v>
      </c>
      <c r="B2735">
        <v>2025</v>
      </c>
      <c r="C2735" t="s">
        <v>8</v>
      </c>
      <c r="D2735" s="35">
        <v>185085256.5</v>
      </c>
      <c r="E2735" s="35">
        <v>8772</v>
      </c>
      <c r="F2735" s="35">
        <v>183635419.16999999</v>
      </c>
    </row>
    <row r="2736" spans="1:6" x14ac:dyDescent="0.3">
      <c r="A2736" t="s">
        <v>53</v>
      </c>
      <c r="B2736">
        <v>2025</v>
      </c>
      <c r="C2736" t="s">
        <v>6</v>
      </c>
      <c r="D2736" s="35">
        <v>270982321.31999999</v>
      </c>
      <c r="E2736" s="35">
        <v>3693723</v>
      </c>
      <c r="F2736" s="35">
        <v>243920508.75000009</v>
      </c>
    </row>
    <row r="2737" spans="1:6" x14ac:dyDescent="0.3">
      <c r="A2737" t="s">
        <v>53</v>
      </c>
      <c r="B2737">
        <v>2025</v>
      </c>
      <c r="C2737" t="s">
        <v>15</v>
      </c>
      <c r="D2737" s="35">
        <v>35285947.879999988</v>
      </c>
      <c r="E2737" s="35">
        <v>769325</v>
      </c>
      <c r="F2737" s="35">
        <v>19027131.719999999</v>
      </c>
    </row>
    <row r="2738" spans="1:6" x14ac:dyDescent="0.3">
      <c r="A2738" t="s">
        <v>53</v>
      </c>
      <c r="B2738">
        <v>2025</v>
      </c>
      <c r="C2738" t="s">
        <v>18</v>
      </c>
      <c r="D2738" s="35">
        <v>14324510.189999999</v>
      </c>
      <c r="E2738" s="35">
        <v>108268</v>
      </c>
      <c r="F2738" s="35">
        <v>9045118.2999999989</v>
      </c>
    </row>
    <row r="2739" spans="1:6" x14ac:dyDescent="0.3">
      <c r="A2739" t="s">
        <v>54</v>
      </c>
      <c r="B2739">
        <v>2019</v>
      </c>
      <c r="C2739" t="s">
        <v>10</v>
      </c>
      <c r="D2739" s="35">
        <v>29870087.129999999</v>
      </c>
      <c r="E2739" s="35">
        <v>1686868</v>
      </c>
      <c r="F2739" s="35">
        <v>13590906.84</v>
      </c>
    </row>
    <row r="2740" spans="1:6" x14ac:dyDescent="0.3">
      <c r="A2740" t="s">
        <v>54</v>
      </c>
      <c r="B2740">
        <v>2019</v>
      </c>
      <c r="C2740" t="s">
        <v>4</v>
      </c>
      <c r="D2740" s="35">
        <v>115086699.33</v>
      </c>
      <c r="E2740" s="35">
        <v>476010</v>
      </c>
      <c r="F2740" s="35">
        <v>112904786.66</v>
      </c>
    </row>
    <row r="2741" spans="1:6" x14ac:dyDescent="0.3">
      <c r="A2741" t="s">
        <v>54</v>
      </c>
      <c r="B2741">
        <v>2019</v>
      </c>
      <c r="C2741" t="s">
        <v>13</v>
      </c>
      <c r="D2741" s="35">
        <v>49521818.770000003</v>
      </c>
      <c r="E2741" s="35">
        <v>498940</v>
      </c>
      <c r="F2741" s="35">
        <v>35139257.259999998</v>
      </c>
    </row>
    <row r="2742" spans="1:6" x14ac:dyDescent="0.3">
      <c r="A2742" t="s">
        <v>54</v>
      </c>
      <c r="B2742">
        <v>2019</v>
      </c>
      <c r="C2742" t="s">
        <v>16</v>
      </c>
      <c r="D2742" s="35">
        <v>14412124.470000001</v>
      </c>
      <c r="E2742" s="35">
        <v>53624</v>
      </c>
      <c r="F2742" s="35">
        <v>12062761.220000001</v>
      </c>
    </row>
    <row r="2743" spans="1:6" x14ac:dyDescent="0.3">
      <c r="A2743" t="s">
        <v>54</v>
      </c>
      <c r="B2743">
        <v>2019</v>
      </c>
      <c r="C2743" t="s">
        <v>14</v>
      </c>
      <c r="D2743" s="35">
        <v>19877235.440000001</v>
      </c>
      <c r="E2743" s="35">
        <v>705852</v>
      </c>
      <c r="F2743" s="35">
        <v>10545430.689999999</v>
      </c>
    </row>
    <row r="2744" spans="1:6" x14ac:dyDescent="0.3">
      <c r="A2744" t="s">
        <v>54</v>
      </c>
      <c r="B2744">
        <v>2019</v>
      </c>
      <c r="C2744" t="s">
        <v>7</v>
      </c>
      <c r="D2744" s="35">
        <v>47490561.659999996</v>
      </c>
      <c r="E2744" s="35">
        <v>23639</v>
      </c>
      <c r="F2744" s="35">
        <v>47076466.320000008</v>
      </c>
    </row>
    <row r="2745" spans="1:6" x14ac:dyDescent="0.3">
      <c r="A2745" t="s">
        <v>54</v>
      </c>
      <c r="B2745">
        <v>2019</v>
      </c>
      <c r="C2745" t="s">
        <v>11</v>
      </c>
      <c r="D2745" s="35">
        <v>27474103.190000009</v>
      </c>
      <c r="E2745" s="35">
        <v>57097</v>
      </c>
      <c r="F2745" s="35">
        <v>26555848.52</v>
      </c>
    </row>
    <row r="2746" spans="1:6" x14ac:dyDescent="0.3">
      <c r="A2746" t="s">
        <v>54</v>
      </c>
      <c r="B2746">
        <v>2019</v>
      </c>
      <c r="C2746" t="s">
        <v>3</v>
      </c>
      <c r="D2746" s="35">
        <v>130803961.59</v>
      </c>
      <c r="E2746" s="35">
        <v>402257</v>
      </c>
      <c r="F2746" s="35">
        <v>123394708.18000001</v>
      </c>
    </row>
    <row r="2747" spans="1:6" x14ac:dyDescent="0.3">
      <c r="A2747" t="s">
        <v>54</v>
      </c>
      <c r="B2747">
        <v>2019</v>
      </c>
      <c r="C2747" t="s">
        <v>12</v>
      </c>
      <c r="D2747" s="35">
        <v>47449193.299999997</v>
      </c>
      <c r="E2747" s="35">
        <v>926537</v>
      </c>
      <c r="F2747" s="35">
        <v>28432631.289999999</v>
      </c>
    </row>
    <row r="2748" spans="1:6" x14ac:dyDescent="0.3">
      <c r="A2748" t="s">
        <v>54</v>
      </c>
      <c r="B2748">
        <v>2019</v>
      </c>
      <c r="C2748" t="s">
        <v>2</v>
      </c>
      <c r="D2748" s="35">
        <v>226132587.52000001</v>
      </c>
      <c r="E2748" s="35">
        <v>3290968</v>
      </c>
      <c r="F2748" s="35">
        <v>160575594.88999999</v>
      </c>
    </row>
    <row r="2749" spans="1:6" x14ac:dyDescent="0.3">
      <c r="A2749" t="s">
        <v>54</v>
      </c>
      <c r="B2749">
        <v>2019</v>
      </c>
      <c r="C2749" t="s">
        <v>5</v>
      </c>
      <c r="D2749" s="35">
        <v>75077826.279999986</v>
      </c>
      <c r="E2749" s="35">
        <v>54043</v>
      </c>
      <c r="F2749" s="35">
        <v>72406675.349999994</v>
      </c>
    </row>
    <row r="2750" spans="1:6" x14ac:dyDescent="0.3">
      <c r="A2750" t="s">
        <v>54</v>
      </c>
      <c r="B2750">
        <v>2019</v>
      </c>
      <c r="C2750" t="s">
        <v>17</v>
      </c>
      <c r="D2750" s="35">
        <v>5431121.3000000017</v>
      </c>
      <c r="E2750" s="35">
        <v>237145</v>
      </c>
      <c r="F2750" s="35">
        <v>1392541.08</v>
      </c>
    </row>
    <row r="2751" spans="1:6" x14ac:dyDescent="0.3">
      <c r="A2751" t="s">
        <v>54</v>
      </c>
      <c r="B2751">
        <v>2019</v>
      </c>
      <c r="C2751" t="s">
        <v>9</v>
      </c>
      <c r="D2751" s="35">
        <v>42379930.440000013</v>
      </c>
      <c r="E2751" s="35">
        <v>1084761</v>
      </c>
      <c r="F2751" s="35">
        <v>24579235.82</v>
      </c>
    </row>
    <row r="2752" spans="1:6" x14ac:dyDescent="0.3">
      <c r="A2752" t="s">
        <v>54</v>
      </c>
      <c r="B2752">
        <v>2019</v>
      </c>
      <c r="C2752" t="s">
        <v>8</v>
      </c>
      <c r="D2752" s="35">
        <v>33268615.609999999</v>
      </c>
      <c r="E2752" s="35">
        <v>3182</v>
      </c>
      <c r="F2752" s="35">
        <v>33268615.609999999</v>
      </c>
    </row>
    <row r="2753" spans="1:6" x14ac:dyDescent="0.3">
      <c r="A2753" t="s">
        <v>54</v>
      </c>
      <c r="B2753">
        <v>2019</v>
      </c>
      <c r="C2753" t="s">
        <v>6</v>
      </c>
      <c r="D2753" s="35">
        <v>83335777.120000005</v>
      </c>
      <c r="E2753" s="35">
        <v>1212377</v>
      </c>
      <c r="F2753" s="35">
        <v>69201667.25999999</v>
      </c>
    </row>
    <row r="2754" spans="1:6" x14ac:dyDescent="0.3">
      <c r="A2754" t="s">
        <v>54</v>
      </c>
      <c r="B2754">
        <v>2019</v>
      </c>
      <c r="C2754" t="s">
        <v>15</v>
      </c>
      <c r="D2754" s="35">
        <v>38278600.429999992</v>
      </c>
      <c r="E2754" s="35">
        <v>1755169</v>
      </c>
      <c r="F2754" s="35">
        <v>17599938.850000001</v>
      </c>
    </row>
    <row r="2755" spans="1:6" x14ac:dyDescent="0.3">
      <c r="A2755" t="s">
        <v>54</v>
      </c>
      <c r="B2755">
        <v>2019</v>
      </c>
      <c r="C2755" t="s">
        <v>18</v>
      </c>
      <c r="D2755" s="35">
        <v>3363525.52</v>
      </c>
      <c r="E2755" s="35">
        <v>46004</v>
      </c>
      <c r="F2755" s="35">
        <v>1964944.62</v>
      </c>
    </row>
    <row r="2756" spans="1:6" x14ac:dyDescent="0.3">
      <c r="A2756" t="s">
        <v>54</v>
      </c>
      <c r="B2756">
        <v>2020</v>
      </c>
      <c r="C2756" t="s">
        <v>10</v>
      </c>
      <c r="D2756" s="35">
        <v>38679053.409999996</v>
      </c>
      <c r="E2756" s="35">
        <v>1706427</v>
      </c>
      <c r="F2756" s="35">
        <v>20624577.760000002</v>
      </c>
    </row>
    <row r="2757" spans="1:6" x14ac:dyDescent="0.3">
      <c r="A2757" t="s">
        <v>54</v>
      </c>
      <c r="B2757">
        <v>2020</v>
      </c>
      <c r="C2757" t="s">
        <v>4</v>
      </c>
      <c r="D2757" s="35">
        <v>145727952.27000001</v>
      </c>
      <c r="E2757" s="35">
        <v>499125</v>
      </c>
      <c r="F2757" s="35">
        <v>143373492.53999999</v>
      </c>
    </row>
    <row r="2758" spans="1:6" x14ac:dyDescent="0.3">
      <c r="A2758" t="s">
        <v>54</v>
      </c>
      <c r="B2758">
        <v>2020</v>
      </c>
      <c r="C2758" t="s">
        <v>13</v>
      </c>
      <c r="D2758" s="35">
        <v>55272467.889999993</v>
      </c>
      <c r="E2758" s="35">
        <v>504204</v>
      </c>
      <c r="F2758" s="35">
        <v>38305089.499999993</v>
      </c>
    </row>
    <row r="2759" spans="1:6" x14ac:dyDescent="0.3">
      <c r="A2759" t="s">
        <v>54</v>
      </c>
      <c r="B2759">
        <v>2020</v>
      </c>
      <c r="C2759" t="s">
        <v>16</v>
      </c>
      <c r="D2759" s="35">
        <v>17688333.91</v>
      </c>
      <c r="E2759" s="35">
        <v>56506</v>
      </c>
      <c r="F2759" s="35">
        <v>15150242.800000001</v>
      </c>
    </row>
    <row r="2760" spans="1:6" x14ac:dyDescent="0.3">
      <c r="A2760" t="s">
        <v>54</v>
      </c>
      <c r="B2760">
        <v>2020</v>
      </c>
      <c r="C2760" t="s">
        <v>14</v>
      </c>
      <c r="D2760" s="35">
        <v>22735989.359999999</v>
      </c>
      <c r="E2760" s="35">
        <v>799865</v>
      </c>
      <c r="F2760" s="35">
        <v>11560523.9</v>
      </c>
    </row>
    <row r="2761" spans="1:6" x14ac:dyDescent="0.3">
      <c r="A2761" t="s">
        <v>54</v>
      </c>
      <c r="B2761">
        <v>2020</v>
      </c>
      <c r="C2761" t="s">
        <v>7</v>
      </c>
      <c r="D2761" s="35">
        <v>53428841.520000003</v>
      </c>
      <c r="E2761" s="35">
        <v>24227</v>
      </c>
      <c r="F2761" s="35">
        <v>52121319.369999997</v>
      </c>
    </row>
    <row r="2762" spans="1:6" x14ac:dyDescent="0.3">
      <c r="A2762" t="s">
        <v>54</v>
      </c>
      <c r="B2762">
        <v>2020</v>
      </c>
      <c r="C2762" t="s">
        <v>11</v>
      </c>
      <c r="D2762" s="35">
        <v>29772714.399999999</v>
      </c>
      <c r="E2762" s="35">
        <v>63604</v>
      </c>
      <c r="F2762" s="35">
        <v>28803949.100000001</v>
      </c>
    </row>
    <row r="2763" spans="1:6" x14ac:dyDescent="0.3">
      <c r="A2763" t="s">
        <v>54</v>
      </c>
      <c r="B2763">
        <v>2020</v>
      </c>
      <c r="C2763" t="s">
        <v>3</v>
      </c>
      <c r="D2763" s="35">
        <v>165298493.77000001</v>
      </c>
      <c r="E2763" s="35">
        <v>365133</v>
      </c>
      <c r="F2763" s="35">
        <v>157953794.91999999</v>
      </c>
    </row>
    <row r="2764" spans="1:6" x14ac:dyDescent="0.3">
      <c r="A2764" t="s">
        <v>54</v>
      </c>
      <c r="B2764">
        <v>2020</v>
      </c>
      <c r="C2764" t="s">
        <v>12</v>
      </c>
      <c r="D2764" s="35">
        <v>44415118.94000002</v>
      </c>
      <c r="E2764" s="35">
        <v>767215</v>
      </c>
      <c r="F2764" s="35">
        <v>27153422.199999999</v>
      </c>
    </row>
    <row r="2765" spans="1:6" x14ac:dyDescent="0.3">
      <c r="A2765" t="s">
        <v>54</v>
      </c>
      <c r="B2765">
        <v>2020</v>
      </c>
      <c r="C2765" t="s">
        <v>2</v>
      </c>
      <c r="D2765" s="35">
        <v>266017822.78999999</v>
      </c>
      <c r="E2765" s="35">
        <v>3516408</v>
      </c>
      <c r="F2765" s="35">
        <v>188578401.49999991</v>
      </c>
    </row>
    <row r="2766" spans="1:6" x14ac:dyDescent="0.3">
      <c r="A2766" t="s">
        <v>54</v>
      </c>
      <c r="B2766">
        <v>2020</v>
      </c>
      <c r="C2766" t="s">
        <v>5</v>
      </c>
      <c r="D2766" s="35">
        <v>97834440.629999995</v>
      </c>
      <c r="E2766" s="35">
        <v>55610</v>
      </c>
      <c r="F2766" s="35">
        <v>94363806.829999998</v>
      </c>
    </row>
    <row r="2767" spans="1:6" x14ac:dyDescent="0.3">
      <c r="A2767" t="s">
        <v>54</v>
      </c>
      <c r="B2767">
        <v>2020</v>
      </c>
      <c r="C2767" t="s">
        <v>17</v>
      </c>
      <c r="D2767" s="35">
        <v>5843175.3399999999</v>
      </c>
      <c r="E2767" s="35">
        <v>249633</v>
      </c>
      <c r="F2767" s="35">
        <v>1334766.81</v>
      </c>
    </row>
    <row r="2768" spans="1:6" x14ac:dyDescent="0.3">
      <c r="A2768" t="s">
        <v>54</v>
      </c>
      <c r="B2768">
        <v>2020</v>
      </c>
      <c r="C2768" t="s">
        <v>9</v>
      </c>
      <c r="D2768" s="35">
        <v>50471781.82</v>
      </c>
      <c r="E2768" s="35">
        <v>1093147</v>
      </c>
      <c r="F2768" s="35">
        <v>33276355.289999999</v>
      </c>
    </row>
    <row r="2769" spans="1:6" x14ac:dyDescent="0.3">
      <c r="A2769" t="s">
        <v>54</v>
      </c>
      <c r="B2769">
        <v>2020</v>
      </c>
      <c r="C2769" t="s">
        <v>8</v>
      </c>
      <c r="D2769" s="35">
        <v>47426645.950000003</v>
      </c>
      <c r="E2769" s="35">
        <v>3763</v>
      </c>
      <c r="F2769" s="35">
        <v>47426645.950000003</v>
      </c>
    </row>
    <row r="2770" spans="1:6" x14ac:dyDescent="0.3">
      <c r="A2770" t="s">
        <v>54</v>
      </c>
      <c r="B2770">
        <v>2020</v>
      </c>
      <c r="C2770" t="s">
        <v>6</v>
      </c>
      <c r="D2770" s="35">
        <v>97638117.75999999</v>
      </c>
      <c r="E2770" s="35">
        <v>1276203</v>
      </c>
      <c r="F2770" s="35">
        <v>78401852.99000001</v>
      </c>
    </row>
    <row r="2771" spans="1:6" x14ac:dyDescent="0.3">
      <c r="A2771" t="s">
        <v>54</v>
      </c>
      <c r="B2771">
        <v>2020</v>
      </c>
      <c r="C2771" t="s">
        <v>15</v>
      </c>
      <c r="D2771" s="35">
        <v>38093368.869999997</v>
      </c>
      <c r="E2771" s="35">
        <v>1525827</v>
      </c>
      <c r="F2771" s="35">
        <v>17046386.16</v>
      </c>
    </row>
    <row r="2772" spans="1:6" x14ac:dyDescent="0.3">
      <c r="A2772" t="s">
        <v>54</v>
      </c>
      <c r="B2772">
        <v>2020</v>
      </c>
      <c r="C2772" t="s">
        <v>18</v>
      </c>
      <c r="D2772" s="35">
        <v>5059733.6599999983</v>
      </c>
      <c r="E2772" s="35">
        <v>46849</v>
      </c>
      <c r="F2772" s="35">
        <v>3550353.66</v>
      </c>
    </row>
    <row r="2773" spans="1:6" x14ac:dyDescent="0.3">
      <c r="A2773" t="s">
        <v>54</v>
      </c>
      <c r="B2773">
        <v>2021</v>
      </c>
      <c r="C2773" t="s">
        <v>10</v>
      </c>
      <c r="D2773" s="35">
        <v>47290979.920000002</v>
      </c>
      <c r="E2773" s="35">
        <v>1589299</v>
      </c>
      <c r="F2773" s="35">
        <v>28180109.449999999</v>
      </c>
    </row>
    <row r="2774" spans="1:6" x14ac:dyDescent="0.3">
      <c r="A2774" t="s">
        <v>54</v>
      </c>
      <c r="B2774">
        <v>2021</v>
      </c>
      <c r="C2774" t="s">
        <v>4</v>
      </c>
      <c r="D2774" s="35">
        <v>170048678.11000001</v>
      </c>
      <c r="E2774" s="35">
        <v>462077</v>
      </c>
      <c r="F2774" s="35">
        <v>167194824.62</v>
      </c>
    </row>
    <row r="2775" spans="1:6" x14ac:dyDescent="0.3">
      <c r="A2775" t="s">
        <v>54</v>
      </c>
      <c r="B2775">
        <v>2021</v>
      </c>
      <c r="C2775" t="s">
        <v>13</v>
      </c>
      <c r="D2775" s="35">
        <v>58071877.939999998</v>
      </c>
      <c r="E2775" s="35">
        <v>505649</v>
      </c>
      <c r="F2775" s="35">
        <v>40622059.450000003</v>
      </c>
    </row>
    <row r="2776" spans="1:6" x14ac:dyDescent="0.3">
      <c r="A2776" t="s">
        <v>54</v>
      </c>
      <c r="B2776">
        <v>2021</v>
      </c>
      <c r="C2776" t="s">
        <v>16</v>
      </c>
      <c r="D2776" s="35">
        <v>20271719.760000009</v>
      </c>
      <c r="E2776" s="35">
        <v>59371</v>
      </c>
      <c r="F2776" s="35">
        <v>17500760.49000001</v>
      </c>
    </row>
    <row r="2777" spans="1:6" x14ac:dyDescent="0.3">
      <c r="A2777" t="s">
        <v>54</v>
      </c>
      <c r="B2777">
        <v>2021</v>
      </c>
      <c r="C2777" t="s">
        <v>14</v>
      </c>
      <c r="D2777" s="35">
        <v>23579380.379999999</v>
      </c>
      <c r="E2777" s="35">
        <v>811194</v>
      </c>
      <c r="F2777" s="35">
        <v>12587025.300000001</v>
      </c>
    </row>
    <row r="2778" spans="1:6" x14ac:dyDescent="0.3">
      <c r="A2778" t="s">
        <v>54</v>
      </c>
      <c r="B2778">
        <v>2021</v>
      </c>
      <c r="C2778" t="s">
        <v>7</v>
      </c>
      <c r="D2778" s="35">
        <v>50885550.939999998</v>
      </c>
      <c r="E2778" s="35">
        <v>22902</v>
      </c>
      <c r="F2778" s="35">
        <v>47116165.090000004</v>
      </c>
    </row>
    <row r="2779" spans="1:6" x14ac:dyDescent="0.3">
      <c r="A2779" t="s">
        <v>54</v>
      </c>
      <c r="B2779">
        <v>2021</v>
      </c>
      <c r="C2779" t="s">
        <v>11</v>
      </c>
      <c r="D2779" s="35">
        <v>33896785.990000002</v>
      </c>
      <c r="E2779" s="35">
        <v>79959</v>
      </c>
      <c r="F2779" s="35">
        <v>32460781.949999999</v>
      </c>
    </row>
    <row r="2780" spans="1:6" x14ac:dyDescent="0.3">
      <c r="A2780" t="s">
        <v>54</v>
      </c>
      <c r="B2780">
        <v>2021</v>
      </c>
      <c r="C2780" t="s">
        <v>3</v>
      </c>
      <c r="D2780" s="35">
        <v>213461243.36000001</v>
      </c>
      <c r="E2780" s="35">
        <v>421587</v>
      </c>
      <c r="F2780" s="35">
        <v>205171255.93000001</v>
      </c>
    </row>
    <row r="2781" spans="1:6" x14ac:dyDescent="0.3">
      <c r="A2781" t="s">
        <v>54</v>
      </c>
      <c r="B2781">
        <v>2021</v>
      </c>
      <c r="C2781" t="s">
        <v>12</v>
      </c>
      <c r="D2781" s="35">
        <v>41115007.550000012</v>
      </c>
      <c r="E2781" s="35">
        <v>849654</v>
      </c>
      <c r="F2781" s="35">
        <v>24642097.989999998</v>
      </c>
    </row>
    <row r="2782" spans="1:6" x14ac:dyDescent="0.3">
      <c r="A2782" t="s">
        <v>54</v>
      </c>
      <c r="B2782">
        <v>2021</v>
      </c>
      <c r="C2782" t="s">
        <v>2</v>
      </c>
      <c r="D2782" s="35">
        <v>329854410.0399999</v>
      </c>
      <c r="E2782" s="35">
        <v>3612506</v>
      </c>
      <c r="F2782" s="35">
        <v>266977255.93999991</v>
      </c>
    </row>
    <row r="2783" spans="1:6" x14ac:dyDescent="0.3">
      <c r="A2783" t="s">
        <v>54</v>
      </c>
      <c r="B2783">
        <v>2021</v>
      </c>
      <c r="C2783" t="s">
        <v>5</v>
      </c>
      <c r="D2783" s="35">
        <v>96744983.790000007</v>
      </c>
      <c r="E2783" s="35">
        <v>56776</v>
      </c>
      <c r="F2783" s="35">
        <v>93006444.169999972</v>
      </c>
    </row>
    <row r="2784" spans="1:6" x14ac:dyDescent="0.3">
      <c r="A2784" t="s">
        <v>54</v>
      </c>
      <c r="B2784">
        <v>2021</v>
      </c>
      <c r="C2784" t="s">
        <v>17</v>
      </c>
      <c r="D2784" s="35">
        <v>6318472.7200000007</v>
      </c>
      <c r="E2784" s="35">
        <v>269421</v>
      </c>
      <c r="F2784" s="35">
        <v>1789073.91</v>
      </c>
    </row>
    <row r="2785" spans="1:6" x14ac:dyDescent="0.3">
      <c r="A2785" t="s">
        <v>54</v>
      </c>
      <c r="B2785">
        <v>2021</v>
      </c>
      <c r="C2785" t="s">
        <v>9</v>
      </c>
      <c r="D2785" s="35">
        <v>53261530.849999987</v>
      </c>
      <c r="E2785" s="35">
        <v>1166055</v>
      </c>
      <c r="F2785" s="35">
        <v>36423534.399999999</v>
      </c>
    </row>
    <row r="2786" spans="1:6" x14ac:dyDescent="0.3">
      <c r="A2786" t="s">
        <v>54</v>
      </c>
      <c r="B2786">
        <v>2021</v>
      </c>
      <c r="C2786" t="s">
        <v>8</v>
      </c>
      <c r="D2786" s="35">
        <v>51115130.100000001</v>
      </c>
      <c r="E2786" s="35">
        <v>3844</v>
      </c>
      <c r="F2786" s="35">
        <v>50955230.990000002</v>
      </c>
    </row>
    <row r="2787" spans="1:6" x14ac:dyDescent="0.3">
      <c r="A2787" t="s">
        <v>54</v>
      </c>
      <c r="B2787">
        <v>2021</v>
      </c>
      <c r="C2787" t="s">
        <v>6</v>
      </c>
      <c r="D2787" s="35">
        <v>107285451.20999999</v>
      </c>
      <c r="E2787" s="35">
        <v>1320800</v>
      </c>
      <c r="F2787" s="35">
        <v>87956282.11999999</v>
      </c>
    </row>
    <row r="2788" spans="1:6" x14ac:dyDescent="0.3">
      <c r="A2788" t="s">
        <v>54</v>
      </c>
      <c r="B2788">
        <v>2021</v>
      </c>
      <c r="C2788" t="s">
        <v>15</v>
      </c>
      <c r="D2788" s="35">
        <v>36524144.520000003</v>
      </c>
      <c r="E2788" s="35">
        <v>1133768</v>
      </c>
      <c r="F2788" s="35">
        <v>19622369.420000002</v>
      </c>
    </row>
    <row r="2789" spans="1:6" x14ac:dyDescent="0.3">
      <c r="A2789" t="s">
        <v>54</v>
      </c>
      <c r="B2789">
        <v>2021</v>
      </c>
      <c r="C2789" t="s">
        <v>18</v>
      </c>
      <c r="D2789" s="35">
        <v>4326169.22</v>
      </c>
      <c r="E2789" s="35">
        <v>52684</v>
      </c>
      <c r="F2789" s="35">
        <v>2772454.07</v>
      </c>
    </row>
    <row r="2790" spans="1:6" x14ac:dyDescent="0.3">
      <c r="A2790" t="s">
        <v>54</v>
      </c>
      <c r="B2790">
        <v>2022</v>
      </c>
      <c r="C2790" t="s">
        <v>10</v>
      </c>
      <c r="D2790" s="35">
        <v>52933967.659999996</v>
      </c>
      <c r="E2790" s="35">
        <v>1541197</v>
      </c>
      <c r="F2790" s="35">
        <v>32003691.300000001</v>
      </c>
    </row>
    <row r="2791" spans="1:6" x14ac:dyDescent="0.3">
      <c r="A2791" t="s">
        <v>54</v>
      </c>
      <c r="B2791">
        <v>2022</v>
      </c>
      <c r="C2791" t="s">
        <v>4</v>
      </c>
      <c r="D2791" s="35">
        <v>180897664.16999999</v>
      </c>
      <c r="E2791" s="35">
        <v>505354</v>
      </c>
      <c r="F2791" s="35">
        <v>177610668.90000001</v>
      </c>
    </row>
    <row r="2792" spans="1:6" x14ac:dyDescent="0.3">
      <c r="A2792" t="s">
        <v>54</v>
      </c>
      <c r="B2792">
        <v>2022</v>
      </c>
      <c r="C2792" t="s">
        <v>13</v>
      </c>
      <c r="D2792" s="35">
        <v>54290233.320000008</v>
      </c>
      <c r="E2792" s="35">
        <v>478859</v>
      </c>
      <c r="F2792" s="35">
        <v>36880109.469999999</v>
      </c>
    </row>
    <row r="2793" spans="1:6" x14ac:dyDescent="0.3">
      <c r="A2793" t="s">
        <v>54</v>
      </c>
      <c r="B2793">
        <v>2022</v>
      </c>
      <c r="C2793" t="s">
        <v>16</v>
      </c>
      <c r="D2793" s="35">
        <v>19266100.34</v>
      </c>
      <c r="E2793" s="35">
        <v>56243</v>
      </c>
      <c r="F2793" s="35">
        <v>17392019.550000001</v>
      </c>
    </row>
    <row r="2794" spans="1:6" x14ac:dyDescent="0.3">
      <c r="A2794" t="s">
        <v>54</v>
      </c>
      <c r="B2794">
        <v>2022</v>
      </c>
      <c r="C2794" t="s">
        <v>14</v>
      </c>
      <c r="D2794" s="35">
        <v>24887355.140000012</v>
      </c>
      <c r="E2794" s="35">
        <v>778928</v>
      </c>
      <c r="F2794" s="35">
        <v>13618229.27</v>
      </c>
    </row>
    <row r="2795" spans="1:6" x14ac:dyDescent="0.3">
      <c r="A2795" t="s">
        <v>54</v>
      </c>
      <c r="B2795">
        <v>2022</v>
      </c>
      <c r="C2795" t="s">
        <v>7</v>
      </c>
      <c r="D2795" s="35">
        <v>53313579.579999991</v>
      </c>
      <c r="E2795" s="35">
        <v>25151</v>
      </c>
      <c r="F2795" s="35">
        <v>51067467.439999998</v>
      </c>
    </row>
    <row r="2796" spans="1:6" x14ac:dyDescent="0.3">
      <c r="A2796" t="s">
        <v>54</v>
      </c>
      <c r="B2796">
        <v>2022</v>
      </c>
      <c r="C2796" t="s">
        <v>11</v>
      </c>
      <c r="D2796" s="35">
        <v>33728445.850000001</v>
      </c>
      <c r="E2796" s="35">
        <v>84114</v>
      </c>
      <c r="F2796" s="35">
        <v>31600776.719999999</v>
      </c>
    </row>
    <row r="2797" spans="1:6" x14ac:dyDescent="0.3">
      <c r="A2797" t="s">
        <v>54</v>
      </c>
      <c r="B2797">
        <v>2022</v>
      </c>
      <c r="C2797" t="s">
        <v>3</v>
      </c>
      <c r="D2797" s="35">
        <v>266110645.40000001</v>
      </c>
      <c r="E2797" s="35">
        <v>448289</v>
      </c>
      <c r="F2797" s="35">
        <v>258893123.80000001</v>
      </c>
    </row>
    <row r="2798" spans="1:6" x14ac:dyDescent="0.3">
      <c r="A2798" t="s">
        <v>54</v>
      </c>
      <c r="B2798">
        <v>2022</v>
      </c>
      <c r="C2798" t="s">
        <v>12</v>
      </c>
      <c r="D2798" s="35">
        <v>47650749.840000004</v>
      </c>
      <c r="E2798" s="35">
        <v>982433</v>
      </c>
      <c r="F2798" s="35">
        <v>27106053.43</v>
      </c>
    </row>
    <row r="2799" spans="1:6" x14ac:dyDescent="0.3">
      <c r="A2799" t="s">
        <v>54</v>
      </c>
      <c r="B2799">
        <v>2022</v>
      </c>
      <c r="C2799" t="s">
        <v>2</v>
      </c>
      <c r="D2799" s="35">
        <v>363776656.27999997</v>
      </c>
      <c r="E2799" s="35">
        <v>3661665</v>
      </c>
      <c r="F2799" s="35">
        <v>295201241.77999991</v>
      </c>
    </row>
    <row r="2800" spans="1:6" x14ac:dyDescent="0.3">
      <c r="A2800" t="s">
        <v>54</v>
      </c>
      <c r="B2800">
        <v>2022</v>
      </c>
      <c r="C2800" t="s">
        <v>5</v>
      </c>
      <c r="D2800" s="35">
        <v>82501411.289999992</v>
      </c>
      <c r="E2800" s="35">
        <v>54288</v>
      </c>
      <c r="F2800" s="35">
        <v>77607057.489999995</v>
      </c>
    </row>
    <row r="2801" spans="1:6" x14ac:dyDescent="0.3">
      <c r="A2801" t="s">
        <v>54</v>
      </c>
      <c r="B2801">
        <v>2022</v>
      </c>
      <c r="C2801" t="s">
        <v>17</v>
      </c>
      <c r="D2801" s="35">
        <v>5866485.6699999999</v>
      </c>
      <c r="E2801" s="35">
        <v>234227</v>
      </c>
      <c r="F2801" s="35">
        <v>1631137.8800000011</v>
      </c>
    </row>
    <row r="2802" spans="1:6" x14ac:dyDescent="0.3">
      <c r="A2802" t="s">
        <v>54</v>
      </c>
      <c r="B2802">
        <v>2022</v>
      </c>
      <c r="C2802" t="s">
        <v>9</v>
      </c>
      <c r="D2802" s="35">
        <v>57683592.059999987</v>
      </c>
      <c r="E2802" s="35">
        <v>1173875</v>
      </c>
      <c r="F2802" s="35">
        <v>36570973.899999999</v>
      </c>
    </row>
    <row r="2803" spans="1:6" x14ac:dyDescent="0.3">
      <c r="A2803" t="s">
        <v>54</v>
      </c>
      <c r="B2803">
        <v>2022</v>
      </c>
      <c r="C2803" t="s">
        <v>8</v>
      </c>
      <c r="D2803" s="35">
        <v>61132479.57</v>
      </c>
      <c r="E2803" s="35">
        <v>3989</v>
      </c>
      <c r="F2803" s="35">
        <v>61132479.57</v>
      </c>
    </row>
    <row r="2804" spans="1:6" x14ac:dyDescent="0.3">
      <c r="A2804" t="s">
        <v>54</v>
      </c>
      <c r="B2804">
        <v>2022</v>
      </c>
      <c r="C2804" t="s">
        <v>6</v>
      </c>
      <c r="D2804" s="35">
        <v>112139054.81</v>
      </c>
      <c r="E2804" s="35">
        <v>1314374</v>
      </c>
      <c r="F2804" s="35">
        <v>94585971.120000005</v>
      </c>
    </row>
    <row r="2805" spans="1:6" x14ac:dyDescent="0.3">
      <c r="A2805" t="s">
        <v>54</v>
      </c>
      <c r="B2805">
        <v>2022</v>
      </c>
      <c r="C2805" t="s">
        <v>15</v>
      </c>
      <c r="D2805" s="35">
        <v>31177580.07</v>
      </c>
      <c r="E2805" s="35">
        <v>947718</v>
      </c>
      <c r="F2805" s="35">
        <v>15107142.029999999</v>
      </c>
    </row>
    <row r="2806" spans="1:6" x14ac:dyDescent="0.3">
      <c r="A2806" t="s">
        <v>54</v>
      </c>
      <c r="B2806">
        <v>2022</v>
      </c>
      <c r="C2806" t="s">
        <v>18</v>
      </c>
      <c r="D2806" s="35">
        <v>4205184.08</v>
      </c>
      <c r="E2806" s="35">
        <v>49813</v>
      </c>
      <c r="F2806" s="35">
        <v>2701342.98</v>
      </c>
    </row>
    <row r="2807" spans="1:6" x14ac:dyDescent="0.3">
      <c r="A2807" t="s">
        <v>54</v>
      </c>
      <c r="B2807">
        <v>2023</v>
      </c>
      <c r="C2807" t="s">
        <v>10</v>
      </c>
      <c r="D2807" s="35">
        <v>63739013.430000007</v>
      </c>
      <c r="E2807" s="35">
        <v>1510504</v>
      </c>
      <c r="F2807" s="35">
        <v>42006175.130000003</v>
      </c>
    </row>
    <row r="2808" spans="1:6" x14ac:dyDescent="0.3">
      <c r="A2808" t="s">
        <v>54</v>
      </c>
      <c r="B2808">
        <v>2023</v>
      </c>
      <c r="C2808" t="s">
        <v>4</v>
      </c>
      <c r="D2808" s="35">
        <v>248657778.3199999</v>
      </c>
      <c r="E2808" s="35">
        <v>565656</v>
      </c>
      <c r="F2808" s="35">
        <v>245430269.46000001</v>
      </c>
    </row>
    <row r="2809" spans="1:6" x14ac:dyDescent="0.3">
      <c r="A2809" t="s">
        <v>54</v>
      </c>
      <c r="B2809">
        <v>2023</v>
      </c>
      <c r="C2809" t="s">
        <v>13</v>
      </c>
      <c r="D2809" s="35">
        <v>55500013.630000003</v>
      </c>
      <c r="E2809" s="35">
        <v>479379</v>
      </c>
      <c r="F2809" s="35">
        <v>38127906.32</v>
      </c>
    </row>
    <row r="2810" spans="1:6" x14ac:dyDescent="0.3">
      <c r="A2810" t="s">
        <v>54</v>
      </c>
      <c r="B2810">
        <v>2023</v>
      </c>
      <c r="C2810" t="s">
        <v>16</v>
      </c>
      <c r="D2810" s="35">
        <v>20969748.850000009</v>
      </c>
      <c r="E2810" s="35">
        <v>60754</v>
      </c>
      <c r="F2810" s="35">
        <v>18654571.620000001</v>
      </c>
    </row>
    <row r="2811" spans="1:6" x14ac:dyDescent="0.3">
      <c r="A2811" t="s">
        <v>54</v>
      </c>
      <c r="B2811">
        <v>2023</v>
      </c>
      <c r="C2811" t="s">
        <v>14</v>
      </c>
      <c r="D2811" s="35">
        <v>28461000.890000001</v>
      </c>
      <c r="E2811" s="35">
        <v>827827</v>
      </c>
      <c r="F2811" s="35">
        <v>16354587.74</v>
      </c>
    </row>
    <row r="2812" spans="1:6" x14ac:dyDescent="0.3">
      <c r="A2812" t="s">
        <v>54</v>
      </c>
      <c r="B2812">
        <v>2023</v>
      </c>
      <c r="C2812" t="s">
        <v>7</v>
      </c>
      <c r="D2812" s="35">
        <v>58335382.729999997</v>
      </c>
      <c r="E2812" s="35">
        <v>26235</v>
      </c>
      <c r="F2812" s="35">
        <v>55771234.68</v>
      </c>
    </row>
    <row r="2813" spans="1:6" x14ac:dyDescent="0.3">
      <c r="A2813" t="s">
        <v>54</v>
      </c>
      <c r="B2813">
        <v>2023</v>
      </c>
      <c r="C2813" t="s">
        <v>11</v>
      </c>
      <c r="D2813" s="35">
        <v>41900047.82</v>
      </c>
      <c r="E2813" s="35">
        <v>88532</v>
      </c>
      <c r="F2813" s="35">
        <v>39989658.899999991</v>
      </c>
    </row>
    <row r="2814" spans="1:6" x14ac:dyDescent="0.3">
      <c r="A2814" t="s">
        <v>54</v>
      </c>
      <c r="B2814">
        <v>2023</v>
      </c>
      <c r="C2814" t="s">
        <v>3</v>
      </c>
      <c r="D2814" s="35">
        <v>314632752.82999998</v>
      </c>
      <c r="E2814" s="35">
        <v>475194</v>
      </c>
      <c r="F2814" s="35">
        <v>306617977.01999998</v>
      </c>
    </row>
    <row r="2815" spans="1:6" x14ac:dyDescent="0.3">
      <c r="A2815" t="s">
        <v>54</v>
      </c>
      <c r="B2815">
        <v>2023</v>
      </c>
      <c r="C2815" t="s">
        <v>12</v>
      </c>
      <c r="D2815" s="35">
        <v>48960708.619999997</v>
      </c>
      <c r="E2815" s="35">
        <v>1071735</v>
      </c>
      <c r="F2815" s="35">
        <v>27684480.50999999</v>
      </c>
    </row>
    <row r="2816" spans="1:6" x14ac:dyDescent="0.3">
      <c r="A2816" t="s">
        <v>54</v>
      </c>
      <c r="B2816">
        <v>2023</v>
      </c>
      <c r="C2816" t="s">
        <v>2</v>
      </c>
      <c r="D2816" s="35">
        <v>359505526.87</v>
      </c>
      <c r="E2816" s="35">
        <v>3711064</v>
      </c>
      <c r="F2816" s="35">
        <v>282469097.94</v>
      </c>
    </row>
    <row r="2817" spans="1:6" x14ac:dyDescent="0.3">
      <c r="A2817" t="s">
        <v>54</v>
      </c>
      <c r="B2817">
        <v>2023</v>
      </c>
      <c r="C2817" t="s">
        <v>5</v>
      </c>
      <c r="D2817" s="35">
        <v>93481032.469999999</v>
      </c>
      <c r="E2817" s="35">
        <v>55503</v>
      </c>
      <c r="F2817" s="35">
        <v>88931437.489999995</v>
      </c>
    </row>
    <row r="2818" spans="1:6" x14ac:dyDescent="0.3">
      <c r="A2818" t="s">
        <v>54</v>
      </c>
      <c r="B2818">
        <v>2023</v>
      </c>
      <c r="C2818" t="s">
        <v>17</v>
      </c>
      <c r="D2818" s="35">
        <v>5839036.4300000006</v>
      </c>
      <c r="E2818" s="35">
        <v>222003</v>
      </c>
      <c r="F2818" s="35">
        <v>1797052.77</v>
      </c>
    </row>
    <row r="2819" spans="1:6" x14ac:dyDescent="0.3">
      <c r="A2819" t="s">
        <v>54</v>
      </c>
      <c r="B2819">
        <v>2023</v>
      </c>
      <c r="C2819" t="s">
        <v>9</v>
      </c>
      <c r="D2819" s="35">
        <v>63554673.739999987</v>
      </c>
      <c r="E2819" s="35">
        <v>1201266</v>
      </c>
      <c r="F2819" s="35">
        <v>40805668.049999997</v>
      </c>
    </row>
    <row r="2820" spans="1:6" x14ac:dyDescent="0.3">
      <c r="A2820" t="s">
        <v>54</v>
      </c>
      <c r="B2820">
        <v>2023</v>
      </c>
      <c r="C2820" t="s">
        <v>8</v>
      </c>
      <c r="D2820" s="35">
        <v>60002621.549999997</v>
      </c>
      <c r="E2820" s="35">
        <v>3917</v>
      </c>
      <c r="F2820" s="35">
        <v>60002621.549999997</v>
      </c>
    </row>
    <row r="2821" spans="1:6" x14ac:dyDescent="0.3">
      <c r="A2821" t="s">
        <v>54</v>
      </c>
      <c r="B2821">
        <v>2023</v>
      </c>
      <c r="C2821" t="s">
        <v>6</v>
      </c>
      <c r="D2821" s="35">
        <v>115477031.44</v>
      </c>
      <c r="E2821" s="35">
        <v>1337785</v>
      </c>
      <c r="F2821" s="35">
        <v>97832354.229999974</v>
      </c>
    </row>
    <row r="2822" spans="1:6" x14ac:dyDescent="0.3">
      <c r="A2822" t="s">
        <v>54</v>
      </c>
      <c r="B2822">
        <v>2023</v>
      </c>
      <c r="C2822" t="s">
        <v>15</v>
      </c>
      <c r="D2822" s="35">
        <v>34147877.170000002</v>
      </c>
      <c r="E2822" s="35">
        <v>908743</v>
      </c>
      <c r="F2822" s="35">
        <v>19678998.460000001</v>
      </c>
    </row>
    <row r="2823" spans="1:6" x14ac:dyDescent="0.3">
      <c r="A2823" t="s">
        <v>54</v>
      </c>
      <c r="B2823">
        <v>2023</v>
      </c>
      <c r="C2823" t="s">
        <v>18</v>
      </c>
      <c r="D2823" s="35">
        <v>4827197.580000001</v>
      </c>
      <c r="E2823" s="35">
        <v>42349</v>
      </c>
      <c r="F2823" s="35">
        <v>3370970.29</v>
      </c>
    </row>
    <row r="2824" spans="1:6" x14ac:dyDescent="0.3">
      <c r="A2824" t="s">
        <v>54</v>
      </c>
      <c r="B2824">
        <v>2024</v>
      </c>
      <c r="C2824" t="s">
        <v>10</v>
      </c>
      <c r="D2824" s="35">
        <v>61822741.119999997</v>
      </c>
      <c r="E2824" s="35">
        <v>1297874</v>
      </c>
      <c r="F2824" s="35">
        <v>42279601.239999987</v>
      </c>
    </row>
    <row r="2825" spans="1:6" x14ac:dyDescent="0.3">
      <c r="A2825" t="s">
        <v>54</v>
      </c>
      <c r="B2825">
        <v>2024</v>
      </c>
      <c r="C2825" t="s">
        <v>4</v>
      </c>
      <c r="D2825" s="35">
        <v>253836695.00999999</v>
      </c>
      <c r="E2825" s="35">
        <v>555922</v>
      </c>
      <c r="F2825" s="35">
        <v>250883355.83000001</v>
      </c>
    </row>
    <row r="2826" spans="1:6" x14ac:dyDescent="0.3">
      <c r="A2826" t="s">
        <v>54</v>
      </c>
      <c r="B2826">
        <v>2024</v>
      </c>
      <c r="C2826" t="s">
        <v>13</v>
      </c>
      <c r="D2826" s="35">
        <v>45062057.050000012</v>
      </c>
      <c r="E2826" s="35">
        <v>376368</v>
      </c>
      <c r="F2826" s="35">
        <v>32785655</v>
      </c>
    </row>
    <row r="2827" spans="1:6" x14ac:dyDescent="0.3">
      <c r="A2827" t="s">
        <v>54</v>
      </c>
      <c r="B2827">
        <v>2024</v>
      </c>
      <c r="C2827" t="s">
        <v>16</v>
      </c>
      <c r="D2827" s="35">
        <v>12415834.779999999</v>
      </c>
      <c r="E2827" s="35">
        <v>51181</v>
      </c>
      <c r="F2827" s="35">
        <v>10441280.26</v>
      </c>
    </row>
    <row r="2828" spans="1:6" x14ac:dyDescent="0.3">
      <c r="A2828" t="s">
        <v>54</v>
      </c>
      <c r="B2828">
        <v>2024</v>
      </c>
      <c r="C2828" t="s">
        <v>14</v>
      </c>
      <c r="D2828" s="35">
        <v>25317061.609999999</v>
      </c>
      <c r="E2828" s="35">
        <v>810094</v>
      </c>
      <c r="F2828" s="35">
        <v>13801815.859999999</v>
      </c>
    </row>
    <row r="2829" spans="1:6" x14ac:dyDescent="0.3">
      <c r="A2829" t="s">
        <v>54</v>
      </c>
      <c r="B2829">
        <v>2024</v>
      </c>
      <c r="C2829" t="s">
        <v>7</v>
      </c>
      <c r="D2829" s="35">
        <v>46377149.49000001</v>
      </c>
      <c r="E2829" s="35">
        <v>20208</v>
      </c>
      <c r="F2829" s="35">
        <v>45144005.63000001</v>
      </c>
    </row>
    <row r="2830" spans="1:6" x14ac:dyDescent="0.3">
      <c r="A2830" t="s">
        <v>54</v>
      </c>
      <c r="B2830">
        <v>2024</v>
      </c>
      <c r="C2830" t="s">
        <v>11</v>
      </c>
      <c r="D2830" s="35">
        <v>26979941.63000001</v>
      </c>
      <c r="E2830" s="35">
        <v>108756</v>
      </c>
      <c r="F2830" s="35">
        <v>25380860.95999999</v>
      </c>
    </row>
    <row r="2831" spans="1:6" x14ac:dyDescent="0.3">
      <c r="A2831" t="s">
        <v>54</v>
      </c>
      <c r="B2831">
        <v>2024</v>
      </c>
      <c r="C2831" t="s">
        <v>3</v>
      </c>
      <c r="D2831" s="35">
        <v>258054879.78</v>
      </c>
      <c r="E2831" s="35">
        <v>406055</v>
      </c>
      <c r="F2831" s="35">
        <v>252598077.31</v>
      </c>
    </row>
    <row r="2832" spans="1:6" x14ac:dyDescent="0.3">
      <c r="A2832" t="s">
        <v>54</v>
      </c>
      <c r="B2832">
        <v>2024</v>
      </c>
      <c r="C2832" t="s">
        <v>12</v>
      </c>
      <c r="D2832" s="35">
        <v>38033362.049999997</v>
      </c>
      <c r="E2832" s="35">
        <v>949983</v>
      </c>
      <c r="F2832" s="35">
        <v>21084411.309999999</v>
      </c>
    </row>
    <row r="2833" spans="1:6" x14ac:dyDescent="0.3">
      <c r="A2833" t="s">
        <v>54</v>
      </c>
      <c r="B2833">
        <v>2024</v>
      </c>
      <c r="C2833" t="s">
        <v>2</v>
      </c>
      <c r="D2833" s="35">
        <v>278431893.36999989</v>
      </c>
      <c r="E2833" s="35">
        <v>3231422</v>
      </c>
      <c r="F2833" s="35">
        <v>204255554.09999999</v>
      </c>
    </row>
    <row r="2834" spans="1:6" x14ac:dyDescent="0.3">
      <c r="A2834" t="s">
        <v>54</v>
      </c>
      <c r="B2834">
        <v>2024</v>
      </c>
      <c r="C2834" t="s">
        <v>5</v>
      </c>
      <c r="D2834" s="35">
        <v>73020810.600000009</v>
      </c>
      <c r="E2834" s="35">
        <v>42803</v>
      </c>
      <c r="F2834" s="35">
        <v>70203956.569999993</v>
      </c>
    </row>
    <row r="2835" spans="1:6" x14ac:dyDescent="0.3">
      <c r="A2835" t="s">
        <v>54</v>
      </c>
      <c r="B2835">
        <v>2024</v>
      </c>
      <c r="C2835" t="s">
        <v>17</v>
      </c>
      <c r="D2835" s="35">
        <v>4954969.379999999</v>
      </c>
      <c r="E2835" s="35">
        <v>218629</v>
      </c>
      <c r="F2835" s="35">
        <v>1847309.330000001</v>
      </c>
    </row>
    <row r="2836" spans="1:6" x14ac:dyDescent="0.3">
      <c r="A2836" t="s">
        <v>54</v>
      </c>
      <c r="B2836">
        <v>2024</v>
      </c>
      <c r="C2836" t="s">
        <v>9</v>
      </c>
      <c r="D2836" s="35">
        <v>58056009.200000003</v>
      </c>
      <c r="E2836" s="35">
        <v>1113302</v>
      </c>
      <c r="F2836" s="35">
        <v>38085236.75</v>
      </c>
    </row>
    <row r="2837" spans="1:6" x14ac:dyDescent="0.3">
      <c r="A2837" t="s">
        <v>54</v>
      </c>
      <c r="B2837">
        <v>2024</v>
      </c>
      <c r="C2837" t="s">
        <v>8</v>
      </c>
      <c r="D2837" s="35">
        <v>45554030.260000013</v>
      </c>
      <c r="E2837" s="35">
        <v>2427</v>
      </c>
      <c r="F2837" s="35">
        <v>45554030.260000013</v>
      </c>
    </row>
    <row r="2838" spans="1:6" x14ac:dyDescent="0.3">
      <c r="A2838" t="s">
        <v>54</v>
      </c>
      <c r="B2838">
        <v>2024</v>
      </c>
      <c r="C2838" t="s">
        <v>6</v>
      </c>
      <c r="D2838" s="35">
        <v>94254069.789999977</v>
      </c>
      <c r="E2838" s="35">
        <v>1264020</v>
      </c>
      <c r="F2838" s="35">
        <v>77952885.350000024</v>
      </c>
    </row>
    <row r="2839" spans="1:6" x14ac:dyDescent="0.3">
      <c r="A2839" t="s">
        <v>54</v>
      </c>
      <c r="B2839">
        <v>2024</v>
      </c>
      <c r="C2839" t="s">
        <v>15</v>
      </c>
      <c r="D2839" s="35">
        <v>19509645.940000001</v>
      </c>
      <c r="E2839" s="35">
        <v>666339</v>
      </c>
      <c r="F2839" s="35">
        <v>9627293.7500000019</v>
      </c>
    </row>
    <row r="2840" spans="1:6" x14ac:dyDescent="0.3">
      <c r="A2840" t="s">
        <v>54</v>
      </c>
      <c r="B2840">
        <v>2024</v>
      </c>
      <c r="C2840" t="s">
        <v>18</v>
      </c>
      <c r="D2840" s="35">
        <v>5270427.4900000012</v>
      </c>
      <c r="E2840" s="35">
        <v>41218</v>
      </c>
      <c r="F2840" s="35">
        <v>3437325.73</v>
      </c>
    </row>
    <row r="2841" spans="1:6" x14ac:dyDescent="0.3">
      <c r="A2841" t="s">
        <v>54</v>
      </c>
      <c r="B2841">
        <v>2025</v>
      </c>
      <c r="C2841" t="s">
        <v>10</v>
      </c>
      <c r="D2841" s="35">
        <v>77122713.590000018</v>
      </c>
      <c r="E2841" s="35">
        <v>1391155</v>
      </c>
      <c r="F2841" s="35">
        <v>54065779.400000013</v>
      </c>
    </row>
    <row r="2842" spans="1:6" x14ac:dyDescent="0.3">
      <c r="A2842" t="s">
        <v>54</v>
      </c>
      <c r="B2842">
        <v>2025</v>
      </c>
      <c r="C2842" t="s">
        <v>4</v>
      </c>
      <c r="D2842" s="35">
        <v>337867776.64999992</v>
      </c>
      <c r="E2842" s="35">
        <v>636743</v>
      </c>
      <c r="F2842" s="35">
        <v>333582299.95999998</v>
      </c>
    </row>
    <row r="2843" spans="1:6" x14ac:dyDescent="0.3">
      <c r="A2843" t="s">
        <v>54</v>
      </c>
      <c r="B2843">
        <v>2025</v>
      </c>
      <c r="C2843" t="s">
        <v>13</v>
      </c>
      <c r="D2843" s="35">
        <v>49795170.049999997</v>
      </c>
      <c r="E2843" s="35">
        <v>405362</v>
      </c>
      <c r="F2843" s="35">
        <v>38800087.889999993</v>
      </c>
    </row>
    <row r="2844" spans="1:6" x14ac:dyDescent="0.3">
      <c r="A2844" t="s">
        <v>54</v>
      </c>
      <c r="B2844">
        <v>2025</v>
      </c>
      <c r="C2844" t="s">
        <v>16</v>
      </c>
      <c r="D2844" s="35">
        <v>21394204.23</v>
      </c>
      <c r="E2844" s="35">
        <v>61269</v>
      </c>
      <c r="F2844" s="35">
        <v>19294486.02</v>
      </c>
    </row>
    <row r="2845" spans="1:6" x14ac:dyDescent="0.3">
      <c r="A2845" t="s">
        <v>54</v>
      </c>
      <c r="B2845">
        <v>2025</v>
      </c>
      <c r="C2845" t="s">
        <v>14</v>
      </c>
      <c r="D2845" s="35">
        <v>28437531.039999999</v>
      </c>
      <c r="E2845" s="35">
        <v>893835</v>
      </c>
      <c r="F2845" s="35">
        <v>14837824.09</v>
      </c>
    </row>
    <row r="2846" spans="1:6" x14ac:dyDescent="0.3">
      <c r="A2846" t="s">
        <v>54</v>
      </c>
      <c r="B2846">
        <v>2025</v>
      </c>
      <c r="C2846" t="s">
        <v>7</v>
      </c>
      <c r="D2846" s="35">
        <v>34853690.890000001</v>
      </c>
      <c r="E2846" s="35">
        <v>17033</v>
      </c>
      <c r="F2846" s="35">
        <v>33700673.909999996</v>
      </c>
    </row>
    <row r="2847" spans="1:6" x14ac:dyDescent="0.3">
      <c r="A2847" t="s">
        <v>54</v>
      </c>
      <c r="B2847">
        <v>2025</v>
      </c>
      <c r="C2847" t="s">
        <v>11</v>
      </c>
      <c r="D2847" s="35">
        <v>31497399.870000001</v>
      </c>
      <c r="E2847" s="35">
        <v>183056</v>
      </c>
      <c r="F2847" s="35">
        <v>29307326.920000002</v>
      </c>
    </row>
    <row r="2848" spans="1:6" x14ac:dyDescent="0.3">
      <c r="A2848" t="s">
        <v>54</v>
      </c>
      <c r="B2848">
        <v>2025</v>
      </c>
      <c r="C2848" t="s">
        <v>3</v>
      </c>
      <c r="D2848" s="35">
        <v>304739774.60000002</v>
      </c>
      <c r="E2848" s="35">
        <v>459896</v>
      </c>
      <c r="F2848" s="35">
        <v>299002058.94999999</v>
      </c>
    </row>
    <row r="2849" spans="1:6" x14ac:dyDescent="0.3">
      <c r="A2849" t="s">
        <v>54</v>
      </c>
      <c r="B2849">
        <v>2025</v>
      </c>
      <c r="C2849" t="s">
        <v>12</v>
      </c>
      <c r="D2849" s="35">
        <v>40046583.32</v>
      </c>
      <c r="E2849" s="35">
        <v>979785</v>
      </c>
      <c r="F2849" s="35">
        <v>21941087.969999999</v>
      </c>
    </row>
    <row r="2850" spans="1:6" x14ac:dyDescent="0.3">
      <c r="A2850" t="s">
        <v>54</v>
      </c>
      <c r="B2850">
        <v>2025</v>
      </c>
      <c r="C2850" t="s">
        <v>2</v>
      </c>
      <c r="D2850" s="35">
        <v>324106361.66000009</v>
      </c>
      <c r="E2850" s="35">
        <v>3493694</v>
      </c>
      <c r="F2850" s="35">
        <v>235037560.46000001</v>
      </c>
    </row>
    <row r="2851" spans="1:6" x14ac:dyDescent="0.3">
      <c r="A2851" t="s">
        <v>54</v>
      </c>
      <c r="B2851">
        <v>2025</v>
      </c>
      <c r="C2851" t="s">
        <v>5</v>
      </c>
      <c r="D2851" s="35">
        <v>75185534.320000008</v>
      </c>
      <c r="E2851" s="35">
        <v>43645</v>
      </c>
      <c r="F2851" s="35">
        <v>71331059.420000002</v>
      </c>
    </row>
    <row r="2852" spans="1:6" x14ac:dyDescent="0.3">
      <c r="A2852" t="s">
        <v>54</v>
      </c>
      <c r="B2852">
        <v>2025</v>
      </c>
      <c r="C2852" t="s">
        <v>17</v>
      </c>
      <c r="D2852" s="35">
        <v>5883934.4200000027</v>
      </c>
      <c r="E2852" s="35">
        <v>292368</v>
      </c>
      <c r="F2852" s="35">
        <v>2604666.6300000008</v>
      </c>
    </row>
    <row r="2853" spans="1:6" x14ac:dyDescent="0.3">
      <c r="A2853" t="s">
        <v>54</v>
      </c>
      <c r="B2853">
        <v>2025</v>
      </c>
      <c r="C2853" t="s">
        <v>9</v>
      </c>
      <c r="D2853" s="35">
        <v>62136605.520000033</v>
      </c>
      <c r="E2853" s="35">
        <v>1253359</v>
      </c>
      <c r="F2853" s="35">
        <v>39528034.810000002</v>
      </c>
    </row>
    <row r="2854" spans="1:6" x14ac:dyDescent="0.3">
      <c r="A2854" t="s">
        <v>54</v>
      </c>
      <c r="B2854">
        <v>2025</v>
      </c>
      <c r="C2854" t="s">
        <v>8</v>
      </c>
      <c r="D2854" s="35">
        <v>65798451.019999981</v>
      </c>
      <c r="E2854" s="35">
        <v>3128</v>
      </c>
      <c r="F2854" s="35">
        <v>65703191.019999981</v>
      </c>
    </row>
    <row r="2855" spans="1:6" x14ac:dyDescent="0.3">
      <c r="A2855" t="s">
        <v>54</v>
      </c>
      <c r="B2855">
        <v>2025</v>
      </c>
      <c r="C2855" t="s">
        <v>6</v>
      </c>
      <c r="D2855" s="35">
        <v>97456343.589999959</v>
      </c>
      <c r="E2855" s="35">
        <v>1311381</v>
      </c>
      <c r="F2855" s="35">
        <v>80257106.329999983</v>
      </c>
    </row>
    <row r="2856" spans="1:6" x14ac:dyDescent="0.3">
      <c r="A2856" t="s">
        <v>54</v>
      </c>
      <c r="B2856">
        <v>2025</v>
      </c>
      <c r="C2856" t="s">
        <v>15</v>
      </c>
      <c r="D2856" s="35">
        <v>21517831.32</v>
      </c>
      <c r="E2856" s="35">
        <v>465456</v>
      </c>
      <c r="F2856" s="35">
        <v>11535875.949999999</v>
      </c>
    </row>
    <row r="2857" spans="1:6" x14ac:dyDescent="0.3">
      <c r="A2857" t="s">
        <v>54</v>
      </c>
      <c r="B2857">
        <v>2025</v>
      </c>
      <c r="C2857" t="s">
        <v>18</v>
      </c>
      <c r="D2857" s="35">
        <v>6116783.5300000003</v>
      </c>
      <c r="E2857" s="35">
        <v>53673</v>
      </c>
      <c r="F2857" s="35">
        <v>3386710.14</v>
      </c>
    </row>
    <row r="2858" spans="1:6" x14ac:dyDescent="0.3">
      <c r="A2858" t="s">
        <v>55</v>
      </c>
      <c r="B2858">
        <v>2019</v>
      </c>
      <c r="C2858" t="s">
        <v>10</v>
      </c>
      <c r="D2858" s="35">
        <v>63675158.040000007</v>
      </c>
      <c r="E2858" s="35">
        <v>1607846</v>
      </c>
      <c r="F2858" s="35">
        <v>29073222.579999998</v>
      </c>
    </row>
    <row r="2859" spans="1:6" x14ac:dyDescent="0.3">
      <c r="A2859" t="s">
        <v>55</v>
      </c>
      <c r="B2859">
        <v>2019</v>
      </c>
      <c r="C2859" t="s">
        <v>4</v>
      </c>
      <c r="D2859" s="35">
        <v>114399367.43000001</v>
      </c>
      <c r="E2859" s="35">
        <v>379137</v>
      </c>
      <c r="F2859" s="35">
        <v>109085118.40000001</v>
      </c>
    </row>
    <row r="2860" spans="1:6" x14ac:dyDescent="0.3">
      <c r="A2860" t="s">
        <v>55</v>
      </c>
      <c r="B2860">
        <v>2019</v>
      </c>
      <c r="C2860" t="s">
        <v>13</v>
      </c>
      <c r="D2860" s="35">
        <v>56444727.109999992</v>
      </c>
      <c r="E2860" s="35">
        <v>527959</v>
      </c>
      <c r="F2860" s="35">
        <v>44158962.359999999</v>
      </c>
    </row>
    <row r="2861" spans="1:6" x14ac:dyDescent="0.3">
      <c r="A2861" t="s">
        <v>55</v>
      </c>
      <c r="B2861">
        <v>2019</v>
      </c>
      <c r="C2861" t="s">
        <v>16</v>
      </c>
      <c r="D2861" s="35">
        <v>12320680.970000001</v>
      </c>
      <c r="E2861" s="35">
        <v>37338</v>
      </c>
      <c r="F2861" s="35">
        <v>11501363.17</v>
      </c>
    </row>
    <row r="2862" spans="1:6" x14ac:dyDescent="0.3">
      <c r="A2862" t="s">
        <v>55</v>
      </c>
      <c r="B2862">
        <v>2019</v>
      </c>
      <c r="C2862" t="s">
        <v>14</v>
      </c>
      <c r="D2862" s="35">
        <v>33875921.470000014</v>
      </c>
      <c r="E2862" s="35">
        <v>650222</v>
      </c>
      <c r="F2862" s="35">
        <v>20073647.27</v>
      </c>
    </row>
    <row r="2863" spans="1:6" x14ac:dyDescent="0.3">
      <c r="A2863" t="s">
        <v>55</v>
      </c>
      <c r="B2863">
        <v>2019</v>
      </c>
      <c r="C2863" t="s">
        <v>7</v>
      </c>
      <c r="D2863" s="35">
        <v>36169693.419999987</v>
      </c>
      <c r="E2863" s="35">
        <v>16341</v>
      </c>
      <c r="F2863" s="35">
        <v>36072364.190000013</v>
      </c>
    </row>
    <row r="2864" spans="1:6" x14ac:dyDescent="0.3">
      <c r="A2864" t="s">
        <v>55</v>
      </c>
      <c r="B2864">
        <v>2019</v>
      </c>
      <c r="C2864" t="s">
        <v>11</v>
      </c>
      <c r="D2864" s="35">
        <v>44616867.469999991</v>
      </c>
      <c r="E2864" s="35">
        <v>108586</v>
      </c>
      <c r="F2864" s="35">
        <v>43415644.929999992</v>
      </c>
    </row>
    <row r="2865" spans="1:6" x14ac:dyDescent="0.3">
      <c r="A2865" t="s">
        <v>55</v>
      </c>
      <c r="B2865">
        <v>2019</v>
      </c>
      <c r="C2865" t="s">
        <v>3</v>
      </c>
      <c r="D2865" s="35">
        <v>85416566.919999987</v>
      </c>
      <c r="E2865" s="35">
        <v>396806</v>
      </c>
      <c r="F2865" s="35">
        <v>77239006.51000002</v>
      </c>
    </row>
    <row r="2866" spans="1:6" x14ac:dyDescent="0.3">
      <c r="A2866" t="s">
        <v>55</v>
      </c>
      <c r="B2866">
        <v>2019</v>
      </c>
      <c r="C2866" t="s">
        <v>12</v>
      </c>
      <c r="D2866" s="35">
        <v>97632655.489999965</v>
      </c>
      <c r="E2866" s="35">
        <v>992233</v>
      </c>
      <c r="F2866" s="35">
        <v>65988001.729999997</v>
      </c>
    </row>
    <row r="2867" spans="1:6" x14ac:dyDescent="0.3">
      <c r="A2867" t="s">
        <v>55</v>
      </c>
      <c r="B2867">
        <v>2019</v>
      </c>
      <c r="C2867" t="s">
        <v>2</v>
      </c>
      <c r="D2867" s="35">
        <v>368705942.27999991</v>
      </c>
      <c r="E2867" s="35">
        <v>3143314</v>
      </c>
      <c r="F2867" s="35">
        <v>275942183.89999998</v>
      </c>
    </row>
    <row r="2868" spans="1:6" x14ac:dyDescent="0.3">
      <c r="A2868" t="s">
        <v>55</v>
      </c>
      <c r="B2868">
        <v>2019</v>
      </c>
      <c r="C2868" t="s">
        <v>5</v>
      </c>
      <c r="D2868" s="35">
        <v>64182925.070000023</v>
      </c>
      <c r="E2868" s="35">
        <v>41121</v>
      </c>
      <c r="F2868" s="35">
        <v>60381505.989999987</v>
      </c>
    </row>
    <row r="2869" spans="1:6" x14ac:dyDescent="0.3">
      <c r="A2869" t="s">
        <v>55</v>
      </c>
      <c r="B2869">
        <v>2019</v>
      </c>
      <c r="C2869" t="s">
        <v>17</v>
      </c>
      <c r="D2869" s="35">
        <v>5975701.9899999984</v>
      </c>
      <c r="E2869" s="35">
        <v>236965</v>
      </c>
      <c r="F2869" s="35">
        <v>1194912.0900000001</v>
      </c>
    </row>
    <row r="2870" spans="1:6" x14ac:dyDescent="0.3">
      <c r="A2870" t="s">
        <v>55</v>
      </c>
      <c r="B2870">
        <v>2019</v>
      </c>
      <c r="C2870" t="s">
        <v>9</v>
      </c>
      <c r="D2870" s="35">
        <v>53765576.740000002</v>
      </c>
      <c r="E2870" s="35">
        <v>1007588</v>
      </c>
      <c r="F2870" s="35">
        <v>31726245.489999998</v>
      </c>
    </row>
    <row r="2871" spans="1:6" x14ac:dyDescent="0.3">
      <c r="A2871" t="s">
        <v>55</v>
      </c>
      <c r="B2871">
        <v>2019</v>
      </c>
      <c r="C2871" t="s">
        <v>8</v>
      </c>
      <c r="D2871" s="35">
        <v>47264595.479999997</v>
      </c>
      <c r="E2871" s="35">
        <v>5517</v>
      </c>
      <c r="F2871" s="35">
        <v>47264595.479999997</v>
      </c>
    </row>
    <row r="2872" spans="1:6" x14ac:dyDescent="0.3">
      <c r="A2872" t="s">
        <v>55</v>
      </c>
      <c r="B2872">
        <v>2019</v>
      </c>
      <c r="C2872" t="s">
        <v>6</v>
      </c>
      <c r="D2872" s="35">
        <v>140181421.63999999</v>
      </c>
      <c r="E2872" s="35">
        <v>1639836</v>
      </c>
      <c r="F2872" s="35">
        <v>109297870.55</v>
      </c>
    </row>
    <row r="2873" spans="1:6" x14ac:dyDescent="0.3">
      <c r="A2873" t="s">
        <v>55</v>
      </c>
      <c r="B2873">
        <v>2019</v>
      </c>
      <c r="C2873" t="s">
        <v>15</v>
      </c>
      <c r="D2873" s="35">
        <v>52531240.869999997</v>
      </c>
      <c r="E2873" s="35">
        <v>819782</v>
      </c>
      <c r="F2873" s="35">
        <v>26011879.70999999</v>
      </c>
    </row>
    <row r="2874" spans="1:6" x14ac:dyDescent="0.3">
      <c r="A2874" t="s">
        <v>55</v>
      </c>
      <c r="B2874">
        <v>2019</v>
      </c>
      <c r="C2874" t="s">
        <v>18</v>
      </c>
      <c r="D2874" s="35">
        <v>6828302.9300000006</v>
      </c>
      <c r="E2874" s="35">
        <v>85862</v>
      </c>
      <c r="F2874" s="35">
        <v>5003430.16</v>
      </c>
    </row>
    <row r="2875" spans="1:6" x14ac:dyDescent="0.3">
      <c r="A2875" t="s">
        <v>55</v>
      </c>
      <c r="B2875">
        <v>2020</v>
      </c>
      <c r="C2875" t="s">
        <v>10</v>
      </c>
      <c r="D2875" s="35">
        <v>67226585.359999999</v>
      </c>
      <c r="E2875" s="35">
        <v>1693090</v>
      </c>
      <c r="F2875" s="35">
        <v>31187634.010000002</v>
      </c>
    </row>
    <row r="2876" spans="1:6" x14ac:dyDescent="0.3">
      <c r="A2876" t="s">
        <v>55</v>
      </c>
      <c r="B2876">
        <v>2020</v>
      </c>
      <c r="C2876" t="s">
        <v>4</v>
      </c>
      <c r="D2876" s="35">
        <v>126481378.04000001</v>
      </c>
      <c r="E2876" s="35">
        <v>402361</v>
      </c>
      <c r="F2876" s="35">
        <v>122562393.8</v>
      </c>
    </row>
    <row r="2877" spans="1:6" x14ac:dyDescent="0.3">
      <c r="A2877" t="s">
        <v>55</v>
      </c>
      <c r="B2877">
        <v>2020</v>
      </c>
      <c r="C2877" t="s">
        <v>13</v>
      </c>
      <c r="D2877" s="35">
        <v>47492678.270000003</v>
      </c>
      <c r="E2877" s="35">
        <v>529578</v>
      </c>
      <c r="F2877" s="35">
        <v>35153599.610000007</v>
      </c>
    </row>
    <row r="2878" spans="1:6" x14ac:dyDescent="0.3">
      <c r="A2878" t="s">
        <v>55</v>
      </c>
      <c r="B2878">
        <v>2020</v>
      </c>
      <c r="C2878" t="s">
        <v>16</v>
      </c>
      <c r="D2878" s="35">
        <v>12509465.890000001</v>
      </c>
      <c r="E2878" s="35">
        <v>37549</v>
      </c>
      <c r="F2878" s="35">
        <v>11890676.960000001</v>
      </c>
    </row>
    <row r="2879" spans="1:6" x14ac:dyDescent="0.3">
      <c r="A2879" t="s">
        <v>55</v>
      </c>
      <c r="B2879">
        <v>2020</v>
      </c>
      <c r="C2879" t="s">
        <v>14</v>
      </c>
      <c r="D2879" s="35">
        <v>38182620.710000001</v>
      </c>
      <c r="E2879" s="35">
        <v>724433</v>
      </c>
      <c r="F2879" s="35">
        <v>21768824.97000001</v>
      </c>
    </row>
    <row r="2880" spans="1:6" x14ac:dyDescent="0.3">
      <c r="A2880" t="s">
        <v>55</v>
      </c>
      <c r="B2880">
        <v>2020</v>
      </c>
      <c r="C2880" t="s">
        <v>7</v>
      </c>
      <c r="D2880" s="35">
        <v>37105363.18</v>
      </c>
      <c r="E2880" s="35">
        <v>15241</v>
      </c>
      <c r="F2880" s="35">
        <v>37049010.590000004</v>
      </c>
    </row>
    <row r="2881" spans="1:6" x14ac:dyDescent="0.3">
      <c r="A2881" t="s">
        <v>55</v>
      </c>
      <c r="B2881">
        <v>2020</v>
      </c>
      <c r="C2881" t="s">
        <v>11</v>
      </c>
      <c r="D2881" s="35">
        <v>46729338.960000008</v>
      </c>
      <c r="E2881" s="35">
        <v>115898</v>
      </c>
      <c r="F2881" s="35">
        <v>45315409.039999992</v>
      </c>
    </row>
    <row r="2882" spans="1:6" x14ac:dyDescent="0.3">
      <c r="A2882" t="s">
        <v>55</v>
      </c>
      <c r="B2882">
        <v>2020</v>
      </c>
      <c r="C2882" t="s">
        <v>3</v>
      </c>
      <c r="D2882" s="35">
        <v>94150197.680000007</v>
      </c>
      <c r="E2882" s="35">
        <v>336278</v>
      </c>
      <c r="F2882" s="35">
        <v>86813805.710000008</v>
      </c>
    </row>
    <row r="2883" spans="1:6" x14ac:dyDescent="0.3">
      <c r="A2883" t="s">
        <v>55</v>
      </c>
      <c r="B2883">
        <v>2020</v>
      </c>
      <c r="C2883" t="s">
        <v>12</v>
      </c>
      <c r="D2883" s="35">
        <v>77940077.700000003</v>
      </c>
      <c r="E2883" s="35">
        <v>810168</v>
      </c>
      <c r="F2883" s="35">
        <v>53076746.670000002</v>
      </c>
    </row>
    <row r="2884" spans="1:6" x14ac:dyDescent="0.3">
      <c r="A2884" t="s">
        <v>55</v>
      </c>
      <c r="B2884">
        <v>2020</v>
      </c>
      <c r="C2884" t="s">
        <v>2</v>
      </c>
      <c r="D2884" s="35">
        <v>378062737.01000023</v>
      </c>
      <c r="E2884" s="35">
        <v>3152760</v>
      </c>
      <c r="F2884" s="35">
        <v>291908758.08999991</v>
      </c>
    </row>
    <row r="2885" spans="1:6" x14ac:dyDescent="0.3">
      <c r="A2885" t="s">
        <v>55</v>
      </c>
      <c r="B2885">
        <v>2020</v>
      </c>
      <c r="C2885" t="s">
        <v>5</v>
      </c>
      <c r="D2885" s="35">
        <v>68622769.069999993</v>
      </c>
      <c r="E2885" s="35">
        <v>39117</v>
      </c>
      <c r="F2885" s="35">
        <v>65652839.340000011</v>
      </c>
    </row>
    <row r="2886" spans="1:6" x14ac:dyDescent="0.3">
      <c r="A2886" t="s">
        <v>55</v>
      </c>
      <c r="B2886">
        <v>2020</v>
      </c>
      <c r="C2886" t="s">
        <v>17</v>
      </c>
      <c r="D2886" s="35">
        <v>5619389.9900000002</v>
      </c>
      <c r="E2886" s="35">
        <v>253099</v>
      </c>
      <c r="F2886" s="35">
        <v>1066439.31</v>
      </c>
    </row>
    <row r="2887" spans="1:6" x14ac:dyDescent="0.3">
      <c r="A2887" t="s">
        <v>55</v>
      </c>
      <c r="B2887">
        <v>2020</v>
      </c>
      <c r="C2887" t="s">
        <v>9</v>
      </c>
      <c r="D2887" s="35">
        <v>50949757.619999997</v>
      </c>
      <c r="E2887" s="35">
        <v>927645</v>
      </c>
      <c r="F2887" s="35">
        <v>30628997.359999999</v>
      </c>
    </row>
    <row r="2888" spans="1:6" x14ac:dyDescent="0.3">
      <c r="A2888" t="s">
        <v>55</v>
      </c>
      <c r="B2888">
        <v>2020</v>
      </c>
      <c r="C2888" t="s">
        <v>8</v>
      </c>
      <c r="D2888" s="35">
        <v>60915959.61999999</v>
      </c>
      <c r="E2888" s="35">
        <v>5782</v>
      </c>
      <c r="F2888" s="35">
        <v>60915959.61999999</v>
      </c>
    </row>
    <row r="2889" spans="1:6" x14ac:dyDescent="0.3">
      <c r="A2889" t="s">
        <v>55</v>
      </c>
      <c r="B2889">
        <v>2020</v>
      </c>
      <c r="C2889" t="s">
        <v>6</v>
      </c>
      <c r="D2889" s="35">
        <v>144102895.24000001</v>
      </c>
      <c r="E2889" s="35">
        <v>1597567</v>
      </c>
      <c r="F2889" s="35">
        <v>115829554.31</v>
      </c>
    </row>
    <row r="2890" spans="1:6" x14ac:dyDescent="0.3">
      <c r="A2890" t="s">
        <v>55</v>
      </c>
      <c r="B2890">
        <v>2020</v>
      </c>
      <c r="C2890" t="s">
        <v>15</v>
      </c>
      <c r="D2890" s="35">
        <v>27202405.140000001</v>
      </c>
      <c r="E2890" s="35">
        <v>569997</v>
      </c>
      <c r="F2890" s="35">
        <v>13078334.199999999</v>
      </c>
    </row>
    <row r="2891" spans="1:6" x14ac:dyDescent="0.3">
      <c r="A2891" t="s">
        <v>55</v>
      </c>
      <c r="B2891">
        <v>2020</v>
      </c>
      <c r="C2891" t="s">
        <v>18</v>
      </c>
      <c r="D2891" s="35">
        <v>5931816.2999999998</v>
      </c>
      <c r="E2891" s="35">
        <v>89671</v>
      </c>
      <c r="F2891" s="35">
        <v>4254557.75</v>
      </c>
    </row>
    <row r="2892" spans="1:6" x14ac:dyDescent="0.3">
      <c r="A2892" t="s">
        <v>55</v>
      </c>
      <c r="B2892">
        <v>2021</v>
      </c>
      <c r="C2892" t="s">
        <v>10</v>
      </c>
      <c r="D2892" s="35">
        <v>63304195.560000002</v>
      </c>
      <c r="E2892" s="35">
        <v>1849924</v>
      </c>
      <c r="F2892" s="35">
        <v>34698573.140000001</v>
      </c>
    </row>
    <row r="2893" spans="1:6" x14ac:dyDescent="0.3">
      <c r="A2893" t="s">
        <v>55</v>
      </c>
      <c r="B2893">
        <v>2021</v>
      </c>
      <c r="C2893" t="s">
        <v>4</v>
      </c>
      <c r="D2893" s="35">
        <v>141674690.88</v>
      </c>
      <c r="E2893" s="35">
        <v>435148</v>
      </c>
      <c r="F2893" s="35">
        <v>138691102.15000001</v>
      </c>
    </row>
    <row r="2894" spans="1:6" x14ac:dyDescent="0.3">
      <c r="A2894" t="s">
        <v>55</v>
      </c>
      <c r="B2894">
        <v>2021</v>
      </c>
      <c r="C2894" t="s">
        <v>13</v>
      </c>
      <c r="D2894" s="35">
        <v>45493393.240000002</v>
      </c>
      <c r="E2894" s="35">
        <v>538850</v>
      </c>
      <c r="F2894" s="35">
        <v>34665056.749999993</v>
      </c>
    </row>
    <row r="2895" spans="1:6" x14ac:dyDescent="0.3">
      <c r="A2895" t="s">
        <v>55</v>
      </c>
      <c r="B2895">
        <v>2021</v>
      </c>
      <c r="C2895" t="s">
        <v>16</v>
      </c>
      <c r="D2895" s="35">
        <v>13696868.59</v>
      </c>
      <c r="E2895" s="35">
        <v>41076</v>
      </c>
      <c r="F2895" s="35">
        <v>13074974.029999999</v>
      </c>
    </row>
    <row r="2896" spans="1:6" x14ac:dyDescent="0.3">
      <c r="A2896" t="s">
        <v>55</v>
      </c>
      <c r="B2896">
        <v>2021</v>
      </c>
      <c r="C2896" t="s">
        <v>14</v>
      </c>
      <c r="D2896" s="35">
        <v>39428322.319999993</v>
      </c>
      <c r="E2896" s="35">
        <v>861027</v>
      </c>
      <c r="F2896" s="35">
        <v>24408443.29000001</v>
      </c>
    </row>
    <row r="2897" spans="1:6" x14ac:dyDescent="0.3">
      <c r="A2897" t="s">
        <v>55</v>
      </c>
      <c r="B2897">
        <v>2021</v>
      </c>
      <c r="C2897" t="s">
        <v>7</v>
      </c>
      <c r="D2897" s="35">
        <v>39637534.319999993</v>
      </c>
      <c r="E2897" s="35">
        <v>15515</v>
      </c>
      <c r="F2897" s="35">
        <v>39503966.669999987</v>
      </c>
    </row>
    <row r="2898" spans="1:6" x14ac:dyDescent="0.3">
      <c r="A2898" t="s">
        <v>55</v>
      </c>
      <c r="B2898">
        <v>2021</v>
      </c>
      <c r="C2898" t="s">
        <v>11</v>
      </c>
      <c r="D2898" s="35">
        <v>47618614.269999981</v>
      </c>
      <c r="E2898" s="35">
        <v>120351</v>
      </c>
      <c r="F2898" s="35">
        <v>46070819.340000004</v>
      </c>
    </row>
    <row r="2899" spans="1:6" x14ac:dyDescent="0.3">
      <c r="A2899" t="s">
        <v>55</v>
      </c>
      <c r="B2899">
        <v>2021</v>
      </c>
      <c r="C2899" t="s">
        <v>3</v>
      </c>
      <c r="D2899" s="35">
        <v>119965908.73999999</v>
      </c>
      <c r="E2899" s="35">
        <v>398549</v>
      </c>
      <c r="F2899" s="35">
        <v>113412357.05</v>
      </c>
    </row>
    <row r="2900" spans="1:6" x14ac:dyDescent="0.3">
      <c r="A2900" t="s">
        <v>55</v>
      </c>
      <c r="B2900">
        <v>2021</v>
      </c>
      <c r="C2900" t="s">
        <v>12</v>
      </c>
      <c r="D2900" s="35">
        <v>65662703.409999989</v>
      </c>
      <c r="E2900" s="35">
        <v>898419</v>
      </c>
      <c r="F2900" s="35">
        <v>46173645.740000002</v>
      </c>
    </row>
    <row r="2901" spans="1:6" x14ac:dyDescent="0.3">
      <c r="A2901" t="s">
        <v>55</v>
      </c>
      <c r="B2901">
        <v>2021</v>
      </c>
      <c r="C2901" t="s">
        <v>2</v>
      </c>
      <c r="D2901" s="35">
        <v>388774663.73000008</v>
      </c>
      <c r="E2901" s="35">
        <v>3323033</v>
      </c>
      <c r="F2901" s="35">
        <v>319724595.10000002</v>
      </c>
    </row>
    <row r="2902" spans="1:6" x14ac:dyDescent="0.3">
      <c r="A2902" t="s">
        <v>55</v>
      </c>
      <c r="B2902">
        <v>2021</v>
      </c>
      <c r="C2902" t="s">
        <v>5</v>
      </c>
      <c r="D2902" s="35">
        <v>74168663.799999997</v>
      </c>
      <c r="E2902" s="35">
        <v>41606</v>
      </c>
      <c r="F2902" s="35">
        <v>71604129.939999998</v>
      </c>
    </row>
    <row r="2903" spans="1:6" x14ac:dyDescent="0.3">
      <c r="A2903" t="s">
        <v>55</v>
      </c>
      <c r="B2903">
        <v>2021</v>
      </c>
      <c r="C2903" t="s">
        <v>17</v>
      </c>
      <c r="D2903" s="35">
        <v>4841126.62</v>
      </c>
      <c r="E2903" s="35">
        <v>286610</v>
      </c>
      <c r="F2903" s="35">
        <v>1348969.91</v>
      </c>
    </row>
    <row r="2904" spans="1:6" x14ac:dyDescent="0.3">
      <c r="A2904" t="s">
        <v>55</v>
      </c>
      <c r="B2904">
        <v>2021</v>
      </c>
      <c r="C2904" t="s">
        <v>9</v>
      </c>
      <c r="D2904" s="35">
        <v>47468529.340000004</v>
      </c>
      <c r="E2904" s="35">
        <v>1004946</v>
      </c>
      <c r="F2904" s="35">
        <v>31401362.18</v>
      </c>
    </row>
    <row r="2905" spans="1:6" x14ac:dyDescent="0.3">
      <c r="A2905" t="s">
        <v>55</v>
      </c>
      <c r="B2905">
        <v>2021</v>
      </c>
      <c r="C2905" t="s">
        <v>8</v>
      </c>
      <c r="D2905" s="35">
        <v>62506443.88000001</v>
      </c>
      <c r="E2905" s="35">
        <v>4883</v>
      </c>
      <c r="F2905" s="35">
        <v>61606975.450000003</v>
      </c>
    </row>
    <row r="2906" spans="1:6" x14ac:dyDescent="0.3">
      <c r="A2906" t="s">
        <v>55</v>
      </c>
      <c r="B2906">
        <v>2021</v>
      </c>
      <c r="C2906" t="s">
        <v>6</v>
      </c>
      <c r="D2906" s="35">
        <v>147237955.93999991</v>
      </c>
      <c r="E2906" s="35">
        <v>1645322</v>
      </c>
      <c r="F2906" s="35">
        <v>125966629.65000001</v>
      </c>
    </row>
    <row r="2907" spans="1:6" x14ac:dyDescent="0.3">
      <c r="A2907" t="s">
        <v>55</v>
      </c>
      <c r="B2907">
        <v>2021</v>
      </c>
      <c r="C2907" t="s">
        <v>15</v>
      </c>
      <c r="D2907" s="35">
        <v>21567407.199999999</v>
      </c>
      <c r="E2907" s="35">
        <v>519495</v>
      </c>
      <c r="F2907" s="35">
        <v>10559109.279999999</v>
      </c>
    </row>
    <row r="2908" spans="1:6" x14ac:dyDescent="0.3">
      <c r="A2908" t="s">
        <v>55</v>
      </c>
      <c r="B2908">
        <v>2021</v>
      </c>
      <c r="C2908" t="s">
        <v>18</v>
      </c>
      <c r="D2908" s="35">
        <v>4962165.34</v>
      </c>
      <c r="E2908" s="35">
        <v>89866</v>
      </c>
      <c r="F2908" s="35">
        <v>3774537.14</v>
      </c>
    </row>
    <row r="2909" spans="1:6" x14ac:dyDescent="0.3">
      <c r="A2909" t="s">
        <v>55</v>
      </c>
      <c r="B2909">
        <v>2022</v>
      </c>
      <c r="C2909" t="s">
        <v>10</v>
      </c>
      <c r="D2909" s="35">
        <v>75900066.899999991</v>
      </c>
      <c r="E2909" s="35">
        <v>2246011</v>
      </c>
      <c r="F2909" s="35">
        <v>45694510.99000001</v>
      </c>
    </row>
    <row r="2910" spans="1:6" x14ac:dyDescent="0.3">
      <c r="A2910" t="s">
        <v>55</v>
      </c>
      <c r="B2910">
        <v>2022</v>
      </c>
      <c r="C2910" t="s">
        <v>4</v>
      </c>
      <c r="D2910" s="35">
        <v>192026119.97</v>
      </c>
      <c r="E2910" s="35">
        <v>555294</v>
      </c>
      <c r="F2910" s="35">
        <v>188975889.84999999</v>
      </c>
    </row>
    <row r="2911" spans="1:6" x14ac:dyDescent="0.3">
      <c r="A2911" t="s">
        <v>55</v>
      </c>
      <c r="B2911">
        <v>2022</v>
      </c>
      <c r="C2911" t="s">
        <v>13</v>
      </c>
      <c r="D2911" s="35">
        <v>48025415.729999997</v>
      </c>
      <c r="E2911" s="35">
        <v>572781</v>
      </c>
      <c r="F2911" s="35">
        <v>37210408.469999999</v>
      </c>
    </row>
    <row r="2912" spans="1:6" x14ac:dyDescent="0.3">
      <c r="A2912" t="s">
        <v>55</v>
      </c>
      <c r="B2912">
        <v>2022</v>
      </c>
      <c r="C2912" t="s">
        <v>16</v>
      </c>
      <c r="D2912" s="35">
        <v>15872197.449999999</v>
      </c>
      <c r="E2912" s="35">
        <v>45745</v>
      </c>
      <c r="F2912" s="35">
        <v>15272936.689999999</v>
      </c>
    </row>
    <row r="2913" spans="1:6" x14ac:dyDescent="0.3">
      <c r="A2913" t="s">
        <v>55</v>
      </c>
      <c r="B2913">
        <v>2022</v>
      </c>
      <c r="C2913" t="s">
        <v>14</v>
      </c>
      <c r="D2913" s="35">
        <v>42128347.460000001</v>
      </c>
      <c r="E2913" s="35">
        <v>971317</v>
      </c>
      <c r="F2913" s="35">
        <v>27778119.09</v>
      </c>
    </row>
    <row r="2914" spans="1:6" x14ac:dyDescent="0.3">
      <c r="A2914" t="s">
        <v>55</v>
      </c>
      <c r="B2914">
        <v>2022</v>
      </c>
      <c r="C2914" t="s">
        <v>7</v>
      </c>
      <c r="D2914" s="35">
        <v>74292819.450000003</v>
      </c>
      <c r="E2914" s="35">
        <v>26277</v>
      </c>
      <c r="F2914" s="35">
        <v>74105464.039999992</v>
      </c>
    </row>
    <row r="2915" spans="1:6" x14ac:dyDescent="0.3">
      <c r="A2915" t="s">
        <v>55</v>
      </c>
      <c r="B2915">
        <v>2022</v>
      </c>
      <c r="C2915" t="s">
        <v>11</v>
      </c>
      <c r="D2915" s="35">
        <v>52150830.399999999</v>
      </c>
      <c r="E2915" s="35">
        <v>119196</v>
      </c>
      <c r="F2915" s="35">
        <v>50565223.300000012</v>
      </c>
    </row>
    <row r="2916" spans="1:6" x14ac:dyDescent="0.3">
      <c r="A2916" t="s">
        <v>55</v>
      </c>
      <c r="B2916">
        <v>2022</v>
      </c>
      <c r="C2916" t="s">
        <v>3</v>
      </c>
      <c r="D2916" s="35">
        <v>167491679.72</v>
      </c>
      <c r="E2916" s="35">
        <v>483990</v>
      </c>
      <c r="F2916" s="35">
        <v>160554793.91999999</v>
      </c>
    </row>
    <row r="2917" spans="1:6" x14ac:dyDescent="0.3">
      <c r="A2917" t="s">
        <v>55</v>
      </c>
      <c r="B2917">
        <v>2022</v>
      </c>
      <c r="C2917" t="s">
        <v>12</v>
      </c>
      <c r="D2917" s="35">
        <v>79472484.870000005</v>
      </c>
      <c r="E2917" s="35">
        <v>1161949</v>
      </c>
      <c r="F2917" s="35">
        <v>57179500.090000004</v>
      </c>
    </row>
    <row r="2918" spans="1:6" x14ac:dyDescent="0.3">
      <c r="A2918" t="s">
        <v>55</v>
      </c>
      <c r="B2918">
        <v>2022</v>
      </c>
      <c r="C2918" t="s">
        <v>2</v>
      </c>
      <c r="D2918" s="35">
        <v>436236640.05000007</v>
      </c>
      <c r="E2918" s="35">
        <v>3774504</v>
      </c>
      <c r="F2918" s="35">
        <v>371109243.27999997</v>
      </c>
    </row>
    <row r="2919" spans="1:6" x14ac:dyDescent="0.3">
      <c r="A2919" t="s">
        <v>55</v>
      </c>
      <c r="B2919">
        <v>2022</v>
      </c>
      <c r="C2919" t="s">
        <v>5</v>
      </c>
      <c r="D2919" s="35">
        <v>84455421.799999982</v>
      </c>
      <c r="E2919" s="35">
        <v>47178</v>
      </c>
      <c r="F2919" s="35">
        <v>82216195.879999995</v>
      </c>
    </row>
    <row r="2920" spans="1:6" x14ac:dyDescent="0.3">
      <c r="A2920" t="s">
        <v>55</v>
      </c>
      <c r="B2920">
        <v>2022</v>
      </c>
      <c r="C2920" t="s">
        <v>17</v>
      </c>
      <c r="D2920" s="35">
        <v>4889714.120000001</v>
      </c>
      <c r="E2920" s="35">
        <v>382920</v>
      </c>
      <c r="F2920" s="35">
        <v>1651646.56</v>
      </c>
    </row>
    <row r="2921" spans="1:6" x14ac:dyDescent="0.3">
      <c r="A2921" t="s">
        <v>55</v>
      </c>
      <c r="B2921">
        <v>2022</v>
      </c>
      <c r="C2921" t="s">
        <v>9</v>
      </c>
      <c r="D2921" s="35">
        <v>56353498.56000001</v>
      </c>
      <c r="E2921" s="35">
        <v>1238527</v>
      </c>
      <c r="F2921" s="35">
        <v>36786348.359999999</v>
      </c>
    </row>
    <row r="2922" spans="1:6" x14ac:dyDescent="0.3">
      <c r="A2922" t="s">
        <v>55</v>
      </c>
      <c r="B2922">
        <v>2022</v>
      </c>
      <c r="C2922" t="s">
        <v>8</v>
      </c>
      <c r="D2922" s="35">
        <v>75910221.809999987</v>
      </c>
      <c r="E2922" s="35">
        <v>4606</v>
      </c>
      <c r="F2922" s="35">
        <v>74868061.449999988</v>
      </c>
    </row>
    <row r="2923" spans="1:6" x14ac:dyDescent="0.3">
      <c r="A2923" t="s">
        <v>55</v>
      </c>
      <c r="B2923">
        <v>2022</v>
      </c>
      <c r="C2923" t="s">
        <v>6</v>
      </c>
      <c r="D2923" s="35">
        <v>160983904.75</v>
      </c>
      <c r="E2923" s="35">
        <v>1656530</v>
      </c>
      <c r="F2923" s="35">
        <v>141263162.86000001</v>
      </c>
    </row>
    <row r="2924" spans="1:6" x14ac:dyDescent="0.3">
      <c r="A2924" t="s">
        <v>55</v>
      </c>
      <c r="B2924">
        <v>2022</v>
      </c>
      <c r="C2924" t="s">
        <v>15</v>
      </c>
      <c r="D2924" s="35">
        <v>18502891.27</v>
      </c>
      <c r="E2924" s="35">
        <v>489328</v>
      </c>
      <c r="F2924" s="35">
        <v>9064712.6400000006</v>
      </c>
    </row>
    <row r="2925" spans="1:6" x14ac:dyDescent="0.3">
      <c r="A2925" t="s">
        <v>55</v>
      </c>
      <c r="B2925">
        <v>2022</v>
      </c>
      <c r="C2925" t="s">
        <v>18</v>
      </c>
      <c r="D2925" s="35">
        <v>4689701.4600000009</v>
      </c>
      <c r="E2925" s="35">
        <v>90294</v>
      </c>
      <c r="F2925" s="35">
        <v>3465249.03</v>
      </c>
    </row>
    <row r="2926" spans="1:6" x14ac:dyDescent="0.3">
      <c r="A2926" t="s">
        <v>55</v>
      </c>
      <c r="B2926">
        <v>2023</v>
      </c>
      <c r="C2926" t="s">
        <v>10</v>
      </c>
      <c r="D2926" s="35">
        <v>99887667.079999968</v>
      </c>
      <c r="E2926" s="35">
        <v>2804623</v>
      </c>
      <c r="F2926" s="35">
        <v>63402787.649999984</v>
      </c>
    </row>
    <row r="2927" spans="1:6" x14ac:dyDescent="0.3">
      <c r="A2927" t="s">
        <v>55</v>
      </c>
      <c r="B2927">
        <v>2023</v>
      </c>
      <c r="C2927" t="s">
        <v>4</v>
      </c>
      <c r="D2927" s="35">
        <v>285497925.14999998</v>
      </c>
      <c r="E2927" s="35">
        <v>738628</v>
      </c>
      <c r="F2927" s="35">
        <v>281835148.69999999</v>
      </c>
    </row>
    <row r="2928" spans="1:6" x14ac:dyDescent="0.3">
      <c r="A2928" t="s">
        <v>55</v>
      </c>
      <c r="B2928">
        <v>2023</v>
      </c>
      <c r="C2928" t="s">
        <v>13</v>
      </c>
      <c r="D2928" s="35">
        <v>46488651.050000012</v>
      </c>
      <c r="E2928" s="35">
        <v>708471</v>
      </c>
      <c r="F2928" s="35">
        <v>33808518.439999998</v>
      </c>
    </row>
    <row r="2929" spans="1:6" x14ac:dyDescent="0.3">
      <c r="A2929" t="s">
        <v>55</v>
      </c>
      <c r="B2929">
        <v>2023</v>
      </c>
      <c r="C2929" t="s">
        <v>16</v>
      </c>
      <c r="D2929" s="35">
        <v>18457146.170000002</v>
      </c>
      <c r="E2929" s="35">
        <v>53295</v>
      </c>
      <c r="F2929" s="35">
        <v>17761404.879999999</v>
      </c>
    </row>
    <row r="2930" spans="1:6" x14ac:dyDescent="0.3">
      <c r="A2930" t="s">
        <v>55</v>
      </c>
      <c r="B2930">
        <v>2023</v>
      </c>
      <c r="C2930" t="s">
        <v>14</v>
      </c>
      <c r="D2930" s="35">
        <v>49924437.360000007</v>
      </c>
      <c r="E2930" s="35">
        <v>1152285</v>
      </c>
      <c r="F2930" s="35">
        <v>32750631.579999998</v>
      </c>
    </row>
    <row r="2931" spans="1:6" x14ac:dyDescent="0.3">
      <c r="A2931" t="s">
        <v>55</v>
      </c>
      <c r="B2931">
        <v>2023</v>
      </c>
      <c r="C2931" t="s">
        <v>7</v>
      </c>
      <c r="D2931" s="35">
        <v>115439537.95</v>
      </c>
      <c r="E2931" s="35">
        <v>37521</v>
      </c>
      <c r="F2931" s="35">
        <v>115241293.51000001</v>
      </c>
    </row>
    <row r="2932" spans="1:6" x14ac:dyDescent="0.3">
      <c r="A2932" t="s">
        <v>55</v>
      </c>
      <c r="B2932">
        <v>2023</v>
      </c>
      <c r="C2932" t="s">
        <v>11</v>
      </c>
      <c r="D2932" s="35">
        <v>47658884.999999993</v>
      </c>
      <c r="E2932" s="35">
        <v>108798</v>
      </c>
      <c r="F2932" s="35">
        <v>46073797.259999998</v>
      </c>
    </row>
    <row r="2933" spans="1:6" x14ac:dyDescent="0.3">
      <c r="A2933" t="s">
        <v>55</v>
      </c>
      <c r="B2933">
        <v>2023</v>
      </c>
      <c r="C2933" t="s">
        <v>3</v>
      </c>
      <c r="D2933" s="35">
        <v>228799846.06</v>
      </c>
      <c r="E2933" s="35">
        <v>558627</v>
      </c>
      <c r="F2933" s="35">
        <v>221201941.46000001</v>
      </c>
    </row>
    <row r="2934" spans="1:6" x14ac:dyDescent="0.3">
      <c r="A2934" t="s">
        <v>55</v>
      </c>
      <c r="B2934">
        <v>2023</v>
      </c>
      <c r="C2934" t="s">
        <v>12</v>
      </c>
      <c r="D2934" s="35">
        <v>91429566.680000022</v>
      </c>
      <c r="E2934" s="35">
        <v>1428681</v>
      </c>
      <c r="F2934" s="35">
        <v>64856318.159999996</v>
      </c>
    </row>
    <row r="2935" spans="1:6" x14ac:dyDescent="0.3">
      <c r="A2935" t="s">
        <v>55</v>
      </c>
      <c r="B2935">
        <v>2023</v>
      </c>
      <c r="C2935" t="s">
        <v>2</v>
      </c>
      <c r="D2935" s="35">
        <v>471974391.25999999</v>
      </c>
      <c r="E2935" s="35">
        <v>4441759</v>
      </c>
      <c r="F2935" s="35">
        <v>399913064.87</v>
      </c>
    </row>
    <row r="2936" spans="1:6" x14ac:dyDescent="0.3">
      <c r="A2936" t="s">
        <v>55</v>
      </c>
      <c r="B2936">
        <v>2023</v>
      </c>
      <c r="C2936" t="s">
        <v>5</v>
      </c>
      <c r="D2936" s="35">
        <v>85429587.849999994</v>
      </c>
      <c r="E2936" s="35">
        <v>49371</v>
      </c>
      <c r="F2936" s="35">
        <v>83385540.310000002</v>
      </c>
    </row>
    <row r="2937" spans="1:6" x14ac:dyDescent="0.3">
      <c r="A2937" t="s">
        <v>55</v>
      </c>
      <c r="B2937">
        <v>2023</v>
      </c>
      <c r="C2937" t="s">
        <v>17</v>
      </c>
      <c r="D2937" s="35">
        <v>5157728.7399999993</v>
      </c>
      <c r="E2937" s="35">
        <v>444779</v>
      </c>
      <c r="F2937" s="35">
        <v>1701696.67</v>
      </c>
    </row>
    <row r="2938" spans="1:6" x14ac:dyDescent="0.3">
      <c r="A2938" t="s">
        <v>55</v>
      </c>
      <c r="B2938">
        <v>2023</v>
      </c>
      <c r="C2938" t="s">
        <v>9</v>
      </c>
      <c r="D2938" s="35">
        <v>75710735.48999998</v>
      </c>
      <c r="E2938" s="35">
        <v>1448308</v>
      </c>
      <c r="F2938" s="35">
        <v>50245851.49000001</v>
      </c>
    </row>
    <row r="2939" spans="1:6" x14ac:dyDescent="0.3">
      <c r="A2939" t="s">
        <v>55</v>
      </c>
      <c r="B2939">
        <v>2023</v>
      </c>
      <c r="C2939" t="s">
        <v>8</v>
      </c>
      <c r="D2939" s="35">
        <v>79407310.629999995</v>
      </c>
      <c r="E2939" s="35">
        <v>4174</v>
      </c>
      <c r="F2939" s="35">
        <v>78201210.870000005</v>
      </c>
    </row>
    <row r="2940" spans="1:6" x14ac:dyDescent="0.3">
      <c r="A2940" t="s">
        <v>55</v>
      </c>
      <c r="B2940">
        <v>2023</v>
      </c>
      <c r="C2940" t="s">
        <v>6</v>
      </c>
      <c r="D2940" s="35">
        <v>182456671.36000001</v>
      </c>
      <c r="E2940" s="35">
        <v>1784249</v>
      </c>
      <c r="F2940" s="35">
        <v>160478519.81</v>
      </c>
    </row>
    <row r="2941" spans="1:6" x14ac:dyDescent="0.3">
      <c r="A2941" t="s">
        <v>55</v>
      </c>
      <c r="B2941">
        <v>2023</v>
      </c>
      <c r="C2941" t="s">
        <v>15</v>
      </c>
      <c r="D2941" s="35">
        <v>14559588.48</v>
      </c>
      <c r="E2941" s="35">
        <v>396069</v>
      </c>
      <c r="F2941" s="35">
        <v>6305779.629999999</v>
      </c>
    </row>
    <row r="2942" spans="1:6" x14ac:dyDescent="0.3">
      <c r="A2942" t="s">
        <v>55</v>
      </c>
      <c r="B2942">
        <v>2023</v>
      </c>
      <c r="C2942" t="s">
        <v>18</v>
      </c>
      <c r="D2942" s="35">
        <v>5934682.9700000007</v>
      </c>
      <c r="E2942" s="35">
        <v>78383</v>
      </c>
      <c r="F2942" s="35">
        <v>4737328.17</v>
      </c>
    </row>
    <row r="2943" spans="1:6" x14ac:dyDescent="0.3">
      <c r="A2943" t="s">
        <v>55</v>
      </c>
      <c r="B2943">
        <v>2024</v>
      </c>
      <c r="C2943" t="s">
        <v>10</v>
      </c>
      <c r="D2943" s="35">
        <v>107429586.23999999</v>
      </c>
      <c r="E2943" s="35">
        <v>2769936</v>
      </c>
      <c r="F2943" s="35">
        <v>71768074.589999989</v>
      </c>
    </row>
    <row r="2944" spans="1:6" x14ac:dyDescent="0.3">
      <c r="A2944" t="s">
        <v>55</v>
      </c>
      <c r="B2944">
        <v>2024</v>
      </c>
      <c r="C2944" t="s">
        <v>4</v>
      </c>
      <c r="D2944" s="35">
        <v>232317751.84</v>
      </c>
      <c r="E2944" s="35">
        <v>743100</v>
      </c>
      <c r="F2944" s="35">
        <v>228616824.96000001</v>
      </c>
    </row>
    <row r="2945" spans="1:6" x14ac:dyDescent="0.3">
      <c r="A2945" t="s">
        <v>55</v>
      </c>
      <c r="B2945">
        <v>2024</v>
      </c>
      <c r="C2945" t="s">
        <v>13</v>
      </c>
      <c r="D2945" s="35">
        <v>40723289.510000013</v>
      </c>
      <c r="E2945" s="35">
        <v>669636</v>
      </c>
      <c r="F2945" s="35">
        <v>29738179.57</v>
      </c>
    </row>
    <row r="2946" spans="1:6" x14ac:dyDescent="0.3">
      <c r="A2946" t="s">
        <v>55</v>
      </c>
      <c r="B2946">
        <v>2024</v>
      </c>
      <c r="C2946" t="s">
        <v>16</v>
      </c>
      <c r="D2946" s="35">
        <v>16232181.99</v>
      </c>
      <c r="E2946" s="35">
        <v>47293</v>
      </c>
      <c r="F2946" s="35">
        <v>15538328.289999999</v>
      </c>
    </row>
    <row r="2947" spans="1:6" x14ac:dyDescent="0.3">
      <c r="A2947" t="s">
        <v>55</v>
      </c>
      <c r="B2947">
        <v>2024</v>
      </c>
      <c r="C2947" t="s">
        <v>14</v>
      </c>
      <c r="D2947" s="35">
        <v>48072278.549999997</v>
      </c>
      <c r="E2947" s="35">
        <v>1102845</v>
      </c>
      <c r="F2947" s="35">
        <v>31849707.629999999</v>
      </c>
    </row>
    <row r="2948" spans="1:6" x14ac:dyDescent="0.3">
      <c r="A2948" t="s">
        <v>55</v>
      </c>
      <c r="B2948">
        <v>2024</v>
      </c>
      <c r="C2948" t="s">
        <v>7</v>
      </c>
      <c r="D2948" s="35">
        <v>106784357.89</v>
      </c>
      <c r="E2948" s="35">
        <v>33770</v>
      </c>
      <c r="F2948" s="35">
        <v>106638589.23999999</v>
      </c>
    </row>
    <row r="2949" spans="1:6" x14ac:dyDescent="0.3">
      <c r="A2949" t="s">
        <v>55</v>
      </c>
      <c r="B2949">
        <v>2024</v>
      </c>
      <c r="C2949" t="s">
        <v>11</v>
      </c>
      <c r="D2949" s="35">
        <v>52541991.299999997</v>
      </c>
      <c r="E2949" s="35">
        <v>95848</v>
      </c>
      <c r="F2949" s="35">
        <v>51133976.75</v>
      </c>
    </row>
    <row r="2950" spans="1:6" x14ac:dyDescent="0.3">
      <c r="A2950" t="s">
        <v>55</v>
      </c>
      <c r="B2950">
        <v>2024</v>
      </c>
      <c r="C2950" t="s">
        <v>3</v>
      </c>
      <c r="D2950" s="35">
        <v>242751967.41999999</v>
      </c>
      <c r="E2950" s="35">
        <v>532381</v>
      </c>
      <c r="F2950" s="35">
        <v>235061688.81</v>
      </c>
    </row>
    <row r="2951" spans="1:6" x14ac:dyDescent="0.3">
      <c r="A2951" t="s">
        <v>55</v>
      </c>
      <c r="B2951">
        <v>2024</v>
      </c>
      <c r="C2951" t="s">
        <v>12</v>
      </c>
      <c r="D2951" s="35">
        <v>80411704.670000002</v>
      </c>
      <c r="E2951" s="35">
        <v>1318111</v>
      </c>
      <c r="F2951" s="35">
        <v>55348937.459999993</v>
      </c>
    </row>
    <row r="2952" spans="1:6" x14ac:dyDescent="0.3">
      <c r="A2952" t="s">
        <v>55</v>
      </c>
      <c r="B2952">
        <v>2024</v>
      </c>
      <c r="C2952" t="s">
        <v>2</v>
      </c>
      <c r="D2952" s="35">
        <v>463335114.30000007</v>
      </c>
      <c r="E2952" s="35">
        <v>4289666</v>
      </c>
      <c r="F2952" s="35">
        <v>394563801.50999999</v>
      </c>
    </row>
    <row r="2953" spans="1:6" x14ac:dyDescent="0.3">
      <c r="A2953" t="s">
        <v>55</v>
      </c>
      <c r="B2953">
        <v>2024</v>
      </c>
      <c r="C2953" t="s">
        <v>5</v>
      </c>
      <c r="D2953" s="35">
        <v>78829674.139999986</v>
      </c>
      <c r="E2953" s="35">
        <v>41385</v>
      </c>
      <c r="F2953" s="35">
        <v>77537054.899999991</v>
      </c>
    </row>
    <row r="2954" spans="1:6" x14ac:dyDescent="0.3">
      <c r="A2954" t="s">
        <v>55</v>
      </c>
      <c r="B2954">
        <v>2024</v>
      </c>
      <c r="C2954" t="s">
        <v>17</v>
      </c>
      <c r="D2954" s="35">
        <v>4778792.120000001</v>
      </c>
      <c r="E2954" s="35">
        <v>410295</v>
      </c>
      <c r="F2954" s="35">
        <v>1581926.77</v>
      </c>
    </row>
    <row r="2955" spans="1:6" x14ac:dyDescent="0.3">
      <c r="A2955" t="s">
        <v>55</v>
      </c>
      <c r="B2955">
        <v>2024</v>
      </c>
      <c r="C2955" t="s">
        <v>9</v>
      </c>
      <c r="D2955" s="35">
        <v>71717048.539999992</v>
      </c>
      <c r="E2955" s="35">
        <v>1356568</v>
      </c>
      <c r="F2955" s="35">
        <v>49483503.760000013</v>
      </c>
    </row>
    <row r="2956" spans="1:6" x14ac:dyDescent="0.3">
      <c r="A2956" t="s">
        <v>55</v>
      </c>
      <c r="B2956">
        <v>2024</v>
      </c>
      <c r="C2956" t="s">
        <v>8</v>
      </c>
      <c r="D2956" s="35">
        <v>83166496.070000008</v>
      </c>
      <c r="E2956" s="35">
        <v>3890</v>
      </c>
      <c r="F2956" s="35">
        <v>82426461.280000016</v>
      </c>
    </row>
    <row r="2957" spans="1:6" x14ac:dyDescent="0.3">
      <c r="A2957" t="s">
        <v>55</v>
      </c>
      <c r="B2957">
        <v>2024</v>
      </c>
      <c r="C2957" t="s">
        <v>6</v>
      </c>
      <c r="D2957" s="35">
        <v>149891664.16999999</v>
      </c>
      <c r="E2957" s="35">
        <v>1691343</v>
      </c>
      <c r="F2957" s="35">
        <v>129252973.05</v>
      </c>
    </row>
    <row r="2958" spans="1:6" x14ac:dyDescent="0.3">
      <c r="A2958" t="s">
        <v>55</v>
      </c>
      <c r="B2958">
        <v>2024</v>
      </c>
      <c r="C2958" t="s">
        <v>15</v>
      </c>
      <c r="D2958" s="35">
        <v>9955026.6100000013</v>
      </c>
      <c r="E2958" s="35">
        <v>289781</v>
      </c>
      <c r="F2958" s="35">
        <v>3546338.649999999</v>
      </c>
    </row>
    <row r="2959" spans="1:6" x14ac:dyDescent="0.3">
      <c r="A2959" t="s">
        <v>55</v>
      </c>
      <c r="B2959">
        <v>2024</v>
      </c>
      <c r="C2959" t="s">
        <v>18</v>
      </c>
      <c r="D2959" s="35">
        <v>5712113.9400000013</v>
      </c>
      <c r="E2959" s="35">
        <v>76409</v>
      </c>
      <c r="F2959" s="35">
        <v>4518376.54</v>
      </c>
    </row>
    <row r="2960" spans="1:6" x14ac:dyDescent="0.3">
      <c r="A2960" t="s">
        <v>55</v>
      </c>
      <c r="B2960">
        <v>2025</v>
      </c>
      <c r="C2960" t="s">
        <v>10</v>
      </c>
      <c r="D2960" s="35">
        <v>114317440.77</v>
      </c>
      <c r="E2960" s="35">
        <v>2885988</v>
      </c>
      <c r="F2960" s="35">
        <v>75888321.390000015</v>
      </c>
    </row>
    <row r="2961" spans="1:6" x14ac:dyDescent="0.3">
      <c r="A2961" t="s">
        <v>55</v>
      </c>
      <c r="B2961">
        <v>2025</v>
      </c>
      <c r="C2961" t="s">
        <v>4</v>
      </c>
      <c r="D2961" s="35">
        <v>399252789.11999989</v>
      </c>
      <c r="E2961" s="35">
        <v>907300</v>
      </c>
      <c r="F2961" s="35">
        <v>395193817.89999992</v>
      </c>
    </row>
    <row r="2962" spans="1:6" x14ac:dyDescent="0.3">
      <c r="A2962" t="s">
        <v>55</v>
      </c>
      <c r="B2962">
        <v>2025</v>
      </c>
      <c r="C2962" t="s">
        <v>13</v>
      </c>
      <c r="D2962" s="35">
        <v>45004752.280000001</v>
      </c>
      <c r="E2962" s="35">
        <v>694342</v>
      </c>
      <c r="F2962" s="35">
        <v>33888741.539999999</v>
      </c>
    </row>
    <row r="2963" spans="1:6" x14ac:dyDescent="0.3">
      <c r="A2963" t="s">
        <v>55</v>
      </c>
      <c r="B2963">
        <v>2025</v>
      </c>
      <c r="C2963" t="s">
        <v>16</v>
      </c>
      <c r="D2963" s="35">
        <v>18129943.109999999</v>
      </c>
      <c r="E2963" s="35">
        <v>49562</v>
      </c>
      <c r="F2963" s="35">
        <v>17185720.800000001</v>
      </c>
    </row>
    <row r="2964" spans="1:6" x14ac:dyDescent="0.3">
      <c r="A2964" t="s">
        <v>55</v>
      </c>
      <c r="B2964">
        <v>2025</v>
      </c>
      <c r="C2964" t="s">
        <v>14</v>
      </c>
      <c r="D2964" s="35">
        <v>48866976.390000008</v>
      </c>
      <c r="E2964" s="35">
        <v>1145495</v>
      </c>
      <c r="F2964" s="35">
        <v>31568820.710000001</v>
      </c>
    </row>
    <row r="2965" spans="1:6" x14ac:dyDescent="0.3">
      <c r="A2965" t="s">
        <v>55</v>
      </c>
      <c r="B2965">
        <v>2025</v>
      </c>
      <c r="C2965" t="s">
        <v>7</v>
      </c>
      <c r="D2965" s="35">
        <v>115165481.5</v>
      </c>
      <c r="E2965" s="35">
        <v>34445</v>
      </c>
      <c r="F2965" s="35">
        <v>115027052.51000001</v>
      </c>
    </row>
    <row r="2966" spans="1:6" x14ac:dyDescent="0.3">
      <c r="A2966" t="s">
        <v>55</v>
      </c>
      <c r="B2966">
        <v>2025</v>
      </c>
      <c r="C2966" t="s">
        <v>11</v>
      </c>
      <c r="D2966" s="35">
        <v>60018594.580000013</v>
      </c>
      <c r="E2966" s="35">
        <v>98309</v>
      </c>
      <c r="F2966" s="35">
        <v>58607042.82</v>
      </c>
    </row>
    <row r="2967" spans="1:6" x14ac:dyDescent="0.3">
      <c r="A2967" t="s">
        <v>55</v>
      </c>
      <c r="B2967">
        <v>2025</v>
      </c>
      <c r="C2967" t="s">
        <v>3</v>
      </c>
      <c r="D2967" s="35">
        <v>282365531.54000002</v>
      </c>
      <c r="E2967" s="35">
        <v>530653</v>
      </c>
      <c r="F2967" s="35">
        <v>274382827.41000003</v>
      </c>
    </row>
    <row r="2968" spans="1:6" x14ac:dyDescent="0.3">
      <c r="A2968" t="s">
        <v>55</v>
      </c>
      <c r="B2968">
        <v>2025</v>
      </c>
      <c r="C2968" t="s">
        <v>12</v>
      </c>
      <c r="D2968" s="35">
        <v>77751772.020000011</v>
      </c>
      <c r="E2968" s="35">
        <v>1247014</v>
      </c>
      <c r="F2968" s="35">
        <v>53921435.660000011</v>
      </c>
    </row>
    <row r="2969" spans="1:6" x14ac:dyDescent="0.3">
      <c r="A2969" t="s">
        <v>55</v>
      </c>
      <c r="B2969">
        <v>2025</v>
      </c>
      <c r="C2969" t="s">
        <v>2</v>
      </c>
      <c r="D2969" s="35">
        <v>476500483.5399999</v>
      </c>
      <c r="E2969" s="35">
        <v>4396628</v>
      </c>
      <c r="F2969" s="35">
        <v>402212818.69</v>
      </c>
    </row>
    <row r="2970" spans="1:6" x14ac:dyDescent="0.3">
      <c r="A2970" t="s">
        <v>55</v>
      </c>
      <c r="B2970">
        <v>2025</v>
      </c>
      <c r="C2970" t="s">
        <v>5</v>
      </c>
      <c r="D2970" s="35">
        <v>72806866.040000007</v>
      </c>
      <c r="E2970" s="35">
        <v>38970</v>
      </c>
      <c r="F2970" s="35">
        <v>71159231.550000012</v>
      </c>
    </row>
    <row r="2971" spans="1:6" x14ac:dyDescent="0.3">
      <c r="A2971" t="s">
        <v>55</v>
      </c>
      <c r="B2971">
        <v>2025</v>
      </c>
      <c r="C2971" t="s">
        <v>17</v>
      </c>
      <c r="D2971" s="35">
        <v>5116230.46</v>
      </c>
      <c r="E2971" s="35">
        <v>422555</v>
      </c>
      <c r="F2971" s="35">
        <v>1737015.64</v>
      </c>
    </row>
    <row r="2972" spans="1:6" x14ac:dyDescent="0.3">
      <c r="A2972" t="s">
        <v>55</v>
      </c>
      <c r="B2972">
        <v>2025</v>
      </c>
      <c r="C2972" t="s">
        <v>9</v>
      </c>
      <c r="D2972" s="35">
        <v>75393449.440000013</v>
      </c>
      <c r="E2972" s="35">
        <v>1390120</v>
      </c>
      <c r="F2972" s="35">
        <v>53548629.610000007</v>
      </c>
    </row>
    <row r="2973" spans="1:6" x14ac:dyDescent="0.3">
      <c r="A2973" t="s">
        <v>55</v>
      </c>
      <c r="B2973">
        <v>2025</v>
      </c>
      <c r="C2973" t="s">
        <v>8</v>
      </c>
      <c r="D2973" s="35">
        <v>81078100.710000008</v>
      </c>
      <c r="E2973" s="35">
        <v>3907</v>
      </c>
      <c r="F2973" s="35">
        <v>79988842.600000009</v>
      </c>
    </row>
    <row r="2974" spans="1:6" x14ac:dyDescent="0.3">
      <c r="A2974" t="s">
        <v>55</v>
      </c>
      <c r="B2974">
        <v>2025</v>
      </c>
      <c r="C2974" t="s">
        <v>6</v>
      </c>
      <c r="D2974" s="35">
        <v>151357530.72999999</v>
      </c>
      <c r="E2974" s="35">
        <v>1676899</v>
      </c>
      <c r="F2974" s="35">
        <v>129911312.7</v>
      </c>
    </row>
    <row r="2975" spans="1:6" x14ac:dyDescent="0.3">
      <c r="A2975" t="s">
        <v>55</v>
      </c>
      <c r="B2975">
        <v>2025</v>
      </c>
      <c r="C2975" t="s">
        <v>15</v>
      </c>
      <c r="D2975" s="35">
        <v>11248763.07</v>
      </c>
      <c r="E2975" s="35">
        <v>256280</v>
      </c>
      <c r="F2975" s="35">
        <v>5437142.8300000001</v>
      </c>
    </row>
    <row r="2976" spans="1:6" x14ac:dyDescent="0.3">
      <c r="A2976" t="s">
        <v>55</v>
      </c>
      <c r="B2976">
        <v>2025</v>
      </c>
      <c r="C2976" t="s">
        <v>18</v>
      </c>
      <c r="D2976" s="35">
        <v>7074299.3600000013</v>
      </c>
      <c r="E2976" s="35">
        <v>76213</v>
      </c>
      <c r="F2976" s="35">
        <v>5872099.46</v>
      </c>
    </row>
    <row r="2977" spans="1:6" x14ac:dyDescent="0.3">
      <c r="A2977" t="s">
        <v>56</v>
      </c>
      <c r="B2977">
        <v>2019</v>
      </c>
      <c r="C2977" t="s">
        <v>10</v>
      </c>
      <c r="D2977" s="35">
        <v>20375550.510000002</v>
      </c>
      <c r="E2977" s="35">
        <v>609145</v>
      </c>
      <c r="F2977" s="35">
        <v>12119953.59</v>
      </c>
    </row>
    <row r="2978" spans="1:6" x14ac:dyDescent="0.3">
      <c r="A2978" t="s">
        <v>56</v>
      </c>
      <c r="B2978">
        <v>2019</v>
      </c>
      <c r="C2978" t="s">
        <v>4</v>
      </c>
      <c r="D2978" s="35">
        <v>52304998.470000014</v>
      </c>
      <c r="E2978" s="35">
        <v>154332</v>
      </c>
      <c r="F2978" s="35">
        <v>51620828.190000013</v>
      </c>
    </row>
    <row r="2979" spans="1:6" x14ac:dyDescent="0.3">
      <c r="A2979" t="s">
        <v>56</v>
      </c>
      <c r="B2979">
        <v>2019</v>
      </c>
      <c r="C2979" t="s">
        <v>13</v>
      </c>
      <c r="D2979" s="35">
        <v>24380912.63000001</v>
      </c>
      <c r="E2979" s="35">
        <v>208044</v>
      </c>
      <c r="F2979" s="35">
        <v>19650566.43999999</v>
      </c>
    </row>
    <row r="2980" spans="1:6" x14ac:dyDescent="0.3">
      <c r="A2980" t="s">
        <v>56</v>
      </c>
      <c r="B2980">
        <v>2019</v>
      </c>
      <c r="C2980" t="s">
        <v>16</v>
      </c>
      <c r="D2980" s="35">
        <v>3550909.1400000011</v>
      </c>
      <c r="E2980" s="35">
        <v>25052</v>
      </c>
      <c r="F2980" s="35">
        <v>3102756.459999999</v>
      </c>
    </row>
    <row r="2981" spans="1:6" x14ac:dyDescent="0.3">
      <c r="A2981" t="s">
        <v>56</v>
      </c>
      <c r="B2981">
        <v>2019</v>
      </c>
      <c r="C2981" t="s">
        <v>14</v>
      </c>
      <c r="D2981" s="35">
        <v>11659207.16</v>
      </c>
      <c r="E2981" s="35">
        <v>312409</v>
      </c>
      <c r="F2981" s="35">
        <v>7029082.79</v>
      </c>
    </row>
    <row r="2982" spans="1:6" x14ac:dyDescent="0.3">
      <c r="A2982" t="s">
        <v>56</v>
      </c>
      <c r="B2982">
        <v>2019</v>
      </c>
      <c r="C2982" t="s">
        <v>7</v>
      </c>
      <c r="D2982" s="35">
        <v>27185355.940000001</v>
      </c>
      <c r="E2982" s="35">
        <v>12563</v>
      </c>
      <c r="F2982" s="35">
        <v>27083623.620000001</v>
      </c>
    </row>
    <row r="2983" spans="1:6" x14ac:dyDescent="0.3">
      <c r="A2983" t="s">
        <v>56</v>
      </c>
      <c r="B2983">
        <v>2019</v>
      </c>
      <c r="C2983" t="s">
        <v>11</v>
      </c>
      <c r="D2983" s="35">
        <v>16632193.23</v>
      </c>
      <c r="E2983" s="35">
        <v>33108</v>
      </c>
      <c r="F2983" s="35">
        <v>16348640.49</v>
      </c>
    </row>
    <row r="2984" spans="1:6" x14ac:dyDescent="0.3">
      <c r="A2984" t="s">
        <v>56</v>
      </c>
      <c r="B2984">
        <v>2019</v>
      </c>
      <c r="C2984" t="s">
        <v>3</v>
      </c>
      <c r="D2984" s="35">
        <v>39336660.460000001</v>
      </c>
      <c r="E2984" s="35">
        <v>319735</v>
      </c>
      <c r="F2984" s="35">
        <v>35102093.289999999</v>
      </c>
    </row>
    <row r="2985" spans="1:6" x14ac:dyDescent="0.3">
      <c r="A2985" t="s">
        <v>56</v>
      </c>
      <c r="B2985">
        <v>2019</v>
      </c>
      <c r="C2985" t="s">
        <v>12</v>
      </c>
      <c r="D2985" s="35">
        <v>42567480.080000013</v>
      </c>
      <c r="E2985" s="35">
        <v>956182</v>
      </c>
      <c r="F2985" s="35">
        <v>18951372.280000001</v>
      </c>
    </row>
    <row r="2986" spans="1:6" x14ac:dyDescent="0.3">
      <c r="A2986" t="s">
        <v>56</v>
      </c>
      <c r="B2986">
        <v>2019</v>
      </c>
      <c r="C2986" t="s">
        <v>2</v>
      </c>
      <c r="D2986" s="35">
        <v>149279259.18000001</v>
      </c>
      <c r="E2986" s="35">
        <v>1266960</v>
      </c>
      <c r="F2986" s="35">
        <v>118616425.59</v>
      </c>
    </row>
    <row r="2987" spans="1:6" x14ac:dyDescent="0.3">
      <c r="A2987" t="s">
        <v>56</v>
      </c>
      <c r="B2987">
        <v>2019</v>
      </c>
      <c r="C2987" t="s">
        <v>5</v>
      </c>
      <c r="D2987" s="35">
        <v>15663822.83</v>
      </c>
      <c r="E2987" s="35">
        <v>16089</v>
      </c>
      <c r="F2987" s="35">
        <v>15071788.779999999</v>
      </c>
    </row>
    <row r="2988" spans="1:6" x14ac:dyDescent="0.3">
      <c r="A2988" t="s">
        <v>56</v>
      </c>
      <c r="B2988">
        <v>2019</v>
      </c>
      <c r="C2988" t="s">
        <v>17</v>
      </c>
      <c r="D2988" s="35">
        <v>1278666.94</v>
      </c>
      <c r="E2988" s="35">
        <v>73638</v>
      </c>
      <c r="F2988" s="35">
        <v>218010.25</v>
      </c>
    </row>
    <row r="2989" spans="1:6" x14ac:dyDescent="0.3">
      <c r="A2989" t="s">
        <v>56</v>
      </c>
      <c r="B2989">
        <v>2019</v>
      </c>
      <c r="C2989" t="s">
        <v>9</v>
      </c>
      <c r="D2989" s="35">
        <v>13385968.300000001</v>
      </c>
      <c r="E2989" s="35">
        <v>475217</v>
      </c>
      <c r="F2989" s="35">
        <v>6305822.29</v>
      </c>
    </row>
    <row r="2990" spans="1:6" x14ac:dyDescent="0.3">
      <c r="A2990" t="s">
        <v>56</v>
      </c>
      <c r="B2990">
        <v>2019</v>
      </c>
      <c r="C2990" t="s">
        <v>8</v>
      </c>
      <c r="D2990" s="35">
        <v>11263650.85</v>
      </c>
      <c r="E2990" s="35">
        <v>1571</v>
      </c>
      <c r="F2990" s="35">
        <v>11263650.85</v>
      </c>
    </row>
    <row r="2991" spans="1:6" x14ac:dyDescent="0.3">
      <c r="A2991" t="s">
        <v>56</v>
      </c>
      <c r="B2991">
        <v>2019</v>
      </c>
      <c r="C2991" t="s">
        <v>6</v>
      </c>
      <c r="D2991" s="35">
        <v>41387277.280000009</v>
      </c>
      <c r="E2991" s="35">
        <v>807237</v>
      </c>
      <c r="F2991" s="35">
        <v>28758867.140000001</v>
      </c>
    </row>
    <row r="2992" spans="1:6" x14ac:dyDescent="0.3">
      <c r="A2992" t="s">
        <v>56</v>
      </c>
      <c r="B2992">
        <v>2019</v>
      </c>
      <c r="C2992" t="s">
        <v>15</v>
      </c>
      <c r="D2992" s="35">
        <v>16563440.59</v>
      </c>
      <c r="E2992" s="35">
        <v>373409</v>
      </c>
      <c r="F2992" s="35">
        <v>9732278.2599999998</v>
      </c>
    </row>
    <row r="2993" spans="1:6" x14ac:dyDescent="0.3">
      <c r="A2993" t="s">
        <v>56</v>
      </c>
      <c r="B2993">
        <v>2019</v>
      </c>
      <c r="C2993" t="s">
        <v>18</v>
      </c>
      <c r="D2993" s="35">
        <v>2316247.4900000002</v>
      </c>
      <c r="E2993" s="35">
        <v>20215</v>
      </c>
      <c r="F2993" s="35">
        <v>1230636.8999999999</v>
      </c>
    </row>
    <row r="2994" spans="1:6" x14ac:dyDescent="0.3">
      <c r="A2994" t="s">
        <v>56</v>
      </c>
      <c r="B2994">
        <v>2020</v>
      </c>
      <c r="C2994" t="s">
        <v>10</v>
      </c>
      <c r="D2994" s="35">
        <v>22647456.670000002</v>
      </c>
      <c r="E2994" s="35">
        <v>620086</v>
      </c>
      <c r="F2994" s="35">
        <v>13915121.359999999</v>
      </c>
    </row>
    <row r="2995" spans="1:6" x14ac:dyDescent="0.3">
      <c r="A2995" t="s">
        <v>56</v>
      </c>
      <c r="B2995">
        <v>2020</v>
      </c>
      <c r="C2995" t="s">
        <v>4</v>
      </c>
      <c r="D2995" s="35">
        <v>51485310.289999999</v>
      </c>
      <c r="E2995" s="35">
        <v>151101</v>
      </c>
      <c r="F2995" s="35">
        <v>50784415.450000003</v>
      </c>
    </row>
    <row r="2996" spans="1:6" x14ac:dyDescent="0.3">
      <c r="A2996" t="s">
        <v>56</v>
      </c>
      <c r="B2996">
        <v>2020</v>
      </c>
      <c r="C2996" t="s">
        <v>13</v>
      </c>
      <c r="D2996" s="35">
        <v>23373532.489999991</v>
      </c>
      <c r="E2996" s="35">
        <v>200851</v>
      </c>
      <c r="F2996" s="35">
        <v>18163953.949999999</v>
      </c>
    </row>
    <row r="2997" spans="1:6" x14ac:dyDescent="0.3">
      <c r="A2997" t="s">
        <v>56</v>
      </c>
      <c r="B2997">
        <v>2020</v>
      </c>
      <c r="C2997" t="s">
        <v>16</v>
      </c>
      <c r="D2997" s="35">
        <v>2531418.5099999998</v>
      </c>
      <c r="E2997" s="35">
        <v>24266</v>
      </c>
      <c r="F2997" s="35">
        <v>1925100.43</v>
      </c>
    </row>
    <row r="2998" spans="1:6" x14ac:dyDescent="0.3">
      <c r="A2998" t="s">
        <v>56</v>
      </c>
      <c r="B2998">
        <v>2020</v>
      </c>
      <c r="C2998" t="s">
        <v>14</v>
      </c>
      <c r="D2998" s="35">
        <v>13382545.09</v>
      </c>
      <c r="E2998" s="35">
        <v>294370</v>
      </c>
      <c r="F2998" s="35">
        <v>8048067.6700000018</v>
      </c>
    </row>
    <row r="2999" spans="1:6" x14ac:dyDescent="0.3">
      <c r="A2999" t="s">
        <v>56</v>
      </c>
      <c r="B2999">
        <v>2020</v>
      </c>
      <c r="C2999" t="s">
        <v>7</v>
      </c>
      <c r="D2999" s="35">
        <v>27943228.43</v>
      </c>
      <c r="E2999" s="35">
        <v>10963</v>
      </c>
      <c r="F2999" s="35">
        <v>27815286.629999999</v>
      </c>
    </row>
    <row r="3000" spans="1:6" x14ac:dyDescent="0.3">
      <c r="A3000" t="s">
        <v>56</v>
      </c>
      <c r="B3000">
        <v>2020</v>
      </c>
      <c r="C3000" t="s">
        <v>11</v>
      </c>
      <c r="D3000" s="35">
        <v>14151360.32</v>
      </c>
      <c r="E3000" s="35">
        <v>13279</v>
      </c>
      <c r="F3000" s="35">
        <v>12658297.34</v>
      </c>
    </row>
    <row r="3001" spans="1:6" x14ac:dyDescent="0.3">
      <c r="A3001" t="s">
        <v>56</v>
      </c>
      <c r="B3001">
        <v>2020</v>
      </c>
      <c r="C3001" t="s">
        <v>3</v>
      </c>
      <c r="D3001" s="35">
        <v>49277907.210000008</v>
      </c>
      <c r="E3001" s="35">
        <v>237868</v>
      </c>
      <c r="F3001" s="35">
        <v>45470961.129999988</v>
      </c>
    </row>
    <row r="3002" spans="1:6" x14ac:dyDescent="0.3">
      <c r="A3002" t="s">
        <v>56</v>
      </c>
      <c r="B3002">
        <v>2020</v>
      </c>
      <c r="C3002" t="s">
        <v>12</v>
      </c>
      <c r="D3002" s="35">
        <v>26590547.59</v>
      </c>
      <c r="E3002" s="35">
        <v>686893</v>
      </c>
      <c r="F3002" s="35">
        <v>11966065.869999999</v>
      </c>
    </row>
    <row r="3003" spans="1:6" x14ac:dyDescent="0.3">
      <c r="A3003" t="s">
        <v>56</v>
      </c>
      <c r="B3003">
        <v>2020</v>
      </c>
      <c r="C3003" t="s">
        <v>2</v>
      </c>
      <c r="D3003" s="35">
        <v>143228581.19999999</v>
      </c>
      <c r="E3003" s="35">
        <v>1208330</v>
      </c>
      <c r="F3003" s="35">
        <v>114164592.73999999</v>
      </c>
    </row>
    <row r="3004" spans="1:6" x14ac:dyDescent="0.3">
      <c r="A3004" t="s">
        <v>56</v>
      </c>
      <c r="B3004">
        <v>2020</v>
      </c>
      <c r="C3004" t="s">
        <v>5</v>
      </c>
      <c r="D3004" s="35">
        <v>14758150.51</v>
      </c>
      <c r="E3004" s="35">
        <v>14719</v>
      </c>
      <c r="F3004" s="35">
        <v>14257647.279999999</v>
      </c>
    </row>
    <row r="3005" spans="1:6" x14ac:dyDescent="0.3">
      <c r="A3005" t="s">
        <v>56</v>
      </c>
      <c r="B3005">
        <v>2020</v>
      </c>
      <c r="C3005" t="s">
        <v>17</v>
      </c>
      <c r="D3005" s="35">
        <v>1316638.3</v>
      </c>
      <c r="E3005" s="35">
        <v>71680</v>
      </c>
      <c r="F3005" s="35">
        <v>204309.74</v>
      </c>
    </row>
    <row r="3006" spans="1:6" x14ac:dyDescent="0.3">
      <c r="A3006" t="s">
        <v>56</v>
      </c>
      <c r="B3006">
        <v>2020</v>
      </c>
      <c r="C3006" t="s">
        <v>9</v>
      </c>
      <c r="D3006" s="35">
        <v>12412597.18</v>
      </c>
      <c r="E3006" s="35">
        <v>404140</v>
      </c>
      <c r="F3006" s="35">
        <v>4725989.9900000012</v>
      </c>
    </row>
    <row r="3007" spans="1:6" x14ac:dyDescent="0.3">
      <c r="A3007" t="s">
        <v>56</v>
      </c>
      <c r="B3007">
        <v>2020</v>
      </c>
      <c r="C3007" t="s">
        <v>8</v>
      </c>
      <c r="D3007" s="35">
        <v>13702429.369999999</v>
      </c>
      <c r="E3007" s="35">
        <v>1781</v>
      </c>
      <c r="F3007" s="35">
        <v>13702429.369999999</v>
      </c>
    </row>
    <row r="3008" spans="1:6" x14ac:dyDescent="0.3">
      <c r="A3008" t="s">
        <v>56</v>
      </c>
      <c r="B3008">
        <v>2020</v>
      </c>
      <c r="C3008" t="s">
        <v>6</v>
      </c>
      <c r="D3008" s="35">
        <v>37579531.969999999</v>
      </c>
      <c r="E3008" s="35">
        <v>731842</v>
      </c>
      <c r="F3008" s="35">
        <v>26681482.460000001</v>
      </c>
    </row>
    <row r="3009" spans="1:6" x14ac:dyDescent="0.3">
      <c r="A3009" t="s">
        <v>56</v>
      </c>
      <c r="B3009">
        <v>2020</v>
      </c>
      <c r="C3009" t="s">
        <v>15</v>
      </c>
      <c r="D3009" s="35">
        <v>8775230.5899999999</v>
      </c>
      <c r="E3009" s="35">
        <v>243146</v>
      </c>
      <c r="F3009" s="35">
        <v>3811916.69</v>
      </c>
    </row>
    <row r="3010" spans="1:6" x14ac:dyDescent="0.3">
      <c r="A3010" t="s">
        <v>56</v>
      </c>
      <c r="B3010">
        <v>2020</v>
      </c>
      <c r="C3010" t="s">
        <v>18</v>
      </c>
      <c r="D3010" s="35">
        <v>1673017.08</v>
      </c>
      <c r="E3010" s="35">
        <v>15238</v>
      </c>
      <c r="F3010" s="35">
        <v>693871.11</v>
      </c>
    </row>
    <row r="3011" spans="1:6" x14ac:dyDescent="0.3">
      <c r="A3011" t="s">
        <v>56</v>
      </c>
      <c r="B3011">
        <v>2021</v>
      </c>
      <c r="C3011" t="s">
        <v>10</v>
      </c>
      <c r="D3011" s="35">
        <v>26444659.850000001</v>
      </c>
      <c r="E3011" s="35">
        <v>640321</v>
      </c>
      <c r="F3011" s="35">
        <v>17419399.149999999</v>
      </c>
    </row>
    <row r="3012" spans="1:6" x14ac:dyDescent="0.3">
      <c r="A3012" t="s">
        <v>56</v>
      </c>
      <c r="B3012">
        <v>2021</v>
      </c>
      <c r="C3012" t="s">
        <v>4</v>
      </c>
      <c r="D3012" s="35">
        <v>58840404.12999998</v>
      </c>
      <c r="E3012" s="35">
        <v>160238</v>
      </c>
      <c r="F3012" s="35">
        <v>57983282.63000001</v>
      </c>
    </row>
    <row r="3013" spans="1:6" x14ac:dyDescent="0.3">
      <c r="A3013" t="s">
        <v>56</v>
      </c>
      <c r="B3013">
        <v>2021</v>
      </c>
      <c r="C3013" t="s">
        <v>13</v>
      </c>
      <c r="D3013" s="35">
        <v>24516808.98</v>
      </c>
      <c r="E3013" s="35">
        <v>223635</v>
      </c>
      <c r="F3013" s="35">
        <v>18512556.91</v>
      </c>
    </row>
    <row r="3014" spans="1:6" x14ac:dyDescent="0.3">
      <c r="A3014" t="s">
        <v>56</v>
      </c>
      <c r="B3014">
        <v>2021</v>
      </c>
      <c r="C3014" t="s">
        <v>16</v>
      </c>
      <c r="D3014" s="35">
        <v>2873907.6199999992</v>
      </c>
      <c r="E3014" s="35">
        <v>25942</v>
      </c>
      <c r="F3014" s="35">
        <v>2191722.7000000002</v>
      </c>
    </row>
    <row r="3015" spans="1:6" x14ac:dyDescent="0.3">
      <c r="A3015" t="s">
        <v>56</v>
      </c>
      <c r="B3015">
        <v>2021</v>
      </c>
      <c r="C3015" t="s">
        <v>14</v>
      </c>
      <c r="D3015" s="35">
        <v>14473202.289999999</v>
      </c>
      <c r="E3015" s="35">
        <v>330039</v>
      </c>
      <c r="F3015" s="35">
        <v>8350432.3100000015</v>
      </c>
    </row>
    <row r="3016" spans="1:6" x14ac:dyDescent="0.3">
      <c r="A3016" t="s">
        <v>56</v>
      </c>
      <c r="B3016">
        <v>2021</v>
      </c>
      <c r="C3016" t="s">
        <v>7</v>
      </c>
      <c r="D3016" s="35">
        <v>29664820.359999999</v>
      </c>
      <c r="E3016" s="35">
        <v>10685</v>
      </c>
      <c r="F3016" s="35">
        <v>29502994.449999999</v>
      </c>
    </row>
    <row r="3017" spans="1:6" x14ac:dyDescent="0.3">
      <c r="A3017" t="s">
        <v>56</v>
      </c>
      <c r="B3017">
        <v>2021</v>
      </c>
      <c r="C3017" t="s">
        <v>11</v>
      </c>
      <c r="D3017" s="35">
        <v>18308932.73</v>
      </c>
      <c r="E3017" s="35">
        <v>15292</v>
      </c>
      <c r="F3017" s="35">
        <v>14435614.23</v>
      </c>
    </row>
    <row r="3018" spans="1:6" x14ac:dyDescent="0.3">
      <c r="A3018" t="s">
        <v>56</v>
      </c>
      <c r="B3018">
        <v>2021</v>
      </c>
      <c r="C3018" t="s">
        <v>3</v>
      </c>
      <c r="D3018" s="35">
        <v>70884715.019999996</v>
      </c>
      <c r="E3018" s="35">
        <v>307317</v>
      </c>
      <c r="F3018" s="35">
        <v>66432187.330000013</v>
      </c>
    </row>
    <row r="3019" spans="1:6" x14ac:dyDescent="0.3">
      <c r="A3019" t="s">
        <v>56</v>
      </c>
      <c r="B3019">
        <v>2021</v>
      </c>
      <c r="C3019" t="s">
        <v>12</v>
      </c>
      <c r="D3019" s="35">
        <v>26726758.309999999</v>
      </c>
      <c r="E3019" s="35">
        <v>793056</v>
      </c>
      <c r="F3019" s="35">
        <v>11985340.529999999</v>
      </c>
    </row>
    <row r="3020" spans="1:6" x14ac:dyDescent="0.3">
      <c r="A3020" t="s">
        <v>56</v>
      </c>
      <c r="B3020">
        <v>2021</v>
      </c>
      <c r="C3020" t="s">
        <v>2</v>
      </c>
      <c r="D3020" s="35">
        <v>140791025.84</v>
      </c>
      <c r="E3020" s="35">
        <v>1233343</v>
      </c>
      <c r="F3020" s="35">
        <v>114270826.87</v>
      </c>
    </row>
    <row r="3021" spans="1:6" x14ac:dyDescent="0.3">
      <c r="A3021" t="s">
        <v>56</v>
      </c>
      <c r="B3021">
        <v>2021</v>
      </c>
      <c r="C3021" t="s">
        <v>5</v>
      </c>
      <c r="D3021" s="35">
        <v>16308236.93</v>
      </c>
      <c r="E3021" s="35">
        <v>15921</v>
      </c>
      <c r="F3021" s="35">
        <v>15802107.789999999</v>
      </c>
    </row>
    <row r="3022" spans="1:6" x14ac:dyDescent="0.3">
      <c r="A3022" t="s">
        <v>56</v>
      </c>
      <c r="B3022">
        <v>2021</v>
      </c>
      <c r="C3022" t="s">
        <v>17</v>
      </c>
      <c r="D3022" s="35">
        <v>1185092.56</v>
      </c>
      <c r="E3022" s="35">
        <v>69710</v>
      </c>
      <c r="F3022" s="35">
        <v>129736.05</v>
      </c>
    </row>
    <row r="3023" spans="1:6" x14ac:dyDescent="0.3">
      <c r="A3023" t="s">
        <v>56</v>
      </c>
      <c r="B3023">
        <v>2021</v>
      </c>
      <c r="C3023" t="s">
        <v>9</v>
      </c>
      <c r="D3023" s="35">
        <v>11942751.74</v>
      </c>
      <c r="E3023" s="35">
        <v>421372</v>
      </c>
      <c r="F3023" s="35">
        <v>3875371.669999999</v>
      </c>
    </row>
    <row r="3024" spans="1:6" x14ac:dyDescent="0.3">
      <c r="A3024" t="s">
        <v>56</v>
      </c>
      <c r="B3024">
        <v>2021</v>
      </c>
      <c r="C3024" t="s">
        <v>8</v>
      </c>
      <c r="D3024" s="35">
        <v>29578289.07</v>
      </c>
      <c r="E3024" s="35">
        <v>2053</v>
      </c>
      <c r="F3024" s="35">
        <v>29540444.079999998</v>
      </c>
    </row>
    <row r="3025" spans="1:6" x14ac:dyDescent="0.3">
      <c r="A3025" t="s">
        <v>56</v>
      </c>
      <c r="B3025">
        <v>2021</v>
      </c>
      <c r="C3025" t="s">
        <v>6</v>
      </c>
      <c r="D3025" s="35">
        <v>42850696.06000001</v>
      </c>
      <c r="E3025" s="35">
        <v>760138</v>
      </c>
      <c r="F3025" s="35">
        <v>31750564.48</v>
      </c>
    </row>
    <row r="3026" spans="1:6" x14ac:dyDescent="0.3">
      <c r="A3026" t="s">
        <v>56</v>
      </c>
      <c r="B3026">
        <v>2021</v>
      </c>
      <c r="C3026" t="s">
        <v>15</v>
      </c>
      <c r="D3026" s="35">
        <v>7409723.9500000002</v>
      </c>
      <c r="E3026" s="35">
        <v>230417</v>
      </c>
      <c r="F3026" s="35">
        <v>2879611.27</v>
      </c>
    </row>
    <row r="3027" spans="1:6" x14ac:dyDescent="0.3">
      <c r="A3027" t="s">
        <v>56</v>
      </c>
      <c r="B3027">
        <v>2021</v>
      </c>
      <c r="C3027" t="s">
        <v>18</v>
      </c>
      <c r="D3027" s="35">
        <v>1546587.57</v>
      </c>
      <c r="E3027" s="35">
        <v>15003</v>
      </c>
      <c r="F3027" s="35">
        <v>774103.71</v>
      </c>
    </row>
    <row r="3028" spans="1:6" x14ac:dyDescent="0.3">
      <c r="A3028" t="s">
        <v>56</v>
      </c>
      <c r="B3028">
        <v>2022</v>
      </c>
      <c r="C3028" t="s">
        <v>10</v>
      </c>
      <c r="D3028" s="35">
        <v>28714099.309999991</v>
      </c>
      <c r="E3028" s="35">
        <v>646441</v>
      </c>
      <c r="F3028" s="35">
        <v>19691770.420000002</v>
      </c>
    </row>
    <row r="3029" spans="1:6" x14ac:dyDescent="0.3">
      <c r="A3029" t="s">
        <v>56</v>
      </c>
      <c r="B3029">
        <v>2022</v>
      </c>
      <c r="C3029" t="s">
        <v>4</v>
      </c>
      <c r="D3029" s="35">
        <v>67407630.640000001</v>
      </c>
      <c r="E3029" s="35">
        <v>170576</v>
      </c>
      <c r="F3029" s="35">
        <v>66708246.43999999</v>
      </c>
    </row>
    <row r="3030" spans="1:6" x14ac:dyDescent="0.3">
      <c r="A3030" t="s">
        <v>56</v>
      </c>
      <c r="B3030">
        <v>2022</v>
      </c>
      <c r="C3030" t="s">
        <v>13</v>
      </c>
      <c r="D3030" s="35">
        <v>27137115.539999999</v>
      </c>
      <c r="E3030" s="35">
        <v>262720</v>
      </c>
      <c r="F3030" s="35">
        <v>19125560.670000002</v>
      </c>
    </row>
    <row r="3031" spans="1:6" x14ac:dyDescent="0.3">
      <c r="A3031" t="s">
        <v>56</v>
      </c>
      <c r="B3031">
        <v>2022</v>
      </c>
      <c r="C3031" t="s">
        <v>16</v>
      </c>
      <c r="D3031" s="35">
        <v>4731462.74</v>
      </c>
      <c r="E3031" s="35">
        <v>31624</v>
      </c>
      <c r="F3031" s="35">
        <v>4114942.27</v>
      </c>
    </row>
    <row r="3032" spans="1:6" x14ac:dyDescent="0.3">
      <c r="A3032" t="s">
        <v>56</v>
      </c>
      <c r="B3032">
        <v>2022</v>
      </c>
      <c r="C3032" t="s">
        <v>14</v>
      </c>
      <c r="D3032" s="35">
        <v>17184782.640000001</v>
      </c>
      <c r="E3032" s="35">
        <v>383055</v>
      </c>
      <c r="F3032" s="35">
        <v>10255983.18</v>
      </c>
    </row>
    <row r="3033" spans="1:6" x14ac:dyDescent="0.3">
      <c r="A3033" t="s">
        <v>56</v>
      </c>
      <c r="B3033">
        <v>2022</v>
      </c>
      <c r="C3033" t="s">
        <v>7</v>
      </c>
      <c r="D3033" s="35">
        <v>28030429.530000001</v>
      </c>
      <c r="E3033" s="35">
        <v>9849</v>
      </c>
      <c r="F3033" s="35">
        <v>27915821.469999999</v>
      </c>
    </row>
    <row r="3034" spans="1:6" x14ac:dyDescent="0.3">
      <c r="A3034" t="s">
        <v>56</v>
      </c>
      <c r="B3034">
        <v>2022</v>
      </c>
      <c r="C3034" t="s">
        <v>11</v>
      </c>
      <c r="D3034" s="35">
        <v>17127213.16</v>
      </c>
      <c r="E3034" s="35">
        <v>16510</v>
      </c>
      <c r="F3034" s="35">
        <v>16030643.99</v>
      </c>
    </row>
    <row r="3035" spans="1:6" x14ac:dyDescent="0.3">
      <c r="A3035" t="s">
        <v>56</v>
      </c>
      <c r="B3035">
        <v>2022</v>
      </c>
      <c r="C3035" t="s">
        <v>3</v>
      </c>
      <c r="D3035" s="35">
        <v>98588175.289999992</v>
      </c>
      <c r="E3035" s="35">
        <v>369117</v>
      </c>
      <c r="F3035" s="35">
        <v>93113241.540000021</v>
      </c>
    </row>
    <row r="3036" spans="1:6" x14ac:dyDescent="0.3">
      <c r="A3036" t="s">
        <v>56</v>
      </c>
      <c r="B3036">
        <v>2022</v>
      </c>
      <c r="C3036" t="s">
        <v>12</v>
      </c>
      <c r="D3036" s="35">
        <v>33428125.379999999</v>
      </c>
      <c r="E3036" s="35">
        <v>1014479</v>
      </c>
      <c r="F3036" s="35">
        <v>12983291.91</v>
      </c>
    </row>
    <row r="3037" spans="1:6" x14ac:dyDescent="0.3">
      <c r="A3037" t="s">
        <v>56</v>
      </c>
      <c r="B3037">
        <v>2022</v>
      </c>
      <c r="C3037" t="s">
        <v>2</v>
      </c>
      <c r="D3037" s="35">
        <v>152974374.8199999</v>
      </c>
      <c r="E3037" s="35">
        <v>1363797</v>
      </c>
      <c r="F3037" s="35">
        <v>124460849.23999999</v>
      </c>
    </row>
    <row r="3038" spans="1:6" x14ac:dyDescent="0.3">
      <c r="A3038" t="s">
        <v>56</v>
      </c>
      <c r="B3038">
        <v>2022</v>
      </c>
      <c r="C3038" t="s">
        <v>5</v>
      </c>
      <c r="D3038" s="35">
        <v>16660957.82</v>
      </c>
      <c r="E3038" s="35">
        <v>18916</v>
      </c>
      <c r="F3038" s="35">
        <v>16075481.25</v>
      </c>
    </row>
    <row r="3039" spans="1:6" x14ac:dyDescent="0.3">
      <c r="A3039" t="s">
        <v>56</v>
      </c>
      <c r="B3039">
        <v>2022</v>
      </c>
      <c r="C3039" t="s">
        <v>17</v>
      </c>
      <c r="D3039" s="35">
        <v>1418959.28</v>
      </c>
      <c r="E3039" s="35">
        <v>82594</v>
      </c>
      <c r="F3039" s="35">
        <v>136905.94</v>
      </c>
    </row>
    <row r="3040" spans="1:6" x14ac:dyDescent="0.3">
      <c r="A3040" t="s">
        <v>56</v>
      </c>
      <c r="B3040">
        <v>2022</v>
      </c>
      <c r="C3040" t="s">
        <v>9</v>
      </c>
      <c r="D3040" s="35">
        <v>13609572.060000001</v>
      </c>
      <c r="E3040" s="35">
        <v>458406</v>
      </c>
      <c r="F3040" s="35">
        <v>6305423.3999999994</v>
      </c>
    </row>
    <row r="3041" spans="1:6" x14ac:dyDescent="0.3">
      <c r="A3041" t="s">
        <v>56</v>
      </c>
      <c r="B3041">
        <v>2022</v>
      </c>
      <c r="C3041" t="s">
        <v>8</v>
      </c>
      <c r="D3041" s="35">
        <v>40068620.229999989</v>
      </c>
      <c r="E3041" s="35">
        <v>2686</v>
      </c>
      <c r="F3041" s="35">
        <v>40025927.950000003</v>
      </c>
    </row>
    <row r="3042" spans="1:6" x14ac:dyDescent="0.3">
      <c r="A3042" t="s">
        <v>56</v>
      </c>
      <c r="B3042">
        <v>2022</v>
      </c>
      <c r="C3042" t="s">
        <v>6</v>
      </c>
      <c r="D3042" s="35">
        <v>49826295.020000003</v>
      </c>
      <c r="E3042" s="35">
        <v>873076</v>
      </c>
      <c r="F3042" s="35">
        <v>37795514.819999993</v>
      </c>
    </row>
    <row r="3043" spans="1:6" x14ac:dyDescent="0.3">
      <c r="A3043" t="s">
        <v>56</v>
      </c>
      <c r="B3043">
        <v>2022</v>
      </c>
      <c r="C3043" t="s">
        <v>15</v>
      </c>
      <c r="D3043" s="35">
        <v>7542088.3500000006</v>
      </c>
      <c r="E3043" s="35">
        <v>240447</v>
      </c>
      <c r="F3043" s="35">
        <v>2989328.3</v>
      </c>
    </row>
    <row r="3044" spans="1:6" x14ac:dyDescent="0.3">
      <c r="A3044" t="s">
        <v>56</v>
      </c>
      <c r="B3044">
        <v>2022</v>
      </c>
      <c r="C3044" t="s">
        <v>18</v>
      </c>
      <c r="D3044" s="35">
        <v>1602815.32</v>
      </c>
      <c r="E3044" s="35">
        <v>18825</v>
      </c>
      <c r="F3044" s="35">
        <v>449771.72</v>
      </c>
    </row>
    <row r="3045" spans="1:6" x14ac:dyDescent="0.3">
      <c r="A3045" t="s">
        <v>56</v>
      </c>
      <c r="B3045">
        <v>2023</v>
      </c>
      <c r="C3045" t="s">
        <v>10</v>
      </c>
      <c r="D3045" s="35">
        <v>30233025.199999999</v>
      </c>
      <c r="E3045" s="35">
        <v>627975</v>
      </c>
      <c r="F3045" s="35">
        <v>21818795.850000009</v>
      </c>
    </row>
    <row r="3046" spans="1:6" x14ac:dyDescent="0.3">
      <c r="A3046" t="s">
        <v>56</v>
      </c>
      <c r="B3046">
        <v>2023</v>
      </c>
      <c r="C3046" t="s">
        <v>4</v>
      </c>
      <c r="D3046" s="35">
        <v>78952805.699999988</v>
      </c>
      <c r="E3046" s="35">
        <v>177940</v>
      </c>
      <c r="F3046" s="35">
        <v>78317121.179999992</v>
      </c>
    </row>
    <row r="3047" spans="1:6" x14ac:dyDescent="0.3">
      <c r="A3047" t="s">
        <v>56</v>
      </c>
      <c r="B3047">
        <v>2023</v>
      </c>
      <c r="C3047" t="s">
        <v>13</v>
      </c>
      <c r="D3047" s="35">
        <v>21579398.710000001</v>
      </c>
      <c r="E3047" s="35">
        <v>263939</v>
      </c>
      <c r="F3047" s="35">
        <v>14744352.390000001</v>
      </c>
    </row>
    <row r="3048" spans="1:6" x14ac:dyDescent="0.3">
      <c r="A3048" t="s">
        <v>56</v>
      </c>
      <c r="B3048">
        <v>2023</v>
      </c>
      <c r="C3048" t="s">
        <v>16</v>
      </c>
      <c r="D3048" s="35">
        <v>5015340.6900000013</v>
      </c>
      <c r="E3048" s="35">
        <v>31434</v>
      </c>
      <c r="F3048" s="35">
        <v>4441390.16</v>
      </c>
    </row>
    <row r="3049" spans="1:6" x14ac:dyDescent="0.3">
      <c r="A3049" t="s">
        <v>56</v>
      </c>
      <c r="B3049">
        <v>2023</v>
      </c>
      <c r="C3049" t="s">
        <v>14</v>
      </c>
      <c r="D3049" s="35">
        <v>17240777.420000009</v>
      </c>
      <c r="E3049" s="35">
        <v>382833</v>
      </c>
      <c r="F3049" s="35">
        <v>10282873.32</v>
      </c>
    </row>
    <row r="3050" spans="1:6" x14ac:dyDescent="0.3">
      <c r="A3050" t="s">
        <v>56</v>
      </c>
      <c r="B3050">
        <v>2023</v>
      </c>
      <c r="C3050" t="s">
        <v>7</v>
      </c>
      <c r="D3050" s="35">
        <v>26181615.379999999</v>
      </c>
      <c r="E3050" s="35">
        <v>8367</v>
      </c>
      <c r="F3050" s="35">
        <v>26151866.68</v>
      </c>
    </row>
    <row r="3051" spans="1:6" x14ac:dyDescent="0.3">
      <c r="A3051" t="s">
        <v>56</v>
      </c>
      <c r="B3051">
        <v>2023</v>
      </c>
      <c r="C3051" t="s">
        <v>11</v>
      </c>
      <c r="D3051" s="35">
        <v>17469508.620000001</v>
      </c>
      <c r="E3051" s="35">
        <v>18702</v>
      </c>
      <c r="F3051" s="35">
        <v>16562935.99</v>
      </c>
    </row>
    <row r="3052" spans="1:6" x14ac:dyDescent="0.3">
      <c r="A3052" t="s">
        <v>56</v>
      </c>
      <c r="B3052">
        <v>2023</v>
      </c>
      <c r="C3052" t="s">
        <v>3</v>
      </c>
      <c r="D3052" s="35">
        <v>119410751.34999999</v>
      </c>
      <c r="E3052" s="35">
        <v>417255</v>
      </c>
      <c r="F3052" s="35">
        <v>113395610.98999999</v>
      </c>
    </row>
    <row r="3053" spans="1:6" x14ac:dyDescent="0.3">
      <c r="A3053" t="s">
        <v>56</v>
      </c>
      <c r="B3053">
        <v>2023</v>
      </c>
      <c r="C3053" t="s">
        <v>12</v>
      </c>
      <c r="D3053" s="35">
        <v>33215179.550000008</v>
      </c>
      <c r="E3053" s="35">
        <v>1090741</v>
      </c>
      <c r="F3053" s="35">
        <v>12639751.609999999</v>
      </c>
    </row>
    <row r="3054" spans="1:6" x14ac:dyDescent="0.3">
      <c r="A3054" t="s">
        <v>56</v>
      </c>
      <c r="B3054">
        <v>2023</v>
      </c>
      <c r="C3054" t="s">
        <v>2</v>
      </c>
      <c r="D3054" s="35">
        <v>151803831.75</v>
      </c>
      <c r="E3054" s="35">
        <v>1375545</v>
      </c>
      <c r="F3054" s="35">
        <v>121656756.67</v>
      </c>
    </row>
    <row r="3055" spans="1:6" x14ac:dyDescent="0.3">
      <c r="A3055" t="s">
        <v>56</v>
      </c>
      <c r="B3055">
        <v>2023</v>
      </c>
      <c r="C3055" t="s">
        <v>5</v>
      </c>
      <c r="D3055" s="35">
        <v>16353382.17</v>
      </c>
      <c r="E3055" s="35">
        <v>27235</v>
      </c>
      <c r="F3055" s="35">
        <v>15586101.619999999</v>
      </c>
    </row>
    <row r="3056" spans="1:6" x14ac:dyDescent="0.3">
      <c r="A3056" t="s">
        <v>56</v>
      </c>
      <c r="B3056">
        <v>2023</v>
      </c>
      <c r="C3056" t="s">
        <v>17</v>
      </c>
      <c r="D3056" s="35">
        <v>1533519.38</v>
      </c>
      <c r="E3056" s="35">
        <v>93705</v>
      </c>
      <c r="F3056" s="35">
        <v>225015.07</v>
      </c>
    </row>
    <row r="3057" spans="1:6" x14ac:dyDescent="0.3">
      <c r="A3057" t="s">
        <v>56</v>
      </c>
      <c r="B3057">
        <v>2023</v>
      </c>
      <c r="C3057" t="s">
        <v>9</v>
      </c>
      <c r="D3057" s="35">
        <v>13464043.449999999</v>
      </c>
      <c r="E3057" s="35">
        <v>467070</v>
      </c>
      <c r="F3057" s="35">
        <v>6524385.7000000002</v>
      </c>
    </row>
    <row r="3058" spans="1:6" x14ac:dyDescent="0.3">
      <c r="A3058" t="s">
        <v>56</v>
      </c>
      <c r="B3058">
        <v>2023</v>
      </c>
      <c r="C3058" t="s">
        <v>8</v>
      </c>
      <c r="D3058" s="35">
        <v>40902196.959999993</v>
      </c>
      <c r="E3058" s="35">
        <v>2668</v>
      </c>
      <c r="F3058" s="35">
        <v>40810188.770000003</v>
      </c>
    </row>
    <row r="3059" spans="1:6" x14ac:dyDescent="0.3">
      <c r="A3059" t="s">
        <v>56</v>
      </c>
      <c r="B3059">
        <v>2023</v>
      </c>
      <c r="C3059" t="s">
        <v>6</v>
      </c>
      <c r="D3059" s="35">
        <v>50014529.810000002</v>
      </c>
      <c r="E3059" s="35">
        <v>890938</v>
      </c>
      <c r="F3059" s="35">
        <v>36863405.930000007</v>
      </c>
    </row>
    <row r="3060" spans="1:6" x14ac:dyDescent="0.3">
      <c r="A3060" t="s">
        <v>56</v>
      </c>
      <c r="B3060">
        <v>2023</v>
      </c>
      <c r="C3060" t="s">
        <v>15</v>
      </c>
      <c r="D3060" s="35">
        <v>5187347.8599999994</v>
      </c>
      <c r="E3060" s="35">
        <v>206142</v>
      </c>
      <c r="F3060" s="35">
        <v>1413398.03</v>
      </c>
    </row>
    <row r="3061" spans="1:6" x14ac:dyDescent="0.3">
      <c r="A3061" t="s">
        <v>56</v>
      </c>
      <c r="B3061">
        <v>2023</v>
      </c>
      <c r="C3061" t="s">
        <v>18</v>
      </c>
      <c r="D3061" s="35">
        <v>1281388.23</v>
      </c>
      <c r="E3061" s="35">
        <v>14983</v>
      </c>
      <c r="F3061" s="35">
        <v>981827.71</v>
      </c>
    </row>
    <row r="3062" spans="1:6" x14ac:dyDescent="0.3">
      <c r="A3062" t="s">
        <v>56</v>
      </c>
      <c r="B3062">
        <v>2024</v>
      </c>
      <c r="C3062" t="s">
        <v>10</v>
      </c>
      <c r="D3062" s="35">
        <v>27320700.5</v>
      </c>
      <c r="E3062" s="35">
        <v>559248</v>
      </c>
      <c r="F3062" s="35">
        <v>20106578.149999999</v>
      </c>
    </row>
    <row r="3063" spans="1:6" x14ac:dyDescent="0.3">
      <c r="A3063" t="s">
        <v>56</v>
      </c>
      <c r="B3063">
        <v>2024</v>
      </c>
      <c r="C3063" t="s">
        <v>4</v>
      </c>
      <c r="D3063" s="35">
        <v>79561220.219999999</v>
      </c>
      <c r="E3063" s="35">
        <v>171258</v>
      </c>
      <c r="F3063" s="35">
        <v>79008162.819999993</v>
      </c>
    </row>
    <row r="3064" spans="1:6" x14ac:dyDescent="0.3">
      <c r="A3064" t="s">
        <v>56</v>
      </c>
      <c r="B3064">
        <v>2024</v>
      </c>
      <c r="C3064" t="s">
        <v>13</v>
      </c>
      <c r="D3064" s="35">
        <v>18224204.169999991</v>
      </c>
      <c r="E3064" s="35">
        <v>217025</v>
      </c>
      <c r="F3064" s="35">
        <v>13010011.07</v>
      </c>
    </row>
    <row r="3065" spans="1:6" x14ac:dyDescent="0.3">
      <c r="A3065" t="s">
        <v>56</v>
      </c>
      <c r="B3065">
        <v>2024</v>
      </c>
      <c r="C3065" t="s">
        <v>16</v>
      </c>
      <c r="D3065" s="35">
        <v>4344175.63</v>
      </c>
      <c r="E3065" s="35">
        <v>26528</v>
      </c>
      <c r="F3065" s="35">
        <v>3775166.13</v>
      </c>
    </row>
    <row r="3066" spans="1:6" x14ac:dyDescent="0.3">
      <c r="A3066" t="s">
        <v>56</v>
      </c>
      <c r="B3066">
        <v>2024</v>
      </c>
      <c r="C3066" t="s">
        <v>14</v>
      </c>
      <c r="D3066" s="35">
        <v>17813945.690000001</v>
      </c>
      <c r="E3066" s="35">
        <v>336196</v>
      </c>
      <c r="F3066" s="35">
        <v>11740596.49</v>
      </c>
    </row>
    <row r="3067" spans="1:6" x14ac:dyDescent="0.3">
      <c r="A3067" t="s">
        <v>56</v>
      </c>
      <c r="B3067">
        <v>2024</v>
      </c>
      <c r="C3067" t="s">
        <v>7</v>
      </c>
      <c r="D3067" s="35">
        <v>22243420.059999991</v>
      </c>
      <c r="E3067" s="35">
        <v>6415</v>
      </c>
      <c r="F3067" s="35">
        <v>22228292.300000001</v>
      </c>
    </row>
    <row r="3068" spans="1:6" x14ac:dyDescent="0.3">
      <c r="A3068" t="s">
        <v>56</v>
      </c>
      <c r="B3068">
        <v>2024</v>
      </c>
      <c r="C3068" t="s">
        <v>11</v>
      </c>
      <c r="D3068" s="35">
        <v>15332992.460000001</v>
      </c>
      <c r="E3068" s="35">
        <v>15839</v>
      </c>
      <c r="F3068" s="35">
        <v>14570669.74</v>
      </c>
    </row>
    <row r="3069" spans="1:6" x14ac:dyDescent="0.3">
      <c r="A3069" t="s">
        <v>56</v>
      </c>
      <c r="B3069">
        <v>2024</v>
      </c>
      <c r="C3069" t="s">
        <v>3</v>
      </c>
      <c r="D3069" s="35">
        <v>108189758.31999999</v>
      </c>
      <c r="E3069" s="35">
        <v>372470</v>
      </c>
      <c r="F3069" s="35">
        <v>102721010</v>
      </c>
    </row>
    <row r="3070" spans="1:6" x14ac:dyDescent="0.3">
      <c r="A3070" t="s">
        <v>56</v>
      </c>
      <c r="B3070">
        <v>2024</v>
      </c>
      <c r="C3070" t="s">
        <v>12</v>
      </c>
      <c r="D3070" s="35">
        <v>24147139.79000001</v>
      </c>
      <c r="E3070" s="35">
        <v>866273</v>
      </c>
      <c r="F3070" s="35">
        <v>7877324.9100000001</v>
      </c>
    </row>
    <row r="3071" spans="1:6" x14ac:dyDescent="0.3">
      <c r="A3071" t="s">
        <v>56</v>
      </c>
      <c r="B3071">
        <v>2024</v>
      </c>
      <c r="C3071" t="s">
        <v>2</v>
      </c>
      <c r="D3071" s="35">
        <v>139488270.96000001</v>
      </c>
      <c r="E3071" s="35">
        <v>1185129</v>
      </c>
      <c r="F3071" s="35">
        <v>111248136.63</v>
      </c>
    </row>
    <row r="3072" spans="1:6" x14ac:dyDescent="0.3">
      <c r="A3072" t="s">
        <v>56</v>
      </c>
      <c r="B3072">
        <v>2024</v>
      </c>
      <c r="C3072" t="s">
        <v>5</v>
      </c>
      <c r="D3072" s="35">
        <v>13448885.109999999</v>
      </c>
      <c r="E3072" s="35">
        <v>17632</v>
      </c>
      <c r="F3072" s="35">
        <v>13098450.689999999</v>
      </c>
    </row>
    <row r="3073" spans="1:6" x14ac:dyDescent="0.3">
      <c r="A3073" t="s">
        <v>56</v>
      </c>
      <c r="B3073">
        <v>2024</v>
      </c>
      <c r="C3073" t="s">
        <v>17</v>
      </c>
      <c r="D3073" s="35">
        <v>1579864.12</v>
      </c>
      <c r="E3073" s="35">
        <v>95620</v>
      </c>
      <c r="F3073" s="35">
        <v>226863.42</v>
      </c>
    </row>
    <row r="3074" spans="1:6" x14ac:dyDescent="0.3">
      <c r="A3074" t="s">
        <v>56</v>
      </c>
      <c r="B3074">
        <v>2024</v>
      </c>
      <c r="C3074" t="s">
        <v>9</v>
      </c>
      <c r="D3074" s="35">
        <v>11001704.289999999</v>
      </c>
      <c r="E3074" s="35">
        <v>399855</v>
      </c>
      <c r="F3074" s="35">
        <v>4982459.4600000009</v>
      </c>
    </row>
    <row r="3075" spans="1:6" x14ac:dyDescent="0.3">
      <c r="A3075" t="s">
        <v>56</v>
      </c>
      <c r="B3075">
        <v>2024</v>
      </c>
      <c r="C3075" t="s">
        <v>8</v>
      </c>
      <c r="D3075" s="35">
        <v>43986344.990000002</v>
      </c>
      <c r="E3075" s="35">
        <v>2452</v>
      </c>
      <c r="F3075" s="35">
        <v>43986344.990000002</v>
      </c>
    </row>
    <row r="3076" spans="1:6" x14ac:dyDescent="0.3">
      <c r="A3076" t="s">
        <v>56</v>
      </c>
      <c r="B3076">
        <v>2024</v>
      </c>
      <c r="C3076" t="s">
        <v>6</v>
      </c>
      <c r="D3076" s="35">
        <v>38723409.960000008</v>
      </c>
      <c r="E3076" s="35">
        <v>773360</v>
      </c>
      <c r="F3076" s="35">
        <v>26260524.32</v>
      </c>
    </row>
    <row r="3077" spans="1:6" x14ac:dyDescent="0.3">
      <c r="A3077" t="s">
        <v>56</v>
      </c>
      <c r="B3077">
        <v>2024</v>
      </c>
      <c r="C3077" t="s">
        <v>15</v>
      </c>
      <c r="D3077" s="35">
        <v>3131697.45</v>
      </c>
      <c r="E3077" s="35">
        <v>135282</v>
      </c>
      <c r="F3077" s="35">
        <v>639266.74999999988</v>
      </c>
    </row>
    <row r="3078" spans="1:6" x14ac:dyDescent="0.3">
      <c r="A3078" t="s">
        <v>56</v>
      </c>
      <c r="B3078">
        <v>2024</v>
      </c>
      <c r="C3078" t="s">
        <v>18</v>
      </c>
      <c r="D3078" s="35">
        <v>1461423.86</v>
      </c>
      <c r="E3078" s="35">
        <v>14441</v>
      </c>
      <c r="F3078" s="35">
        <v>1208341</v>
      </c>
    </row>
    <row r="3079" spans="1:6" x14ac:dyDescent="0.3">
      <c r="A3079" t="s">
        <v>56</v>
      </c>
      <c r="B3079">
        <v>2025</v>
      </c>
      <c r="C3079" t="s">
        <v>10</v>
      </c>
      <c r="D3079" s="35">
        <v>27822963.57</v>
      </c>
      <c r="E3079" s="35">
        <v>555037</v>
      </c>
      <c r="F3079" s="35">
        <v>20842483.16</v>
      </c>
    </row>
    <row r="3080" spans="1:6" x14ac:dyDescent="0.3">
      <c r="A3080" t="s">
        <v>56</v>
      </c>
      <c r="B3080">
        <v>2025</v>
      </c>
      <c r="C3080" t="s">
        <v>4</v>
      </c>
      <c r="D3080" s="35">
        <v>106240646.39</v>
      </c>
      <c r="E3080" s="35">
        <v>183909</v>
      </c>
      <c r="F3080" s="35">
        <v>105577655.27</v>
      </c>
    </row>
    <row r="3081" spans="1:6" x14ac:dyDescent="0.3">
      <c r="A3081" t="s">
        <v>56</v>
      </c>
      <c r="B3081">
        <v>2025</v>
      </c>
      <c r="C3081" t="s">
        <v>13</v>
      </c>
      <c r="D3081" s="35">
        <v>21964982.059999999</v>
      </c>
      <c r="E3081" s="35">
        <v>202162</v>
      </c>
      <c r="F3081" s="35">
        <v>15262412.92</v>
      </c>
    </row>
    <row r="3082" spans="1:6" x14ac:dyDescent="0.3">
      <c r="A3082" t="s">
        <v>56</v>
      </c>
      <c r="B3082">
        <v>2025</v>
      </c>
      <c r="C3082" t="s">
        <v>16</v>
      </c>
      <c r="D3082" s="35">
        <v>3506240.55</v>
      </c>
      <c r="E3082" s="35">
        <v>23311</v>
      </c>
      <c r="F3082" s="35">
        <v>3074201.6000000001</v>
      </c>
    </row>
    <row r="3083" spans="1:6" x14ac:dyDescent="0.3">
      <c r="A3083" t="s">
        <v>56</v>
      </c>
      <c r="B3083">
        <v>2025</v>
      </c>
      <c r="C3083" t="s">
        <v>14</v>
      </c>
      <c r="D3083" s="35">
        <v>18133062.409999989</v>
      </c>
      <c r="E3083" s="35">
        <v>335318</v>
      </c>
      <c r="F3083" s="35">
        <v>12770942.1</v>
      </c>
    </row>
    <row r="3084" spans="1:6" x14ac:dyDescent="0.3">
      <c r="A3084" t="s">
        <v>56</v>
      </c>
      <c r="B3084">
        <v>2025</v>
      </c>
      <c r="C3084" t="s">
        <v>7</v>
      </c>
      <c r="D3084" s="35">
        <v>21368053.98</v>
      </c>
      <c r="E3084" s="35">
        <v>5502</v>
      </c>
      <c r="F3084" s="35">
        <v>21351266.550000001</v>
      </c>
    </row>
    <row r="3085" spans="1:6" x14ac:dyDescent="0.3">
      <c r="A3085" t="s">
        <v>56</v>
      </c>
      <c r="B3085">
        <v>2025</v>
      </c>
      <c r="C3085" t="s">
        <v>11</v>
      </c>
      <c r="D3085" s="35">
        <v>14191963.359999999</v>
      </c>
      <c r="E3085" s="35">
        <v>19157</v>
      </c>
      <c r="F3085" s="35">
        <v>13713227.039999999</v>
      </c>
    </row>
    <row r="3086" spans="1:6" x14ac:dyDescent="0.3">
      <c r="A3086" t="s">
        <v>56</v>
      </c>
      <c r="B3086">
        <v>2025</v>
      </c>
      <c r="C3086" t="s">
        <v>3</v>
      </c>
      <c r="D3086" s="35">
        <v>115798076.89</v>
      </c>
      <c r="E3086" s="35">
        <v>356793</v>
      </c>
      <c r="F3086" s="35">
        <v>110863544.81</v>
      </c>
    </row>
    <row r="3087" spans="1:6" x14ac:dyDescent="0.3">
      <c r="A3087" t="s">
        <v>56</v>
      </c>
      <c r="B3087">
        <v>2025</v>
      </c>
      <c r="C3087" t="s">
        <v>12</v>
      </c>
      <c r="D3087" s="35">
        <v>18613596.329999998</v>
      </c>
      <c r="E3087" s="35">
        <v>779501</v>
      </c>
      <c r="F3087" s="35">
        <v>4476679.55</v>
      </c>
    </row>
    <row r="3088" spans="1:6" x14ac:dyDescent="0.3">
      <c r="A3088" t="s">
        <v>56</v>
      </c>
      <c r="B3088">
        <v>2025</v>
      </c>
      <c r="C3088" t="s">
        <v>2</v>
      </c>
      <c r="D3088" s="35">
        <v>142112728.2299999</v>
      </c>
      <c r="E3088" s="35">
        <v>1117679</v>
      </c>
      <c r="F3088" s="35">
        <v>115391960.42</v>
      </c>
    </row>
    <row r="3089" spans="1:6" x14ac:dyDescent="0.3">
      <c r="A3089" t="s">
        <v>56</v>
      </c>
      <c r="B3089">
        <v>2025</v>
      </c>
      <c r="C3089" t="s">
        <v>5</v>
      </c>
      <c r="D3089" s="35">
        <v>15467992.98</v>
      </c>
      <c r="E3089" s="35">
        <v>18078</v>
      </c>
      <c r="F3089" s="35">
        <v>15076847.82</v>
      </c>
    </row>
    <row r="3090" spans="1:6" x14ac:dyDescent="0.3">
      <c r="A3090" t="s">
        <v>56</v>
      </c>
      <c r="B3090">
        <v>2025</v>
      </c>
      <c r="C3090" t="s">
        <v>17</v>
      </c>
      <c r="D3090" s="35">
        <v>1352854.2</v>
      </c>
      <c r="E3090" s="35">
        <v>104840</v>
      </c>
      <c r="F3090" s="35">
        <v>168943.68</v>
      </c>
    </row>
    <row r="3091" spans="1:6" x14ac:dyDescent="0.3">
      <c r="A3091" t="s">
        <v>56</v>
      </c>
      <c r="B3091">
        <v>2025</v>
      </c>
      <c r="C3091" t="s">
        <v>9</v>
      </c>
      <c r="D3091" s="35">
        <v>10067959.58</v>
      </c>
      <c r="E3091" s="35">
        <v>378411</v>
      </c>
      <c r="F3091" s="35">
        <v>4700284.7399999993</v>
      </c>
    </row>
    <row r="3092" spans="1:6" x14ac:dyDescent="0.3">
      <c r="A3092" t="s">
        <v>56</v>
      </c>
      <c r="B3092">
        <v>2025</v>
      </c>
      <c r="C3092" t="s">
        <v>8</v>
      </c>
      <c r="D3092" s="35">
        <v>38212368.810000002</v>
      </c>
      <c r="E3092" s="35">
        <v>2179</v>
      </c>
      <c r="F3092" s="35">
        <v>38212368.810000002</v>
      </c>
    </row>
    <row r="3093" spans="1:6" x14ac:dyDescent="0.3">
      <c r="A3093" t="s">
        <v>56</v>
      </c>
      <c r="B3093">
        <v>2025</v>
      </c>
      <c r="C3093" t="s">
        <v>6</v>
      </c>
      <c r="D3093" s="35">
        <v>36187501.75</v>
      </c>
      <c r="E3093" s="35">
        <v>705877</v>
      </c>
      <c r="F3093" s="35">
        <v>24680056.600000001</v>
      </c>
    </row>
    <row r="3094" spans="1:6" x14ac:dyDescent="0.3">
      <c r="A3094" t="s">
        <v>56</v>
      </c>
      <c r="B3094">
        <v>2025</v>
      </c>
      <c r="C3094" t="s">
        <v>15</v>
      </c>
      <c r="D3094" s="35">
        <v>2754247.4500000011</v>
      </c>
      <c r="E3094" s="35">
        <v>104367</v>
      </c>
      <c r="F3094" s="35">
        <v>883717.14</v>
      </c>
    </row>
    <row r="3095" spans="1:6" x14ac:dyDescent="0.3">
      <c r="A3095" t="s">
        <v>56</v>
      </c>
      <c r="B3095">
        <v>2025</v>
      </c>
      <c r="C3095" t="s">
        <v>18</v>
      </c>
      <c r="D3095" s="35">
        <v>1495545.59</v>
      </c>
      <c r="E3095" s="35">
        <v>16758</v>
      </c>
      <c r="F3095" s="35">
        <v>1232679.8799999999</v>
      </c>
    </row>
    <row r="3096" spans="1:6" x14ac:dyDescent="0.3">
      <c r="A3096" t="s">
        <v>57</v>
      </c>
      <c r="B3096">
        <v>2019</v>
      </c>
      <c r="C3096" t="s">
        <v>10</v>
      </c>
      <c r="D3096" s="35">
        <v>9643017.6000000015</v>
      </c>
      <c r="E3096" s="35">
        <v>344189</v>
      </c>
      <c r="F3096" s="35">
        <v>4619131.5100000007</v>
      </c>
    </row>
    <row r="3097" spans="1:6" x14ac:dyDescent="0.3">
      <c r="A3097" t="s">
        <v>57</v>
      </c>
      <c r="B3097">
        <v>2019</v>
      </c>
      <c r="C3097" t="s">
        <v>4</v>
      </c>
      <c r="D3097" s="35">
        <v>32180024.32</v>
      </c>
      <c r="E3097" s="35">
        <v>107528</v>
      </c>
      <c r="F3097" s="35">
        <v>31615949.399999999</v>
      </c>
    </row>
    <row r="3098" spans="1:6" x14ac:dyDescent="0.3">
      <c r="A3098" t="s">
        <v>57</v>
      </c>
      <c r="B3098">
        <v>2019</v>
      </c>
      <c r="C3098" t="s">
        <v>13</v>
      </c>
      <c r="D3098" s="35">
        <v>12011711.85</v>
      </c>
      <c r="E3098" s="35">
        <v>155848</v>
      </c>
      <c r="F3098" s="35">
        <v>8972740.8499999996</v>
      </c>
    </row>
    <row r="3099" spans="1:6" x14ac:dyDescent="0.3">
      <c r="A3099" t="s">
        <v>57</v>
      </c>
      <c r="B3099">
        <v>2019</v>
      </c>
      <c r="C3099" t="s">
        <v>16</v>
      </c>
      <c r="D3099" s="35">
        <v>2703057.14</v>
      </c>
      <c r="E3099" s="35">
        <v>8833</v>
      </c>
      <c r="F3099" s="35">
        <v>2458756.7400000002</v>
      </c>
    </row>
    <row r="3100" spans="1:6" x14ac:dyDescent="0.3">
      <c r="A3100" t="s">
        <v>57</v>
      </c>
      <c r="B3100">
        <v>2019</v>
      </c>
      <c r="C3100" t="s">
        <v>14</v>
      </c>
      <c r="D3100" s="35">
        <v>6058894.4500000002</v>
      </c>
      <c r="E3100" s="35">
        <v>177520</v>
      </c>
      <c r="F3100" s="35">
        <v>3416141.55</v>
      </c>
    </row>
    <row r="3101" spans="1:6" x14ac:dyDescent="0.3">
      <c r="A3101" t="s">
        <v>57</v>
      </c>
      <c r="B3101">
        <v>2019</v>
      </c>
      <c r="C3101" t="s">
        <v>7</v>
      </c>
      <c r="D3101" s="35">
        <v>5829283.79</v>
      </c>
      <c r="E3101" s="35">
        <v>2797</v>
      </c>
      <c r="F3101" s="35">
        <v>5816128.4299999997</v>
      </c>
    </row>
    <row r="3102" spans="1:6" x14ac:dyDescent="0.3">
      <c r="A3102" t="s">
        <v>57</v>
      </c>
      <c r="B3102">
        <v>2019</v>
      </c>
      <c r="C3102" t="s">
        <v>11</v>
      </c>
      <c r="D3102" s="35">
        <v>4767504.57</v>
      </c>
      <c r="E3102" s="35">
        <v>8125</v>
      </c>
      <c r="F3102" s="35">
        <v>4585662.46</v>
      </c>
    </row>
    <row r="3103" spans="1:6" x14ac:dyDescent="0.3">
      <c r="A3103" t="s">
        <v>57</v>
      </c>
      <c r="B3103">
        <v>2019</v>
      </c>
      <c r="C3103" t="s">
        <v>3</v>
      </c>
      <c r="D3103" s="35">
        <v>39253877.540000007</v>
      </c>
      <c r="E3103" s="35">
        <v>85983</v>
      </c>
      <c r="F3103" s="35">
        <v>37992956.559999987</v>
      </c>
    </row>
    <row r="3104" spans="1:6" x14ac:dyDescent="0.3">
      <c r="A3104" t="s">
        <v>57</v>
      </c>
      <c r="B3104">
        <v>2019</v>
      </c>
      <c r="C3104" t="s">
        <v>12</v>
      </c>
      <c r="D3104" s="35">
        <v>11938566.75</v>
      </c>
      <c r="E3104" s="35">
        <v>219675</v>
      </c>
      <c r="F3104" s="35">
        <v>7689347.3799999999</v>
      </c>
    </row>
    <row r="3105" spans="1:6" x14ac:dyDescent="0.3">
      <c r="A3105" t="s">
        <v>57</v>
      </c>
      <c r="B3105">
        <v>2019</v>
      </c>
      <c r="C3105" t="s">
        <v>2</v>
      </c>
      <c r="D3105" s="35">
        <v>71490853.839999989</v>
      </c>
      <c r="E3105" s="35">
        <v>837075</v>
      </c>
      <c r="F3105" s="35">
        <v>57493754.909999996</v>
      </c>
    </row>
    <row r="3106" spans="1:6" x14ac:dyDescent="0.3">
      <c r="A3106" t="s">
        <v>57</v>
      </c>
      <c r="B3106">
        <v>2019</v>
      </c>
      <c r="C3106" t="s">
        <v>5</v>
      </c>
      <c r="D3106" s="35">
        <v>15280894.52</v>
      </c>
      <c r="E3106" s="35">
        <v>9003</v>
      </c>
      <c r="F3106" s="35">
        <v>14915186.220000001</v>
      </c>
    </row>
    <row r="3107" spans="1:6" x14ac:dyDescent="0.3">
      <c r="A3107" t="s">
        <v>57</v>
      </c>
      <c r="B3107">
        <v>2019</v>
      </c>
      <c r="C3107" t="s">
        <v>17</v>
      </c>
      <c r="D3107" s="35">
        <v>1702792.55</v>
      </c>
      <c r="E3107" s="35">
        <v>59548</v>
      </c>
      <c r="F3107" s="35">
        <v>343090.38</v>
      </c>
    </row>
    <row r="3108" spans="1:6" x14ac:dyDescent="0.3">
      <c r="A3108" t="s">
        <v>57</v>
      </c>
      <c r="B3108">
        <v>2019</v>
      </c>
      <c r="C3108" t="s">
        <v>9</v>
      </c>
      <c r="D3108" s="35">
        <v>20556528.680000011</v>
      </c>
      <c r="E3108" s="35">
        <v>584447</v>
      </c>
      <c r="F3108" s="35">
        <v>13836827.300000001</v>
      </c>
    </row>
    <row r="3109" spans="1:6" x14ac:dyDescent="0.3">
      <c r="A3109" t="s">
        <v>57</v>
      </c>
      <c r="B3109">
        <v>2019</v>
      </c>
      <c r="C3109" t="s">
        <v>8</v>
      </c>
      <c r="D3109" s="35">
        <v>8608157.379999999</v>
      </c>
      <c r="E3109" s="35">
        <v>803</v>
      </c>
      <c r="F3109" s="35">
        <v>8608157.379999999</v>
      </c>
    </row>
    <row r="3110" spans="1:6" x14ac:dyDescent="0.3">
      <c r="A3110" t="s">
        <v>57</v>
      </c>
      <c r="B3110">
        <v>2019</v>
      </c>
      <c r="C3110" t="s">
        <v>6</v>
      </c>
      <c r="D3110" s="35">
        <v>28464717.210000001</v>
      </c>
      <c r="E3110" s="35">
        <v>269614</v>
      </c>
      <c r="F3110" s="35">
        <v>25930270.789999999</v>
      </c>
    </row>
    <row r="3111" spans="1:6" x14ac:dyDescent="0.3">
      <c r="A3111" t="s">
        <v>57</v>
      </c>
      <c r="B3111">
        <v>2019</v>
      </c>
      <c r="C3111" t="s">
        <v>15</v>
      </c>
      <c r="D3111" s="35">
        <v>7782574.3000000007</v>
      </c>
      <c r="E3111" s="35">
        <v>155642</v>
      </c>
      <c r="F3111" s="35">
        <v>4700910.5199999996</v>
      </c>
    </row>
    <row r="3112" spans="1:6" x14ac:dyDescent="0.3">
      <c r="A3112" t="s">
        <v>57</v>
      </c>
      <c r="B3112">
        <v>2019</v>
      </c>
      <c r="C3112" t="s">
        <v>18</v>
      </c>
      <c r="D3112" s="35">
        <v>1348611.11</v>
      </c>
      <c r="E3112" s="35">
        <v>10912</v>
      </c>
      <c r="F3112" s="35">
        <v>1171274.1000000001</v>
      </c>
    </row>
    <row r="3113" spans="1:6" x14ac:dyDescent="0.3">
      <c r="A3113" t="s">
        <v>57</v>
      </c>
      <c r="B3113">
        <v>2020</v>
      </c>
      <c r="C3113" t="s">
        <v>10</v>
      </c>
      <c r="D3113" s="35">
        <v>10184585.199999999</v>
      </c>
      <c r="E3113" s="35">
        <v>339690</v>
      </c>
      <c r="F3113" s="35">
        <v>5234187.5300000012</v>
      </c>
    </row>
    <row r="3114" spans="1:6" x14ac:dyDescent="0.3">
      <c r="A3114" t="s">
        <v>57</v>
      </c>
      <c r="B3114">
        <v>2020</v>
      </c>
      <c r="C3114" t="s">
        <v>4</v>
      </c>
      <c r="D3114" s="35">
        <v>35962059.109999999</v>
      </c>
      <c r="E3114" s="35">
        <v>107573</v>
      </c>
      <c r="F3114" s="35">
        <v>35384811.780000001</v>
      </c>
    </row>
    <row r="3115" spans="1:6" x14ac:dyDescent="0.3">
      <c r="A3115" t="s">
        <v>57</v>
      </c>
      <c r="B3115">
        <v>2020</v>
      </c>
      <c r="C3115" t="s">
        <v>13</v>
      </c>
      <c r="D3115" s="35">
        <v>12532985.41</v>
      </c>
      <c r="E3115" s="35">
        <v>152203</v>
      </c>
      <c r="F3115" s="35">
        <v>9130938.1699999999</v>
      </c>
    </row>
    <row r="3116" spans="1:6" x14ac:dyDescent="0.3">
      <c r="A3116" t="s">
        <v>57</v>
      </c>
      <c r="B3116">
        <v>2020</v>
      </c>
      <c r="C3116" t="s">
        <v>16</v>
      </c>
      <c r="D3116" s="35">
        <v>2968261.350000001</v>
      </c>
      <c r="E3116" s="35">
        <v>8341</v>
      </c>
      <c r="F3116" s="35">
        <v>2759099.89</v>
      </c>
    </row>
    <row r="3117" spans="1:6" x14ac:dyDescent="0.3">
      <c r="A3117" t="s">
        <v>57</v>
      </c>
      <c r="B3117">
        <v>2020</v>
      </c>
      <c r="C3117" t="s">
        <v>14</v>
      </c>
      <c r="D3117" s="35">
        <v>6557011.7600000007</v>
      </c>
      <c r="E3117" s="35">
        <v>183378</v>
      </c>
      <c r="F3117" s="35">
        <v>3695208.22</v>
      </c>
    </row>
    <row r="3118" spans="1:6" x14ac:dyDescent="0.3">
      <c r="A3118" t="s">
        <v>57</v>
      </c>
      <c r="B3118">
        <v>2020</v>
      </c>
      <c r="C3118" t="s">
        <v>7</v>
      </c>
      <c r="D3118" s="35">
        <v>5423118.5099999998</v>
      </c>
      <c r="E3118" s="35">
        <v>2244</v>
      </c>
      <c r="F3118" s="35">
        <v>5332424.1900000004</v>
      </c>
    </row>
    <row r="3119" spans="1:6" x14ac:dyDescent="0.3">
      <c r="A3119" t="s">
        <v>57</v>
      </c>
      <c r="B3119">
        <v>2020</v>
      </c>
      <c r="C3119" t="s">
        <v>11</v>
      </c>
      <c r="D3119" s="35">
        <v>5335024.95</v>
      </c>
      <c r="E3119" s="35">
        <v>8627</v>
      </c>
      <c r="F3119" s="35">
        <v>5136657.2699999996</v>
      </c>
    </row>
    <row r="3120" spans="1:6" x14ac:dyDescent="0.3">
      <c r="A3120" t="s">
        <v>57</v>
      </c>
      <c r="B3120">
        <v>2020</v>
      </c>
      <c r="C3120" t="s">
        <v>3</v>
      </c>
      <c r="D3120" s="35">
        <v>45944380.399999999</v>
      </c>
      <c r="E3120" s="35">
        <v>77141</v>
      </c>
      <c r="F3120" s="35">
        <v>44831871.880000003</v>
      </c>
    </row>
    <row r="3121" spans="1:6" x14ac:dyDescent="0.3">
      <c r="A3121" t="s">
        <v>57</v>
      </c>
      <c r="B3121">
        <v>2020</v>
      </c>
      <c r="C3121" t="s">
        <v>12</v>
      </c>
      <c r="D3121" s="35">
        <v>18187857.390000001</v>
      </c>
      <c r="E3121" s="35">
        <v>182282</v>
      </c>
      <c r="F3121" s="35">
        <v>14261689.960000001</v>
      </c>
    </row>
    <row r="3122" spans="1:6" x14ac:dyDescent="0.3">
      <c r="A3122" t="s">
        <v>57</v>
      </c>
      <c r="B3122">
        <v>2020</v>
      </c>
      <c r="C3122" t="s">
        <v>2</v>
      </c>
      <c r="D3122" s="35">
        <v>75742870.549999982</v>
      </c>
      <c r="E3122" s="35">
        <v>839604</v>
      </c>
      <c r="F3122" s="35">
        <v>61990733.619999997</v>
      </c>
    </row>
    <row r="3123" spans="1:6" x14ac:dyDescent="0.3">
      <c r="A3123" t="s">
        <v>57</v>
      </c>
      <c r="B3123">
        <v>2020</v>
      </c>
      <c r="C3123" t="s">
        <v>5</v>
      </c>
      <c r="D3123" s="35">
        <v>16751466.27</v>
      </c>
      <c r="E3123" s="35">
        <v>8065</v>
      </c>
      <c r="F3123" s="35">
        <v>16468536.710000001</v>
      </c>
    </row>
    <row r="3124" spans="1:6" x14ac:dyDescent="0.3">
      <c r="A3124" t="s">
        <v>57</v>
      </c>
      <c r="B3124">
        <v>2020</v>
      </c>
      <c r="C3124" t="s">
        <v>17</v>
      </c>
      <c r="D3124" s="35">
        <v>1740111.68</v>
      </c>
      <c r="E3124" s="35">
        <v>58527</v>
      </c>
      <c r="F3124" s="35">
        <v>408367.17999999988</v>
      </c>
    </row>
    <row r="3125" spans="1:6" x14ac:dyDescent="0.3">
      <c r="A3125" t="s">
        <v>57</v>
      </c>
      <c r="B3125">
        <v>2020</v>
      </c>
      <c r="C3125" t="s">
        <v>9</v>
      </c>
      <c r="D3125" s="35">
        <v>23166282.309999991</v>
      </c>
      <c r="E3125" s="35">
        <v>560290</v>
      </c>
      <c r="F3125" s="35">
        <v>16449030.560000001</v>
      </c>
    </row>
    <row r="3126" spans="1:6" x14ac:dyDescent="0.3">
      <c r="A3126" t="s">
        <v>57</v>
      </c>
      <c r="B3126">
        <v>2020</v>
      </c>
      <c r="C3126" t="s">
        <v>8</v>
      </c>
      <c r="D3126" s="35">
        <v>10421315.710000001</v>
      </c>
      <c r="E3126" s="35">
        <v>1036</v>
      </c>
      <c r="F3126" s="35">
        <v>10421315.710000001</v>
      </c>
    </row>
    <row r="3127" spans="1:6" x14ac:dyDescent="0.3">
      <c r="A3127" t="s">
        <v>57</v>
      </c>
      <c r="B3127">
        <v>2020</v>
      </c>
      <c r="C3127" t="s">
        <v>6</v>
      </c>
      <c r="D3127" s="35">
        <v>30616490.73</v>
      </c>
      <c r="E3127" s="35">
        <v>273736</v>
      </c>
      <c r="F3127" s="35">
        <v>27442870.16</v>
      </c>
    </row>
    <row r="3128" spans="1:6" x14ac:dyDescent="0.3">
      <c r="A3128" t="s">
        <v>57</v>
      </c>
      <c r="B3128">
        <v>2020</v>
      </c>
      <c r="C3128" t="s">
        <v>15</v>
      </c>
      <c r="D3128" s="35">
        <v>5578115.1900000004</v>
      </c>
      <c r="E3128" s="35">
        <v>122831</v>
      </c>
      <c r="F3128" s="35">
        <v>2917747.4899999988</v>
      </c>
    </row>
    <row r="3129" spans="1:6" x14ac:dyDescent="0.3">
      <c r="A3129" t="s">
        <v>57</v>
      </c>
      <c r="B3129">
        <v>2020</v>
      </c>
      <c r="C3129" t="s">
        <v>18</v>
      </c>
      <c r="D3129" s="35">
        <v>1061407.01</v>
      </c>
      <c r="E3129" s="35">
        <v>12263</v>
      </c>
      <c r="F3129" s="35">
        <v>838876.52</v>
      </c>
    </row>
    <row r="3130" spans="1:6" x14ac:dyDescent="0.3">
      <c r="A3130" t="s">
        <v>57</v>
      </c>
      <c r="B3130">
        <v>2021</v>
      </c>
      <c r="C3130" t="s">
        <v>10</v>
      </c>
      <c r="D3130" s="35">
        <v>11937888.43</v>
      </c>
      <c r="E3130" s="35">
        <v>333901</v>
      </c>
      <c r="F3130" s="35">
        <v>7224131.4100000011</v>
      </c>
    </row>
    <row r="3131" spans="1:6" x14ac:dyDescent="0.3">
      <c r="A3131" t="s">
        <v>57</v>
      </c>
      <c r="B3131">
        <v>2021</v>
      </c>
      <c r="C3131" t="s">
        <v>4</v>
      </c>
      <c r="D3131" s="35">
        <v>42594014.590000004</v>
      </c>
      <c r="E3131" s="35">
        <v>105220</v>
      </c>
      <c r="F3131" s="35">
        <v>41961208.119999997</v>
      </c>
    </row>
    <row r="3132" spans="1:6" x14ac:dyDescent="0.3">
      <c r="A3132" t="s">
        <v>57</v>
      </c>
      <c r="B3132">
        <v>2021</v>
      </c>
      <c r="C3132" t="s">
        <v>13</v>
      </c>
      <c r="D3132" s="35">
        <v>12950567.01</v>
      </c>
      <c r="E3132" s="35">
        <v>144361</v>
      </c>
      <c r="F3132" s="35">
        <v>9558412.1700000018</v>
      </c>
    </row>
    <row r="3133" spans="1:6" x14ac:dyDescent="0.3">
      <c r="A3133" t="s">
        <v>57</v>
      </c>
      <c r="B3133">
        <v>2021</v>
      </c>
      <c r="C3133" t="s">
        <v>16</v>
      </c>
      <c r="D3133" s="35">
        <v>3280630.810000001</v>
      </c>
      <c r="E3133" s="35">
        <v>8702</v>
      </c>
      <c r="F3133" s="35">
        <v>3027860.52</v>
      </c>
    </row>
    <row r="3134" spans="1:6" x14ac:dyDescent="0.3">
      <c r="A3134" t="s">
        <v>57</v>
      </c>
      <c r="B3134">
        <v>2021</v>
      </c>
      <c r="C3134" t="s">
        <v>14</v>
      </c>
      <c r="D3134" s="35">
        <v>7458338.8600000013</v>
      </c>
      <c r="E3134" s="35">
        <v>187846</v>
      </c>
      <c r="F3134" s="35">
        <v>4608841.0600000015</v>
      </c>
    </row>
    <row r="3135" spans="1:6" x14ac:dyDescent="0.3">
      <c r="A3135" t="s">
        <v>57</v>
      </c>
      <c r="B3135">
        <v>2021</v>
      </c>
      <c r="C3135" t="s">
        <v>7</v>
      </c>
      <c r="D3135" s="35">
        <v>5444584.7499999991</v>
      </c>
      <c r="E3135" s="35">
        <v>2194</v>
      </c>
      <c r="F3135" s="35">
        <v>5278892.92</v>
      </c>
    </row>
    <row r="3136" spans="1:6" x14ac:dyDescent="0.3">
      <c r="A3136" t="s">
        <v>57</v>
      </c>
      <c r="B3136">
        <v>2021</v>
      </c>
      <c r="C3136" t="s">
        <v>11</v>
      </c>
      <c r="D3136" s="35">
        <v>6564815.3700000001</v>
      </c>
      <c r="E3136" s="35">
        <v>8900</v>
      </c>
      <c r="F3136" s="35">
        <v>6342059.9899999993</v>
      </c>
    </row>
    <row r="3137" spans="1:6" x14ac:dyDescent="0.3">
      <c r="A3137" t="s">
        <v>57</v>
      </c>
      <c r="B3137">
        <v>2021</v>
      </c>
      <c r="C3137" t="s">
        <v>3</v>
      </c>
      <c r="D3137" s="35">
        <v>62624793.88000001</v>
      </c>
      <c r="E3137" s="35">
        <v>84059</v>
      </c>
      <c r="F3137" s="35">
        <v>61434252.499999993</v>
      </c>
    </row>
    <row r="3138" spans="1:6" x14ac:dyDescent="0.3">
      <c r="A3138" t="s">
        <v>57</v>
      </c>
      <c r="B3138">
        <v>2021</v>
      </c>
      <c r="C3138" t="s">
        <v>12</v>
      </c>
      <c r="D3138" s="35">
        <v>17424586.870000001</v>
      </c>
      <c r="E3138" s="35">
        <v>185791</v>
      </c>
      <c r="F3138" s="35">
        <v>13847682.960000001</v>
      </c>
    </row>
    <row r="3139" spans="1:6" x14ac:dyDescent="0.3">
      <c r="A3139" t="s">
        <v>57</v>
      </c>
      <c r="B3139">
        <v>2021</v>
      </c>
      <c r="C3139" t="s">
        <v>2</v>
      </c>
      <c r="D3139" s="35">
        <v>83456292.170000017</v>
      </c>
      <c r="E3139" s="35">
        <v>846982</v>
      </c>
      <c r="F3139" s="35">
        <v>70028791.459999979</v>
      </c>
    </row>
    <row r="3140" spans="1:6" x14ac:dyDescent="0.3">
      <c r="A3140" t="s">
        <v>57</v>
      </c>
      <c r="B3140">
        <v>2021</v>
      </c>
      <c r="C3140" t="s">
        <v>5</v>
      </c>
      <c r="D3140" s="35">
        <v>18609237.760000002</v>
      </c>
      <c r="E3140" s="35">
        <v>8445</v>
      </c>
      <c r="F3140" s="35">
        <v>18304315.149999999</v>
      </c>
    </row>
    <row r="3141" spans="1:6" x14ac:dyDescent="0.3">
      <c r="A3141" t="s">
        <v>57</v>
      </c>
      <c r="B3141">
        <v>2021</v>
      </c>
      <c r="C3141" t="s">
        <v>17</v>
      </c>
      <c r="D3141" s="35">
        <v>1718460.03</v>
      </c>
      <c r="E3141" s="35">
        <v>56917</v>
      </c>
      <c r="F3141" s="35">
        <v>358973.23</v>
      </c>
    </row>
    <row r="3142" spans="1:6" x14ac:dyDescent="0.3">
      <c r="A3142" t="s">
        <v>57</v>
      </c>
      <c r="B3142">
        <v>2021</v>
      </c>
      <c r="C3142" t="s">
        <v>9</v>
      </c>
      <c r="D3142" s="35">
        <v>24056824.010000002</v>
      </c>
      <c r="E3142" s="35">
        <v>580095</v>
      </c>
      <c r="F3142" s="35">
        <v>17197118.530000001</v>
      </c>
    </row>
    <row r="3143" spans="1:6" x14ac:dyDescent="0.3">
      <c r="A3143" t="s">
        <v>57</v>
      </c>
      <c r="B3143">
        <v>2021</v>
      </c>
      <c r="C3143" t="s">
        <v>8</v>
      </c>
      <c r="D3143" s="35">
        <v>16627933.050000001</v>
      </c>
      <c r="E3143" s="35">
        <v>1210</v>
      </c>
      <c r="F3143" s="35">
        <v>16627933.050000001</v>
      </c>
    </row>
    <row r="3144" spans="1:6" x14ac:dyDescent="0.3">
      <c r="A3144" t="s">
        <v>57</v>
      </c>
      <c r="B3144">
        <v>2021</v>
      </c>
      <c r="C3144" t="s">
        <v>6</v>
      </c>
      <c r="D3144" s="35">
        <v>31450388.59</v>
      </c>
      <c r="E3144" s="35">
        <v>274297</v>
      </c>
      <c r="F3144" s="35">
        <v>27476499</v>
      </c>
    </row>
    <row r="3145" spans="1:6" x14ac:dyDescent="0.3">
      <c r="A3145" t="s">
        <v>57</v>
      </c>
      <c r="B3145">
        <v>2021</v>
      </c>
      <c r="C3145" t="s">
        <v>15</v>
      </c>
      <c r="D3145" s="35">
        <v>6123183.5199999996</v>
      </c>
      <c r="E3145" s="35">
        <v>128268</v>
      </c>
      <c r="F3145" s="35">
        <v>3343214.9</v>
      </c>
    </row>
    <row r="3146" spans="1:6" x14ac:dyDescent="0.3">
      <c r="A3146" t="s">
        <v>57</v>
      </c>
      <c r="B3146">
        <v>2021</v>
      </c>
      <c r="C3146" t="s">
        <v>18</v>
      </c>
      <c r="D3146" s="35">
        <v>954001.19000000006</v>
      </c>
      <c r="E3146" s="35">
        <v>12220</v>
      </c>
      <c r="F3146" s="35">
        <v>775018.27</v>
      </c>
    </row>
    <row r="3147" spans="1:6" x14ac:dyDescent="0.3">
      <c r="A3147" t="s">
        <v>57</v>
      </c>
      <c r="B3147">
        <v>2022</v>
      </c>
      <c r="C3147" t="s">
        <v>10</v>
      </c>
      <c r="D3147" s="35">
        <v>14119532.59</v>
      </c>
      <c r="E3147" s="35">
        <v>365652</v>
      </c>
      <c r="F3147" s="35">
        <v>8643849.1900000013</v>
      </c>
    </row>
    <row r="3148" spans="1:6" x14ac:dyDescent="0.3">
      <c r="A3148" t="s">
        <v>57</v>
      </c>
      <c r="B3148">
        <v>2022</v>
      </c>
      <c r="C3148" t="s">
        <v>4</v>
      </c>
      <c r="D3148" s="35">
        <v>48910515.479999989</v>
      </c>
      <c r="E3148" s="35">
        <v>108268</v>
      </c>
      <c r="F3148" s="35">
        <v>48209008.100000009</v>
      </c>
    </row>
    <row r="3149" spans="1:6" x14ac:dyDescent="0.3">
      <c r="A3149" t="s">
        <v>57</v>
      </c>
      <c r="B3149">
        <v>2022</v>
      </c>
      <c r="C3149" t="s">
        <v>13</v>
      </c>
      <c r="D3149" s="35">
        <v>13849480.84</v>
      </c>
      <c r="E3149" s="35">
        <v>145684</v>
      </c>
      <c r="F3149" s="35">
        <v>10545035.33</v>
      </c>
    </row>
    <row r="3150" spans="1:6" x14ac:dyDescent="0.3">
      <c r="A3150" t="s">
        <v>57</v>
      </c>
      <c r="B3150">
        <v>2022</v>
      </c>
      <c r="C3150" t="s">
        <v>16</v>
      </c>
      <c r="D3150" s="35">
        <v>4166913.08</v>
      </c>
      <c r="E3150" s="35">
        <v>9432</v>
      </c>
      <c r="F3150" s="35">
        <v>3961859.73</v>
      </c>
    </row>
    <row r="3151" spans="1:6" x14ac:dyDescent="0.3">
      <c r="A3151" t="s">
        <v>57</v>
      </c>
      <c r="B3151">
        <v>2022</v>
      </c>
      <c r="C3151" t="s">
        <v>14</v>
      </c>
      <c r="D3151" s="35">
        <v>8374369.1499999994</v>
      </c>
      <c r="E3151" s="35">
        <v>201386</v>
      </c>
      <c r="F3151" s="35">
        <v>5171572.41</v>
      </c>
    </row>
    <row r="3152" spans="1:6" x14ac:dyDescent="0.3">
      <c r="A3152" t="s">
        <v>57</v>
      </c>
      <c r="B3152">
        <v>2022</v>
      </c>
      <c r="C3152" t="s">
        <v>7</v>
      </c>
      <c r="D3152" s="35">
        <v>6060507.0199999996</v>
      </c>
      <c r="E3152" s="35">
        <v>2343</v>
      </c>
      <c r="F3152" s="35">
        <v>6037139.9600000009</v>
      </c>
    </row>
    <row r="3153" spans="1:6" x14ac:dyDescent="0.3">
      <c r="A3153" t="s">
        <v>57</v>
      </c>
      <c r="B3153">
        <v>2022</v>
      </c>
      <c r="C3153" t="s">
        <v>11</v>
      </c>
      <c r="D3153" s="35">
        <v>8252685.2199999997</v>
      </c>
      <c r="E3153" s="35">
        <v>9370</v>
      </c>
      <c r="F3153" s="35">
        <v>7951523.4200000009</v>
      </c>
    </row>
    <row r="3154" spans="1:6" x14ac:dyDescent="0.3">
      <c r="A3154" t="s">
        <v>57</v>
      </c>
      <c r="B3154">
        <v>2022</v>
      </c>
      <c r="C3154" t="s">
        <v>3</v>
      </c>
      <c r="D3154" s="35">
        <v>79755441.600000024</v>
      </c>
      <c r="E3154" s="35">
        <v>89924</v>
      </c>
      <c r="F3154" s="35">
        <v>78495509.029999986</v>
      </c>
    </row>
    <row r="3155" spans="1:6" x14ac:dyDescent="0.3">
      <c r="A3155" t="s">
        <v>57</v>
      </c>
      <c r="B3155">
        <v>2022</v>
      </c>
      <c r="C3155" t="s">
        <v>12</v>
      </c>
      <c r="D3155" s="35">
        <v>19988792.260000002</v>
      </c>
      <c r="E3155" s="35">
        <v>214452</v>
      </c>
      <c r="F3155" s="35">
        <v>15812452.68</v>
      </c>
    </row>
    <row r="3156" spans="1:6" x14ac:dyDescent="0.3">
      <c r="A3156" t="s">
        <v>57</v>
      </c>
      <c r="B3156">
        <v>2022</v>
      </c>
      <c r="C3156" t="s">
        <v>2</v>
      </c>
      <c r="D3156" s="35">
        <v>96666388.879999965</v>
      </c>
      <c r="E3156" s="35">
        <v>881117</v>
      </c>
      <c r="F3156" s="35">
        <v>82832152.549999997</v>
      </c>
    </row>
    <row r="3157" spans="1:6" x14ac:dyDescent="0.3">
      <c r="A3157" t="s">
        <v>57</v>
      </c>
      <c r="B3157">
        <v>2022</v>
      </c>
      <c r="C3157" t="s">
        <v>5</v>
      </c>
      <c r="D3157" s="35">
        <v>20991320.440000009</v>
      </c>
      <c r="E3157" s="35">
        <v>8334</v>
      </c>
      <c r="F3157" s="35">
        <v>20713031.02</v>
      </c>
    </row>
    <row r="3158" spans="1:6" x14ac:dyDescent="0.3">
      <c r="A3158" t="s">
        <v>57</v>
      </c>
      <c r="B3158">
        <v>2022</v>
      </c>
      <c r="C3158" t="s">
        <v>17</v>
      </c>
      <c r="D3158" s="35">
        <v>1903578.43</v>
      </c>
      <c r="E3158" s="35">
        <v>53403</v>
      </c>
      <c r="F3158" s="35">
        <v>469805.67</v>
      </c>
    </row>
    <row r="3159" spans="1:6" x14ac:dyDescent="0.3">
      <c r="A3159" t="s">
        <v>57</v>
      </c>
      <c r="B3159">
        <v>2022</v>
      </c>
      <c r="C3159" t="s">
        <v>9</v>
      </c>
      <c r="D3159" s="35">
        <v>28780225.640000001</v>
      </c>
      <c r="E3159" s="35">
        <v>643264</v>
      </c>
      <c r="F3159" s="35">
        <v>20605746.899999999</v>
      </c>
    </row>
    <row r="3160" spans="1:6" x14ac:dyDescent="0.3">
      <c r="A3160" t="s">
        <v>57</v>
      </c>
      <c r="B3160">
        <v>2022</v>
      </c>
      <c r="C3160" t="s">
        <v>8</v>
      </c>
      <c r="D3160" s="35">
        <v>24613705.02</v>
      </c>
      <c r="E3160" s="35">
        <v>1496</v>
      </c>
      <c r="F3160" s="35">
        <v>24613705.02</v>
      </c>
    </row>
    <row r="3161" spans="1:6" x14ac:dyDescent="0.3">
      <c r="A3161" t="s">
        <v>57</v>
      </c>
      <c r="B3161">
        <v>2022</v>
      </c>
      <c r="C3161" t="s">
        <v>6</v>
      </c>
      <c r="D3161" s="35">
        <v>35338745.799999997</v>
      </c>
      <c r="E3161" s="35">
        <v>301319</v>
      </c>
      <c r="F3161" s="35">
        <v>31198465.859999999</v>
      </c>
    </row>
    <row r="3162" spans="1:6" x14ac:dyDescent="0.3">
      <c r="A3162" t="s">
        <v>57</v>
      </c>
      <c r="B3162">
        <v>2022</v>
      </c>
      <c r="C3162" t="s">
        <v>15</v>
      </c>
      <c r="D3162" s="35">
        <v>6109690.0099999998</v>
      </c>
      <c r="E3162" s="35">
        <v>108856</v>
      </c>
      <c r="F3162" s="35">
        <v>3837540.04</v>
      </c>
    </row>
    <row r="3163" spans="1:6" x14ac:dyDescent="0.3">
      <c r="A3163" t="s">
        <v>57</v>
      </c>
      <c r="B3163">
        <v>2022</v>
      </c>
      <c r="C3163" t="s">
        <v>18</v>
      </c>
      <c r="D3163" s="35">
        <v>977758.86000000022</v>
      </c>
      <c r="E3163" s="35">
        <v>11683</v>
      </c>
      <c r="F3163" s="35">
        <v>813069.40000000014</v>
      </c>
    </row>
    <row r="3164" spans="1:6" x14ac:dyDescent="0.3">
      <c r="A3164" t="s">
        <v>57</v>
      </c>
      <c r="B3164">
        <v>2023</v>
      </c>
      <c r="C3164" t="s">
        <v>10</v>
      </c>
      <c r="D3164" s="35">
        <v>13914797.960000001</v>
      </c>
      <c r="E3164" s="35">
        <v>367981</v>
      </c>
      <c r="F3164" s="35">
        <v>8559014.9600000009</v>
      </c>
    </row>
    <row r="3165" spans="1:6" x14ac:dyDescent="0.3">
      <c r="A3165" t="s">
        <v>57</v>
      </c>
      <c r="B3165">
        <v>2023</v>
      </c>
      <c r="C3165" t="s">
        <v>4</v>
      </c>
      <c r="D3165" s="35">
        <v>52714077.420000009</v>
      </c>
      <c r="E3165" s="35">
        <v>113079</v>
      </c>
      <c r="F3165" s="35">
        <v>52063747.340000004</v>
      </c>
    </row>
    <row r="3166" spans="1:6" x14ac:dyDescent="0.3">
      <c r="A3166" t="s">
        <v>57</v>
      </c>
      <c r="B3166">
        <v>2023</v>
      </c>
      <c r="C3166" t="s">
        <v>13</v>
      </c>
      <c r="D3166" s="35">
        <v>13768933.189999999</v>
      </c>
      <c r="E3166" s="35">
        <v>142172</v>
      </c>
      <c r="F3166" s="35">
        <v>10826195.24</v>
      </c>
    </row>
    <row r="3167" spans="1:6" x14ac:dyDescent="0.3">
      <c r="A3167" t="s">
        <v>57</v>
      </c>
      <c r="B3167">
        <v>2023</v>
      </c>
      <c r="C3167" t="s">
        <v>16</v>
      </c>
      <c r="D3167" s="35">
        <v>4771628.5600000015</v>
      </c>
      <c r="E3167" s="35">
        <v>11038</v>
      </c>
      <c r="F3167" s="35">
        <v>4530237.5199999996</v>
      </c>
    </row>
    <row r="3168" spans="1:6" x14ac:dyDescent="0.3">
      <c r="A3168" t="s">
        <v>57</v>
      </c>
      <c r="B3168">
        <v>2023</v>
      </c>
      <c r="C3168" t="s">
        <v>14</v>
      </c>
      <c r="D3168" s="35">
        <v>10456485.43</v>
      </c>
      <c r="E3168" s="35">
        <v>210010</v>
      </c>
      <c r="F3168" s="35">
        <v>7137897</v>
      </c>
    </row>
    <row r="3169" spans="1:6" x14ac:dyDescent="0.3">
      <c r="A3169" t="s">
        <v>57</v>
      </c>
      <c r="B3169">
        <v>2023</v>
      </c>
      <c r="C3169" t="s">
        <v>7</v>
      </c>
      <c r="D3169" s="35">
        <v>6043616.3000000007</v>
      </c>
      <c r="E3169" s="35">
        <v>2368</v>
      </c>
      <c r="F3169" s="35">
        <v>6024113.5000000009</v>
      </c>
    </row>
    <row r="3170" spans="1:6" x14ac:dyDescent="0.3">
      <c r="A3170" t="s">
        <v>57</v>
      </c>
      <c r="B3170">
        <v>2023</v>
      </c>
      <c r="C3170" t="s">
        <v>11</v>
      </c>
      <c r="D3170" s="35">
        <v>6517888.9300000016</v>
      </c>
      <c r="E3170" s="35">
        <v>9787</v>
      </c>
      <c r="F3170" s="35">
        <v>6226180.7700000014</v>
      </c>
    </row>
    <row r="3171" spans="1:6" x14ac:dyDescent="0.3">
      <c r="A3171" t="s">
        <v>57</v>
      </c>
      <c r="B3171">
        <v>2023</v>
      </c>
      <c r="C3171" t="s">
        <v>3</v>
      </c>
      <c r="D3171" s="35">
        <v>90942597.200000018</v>
      </c>
      <c r="E3171" s="35">
        <v>91842</v>
      </c>
      <c r="F3171" s="35">
        <v>89702540.000000015</v>
      </c>
    </row>
    <row r="3172" spans="1:6" x14ac:dyDescent="0.3">
      <c r="A3172" t="s">
        <v>57</v>
      </c>
      <c r="B3172">
        <v>2023</v>
      </c>
      <c r="C3172" t="s">
        <v>12</v>
      </c>
      <c r="D3172" s="35">
        <v>18379571.550000001</v>
      </c>
      <c r="E3172" s="35">
        <v>212756</v>
      </c>
      <c r="F3172" s="35">
        <v>14451038.390000001</v>
      </c>
    </row>
    <row r="3173" spans="1:6" x14ac:dyDescent="0.3">
      <c r="A3173" t="s">
        <v>57</v>
      </c>
      <c r="B3173">
        <v>2023</v>
      </c>
      <c r="C3173" t="s">
        <v>2</v>
      </c>
      <c r="D3173" s="35">
        <v>95152223.759999976</v>
      </c>
      <c r="E3173" s="35">
        <v>907454</v>
      </c>
      <c r="F3173" s="35">
        <v>81538487.169999987</v>
      </c>
    </row>
    <row r="3174" spans="1:6" x14ac:dyDescent="0.3">
      <c r="A3174" t="s">
        <v>57</v>
      </c>
      <c r="B3174">
        <v>2023</v>
      </c>
      <c r="C3174" t="s">
        <v>5</v>
      </c>
      <c r="D3174" s="35">
        <v>21798776.640000001</v>
      </c>
      <c r="E3174" s="35">
        <v>9155</v>
      </c>
      <c r="F3174" s="35">
        <v>21563323.329999991</v>
      </c>
    </row>
    <row r="3175" spans="1:6" x14ac:dyDescent="0.3">
      <c r="A3175" t="s">
        <v>57</v>
      </c>
      <c r="B3175">
        <v>2023</v>
      </c>
      <c r="C3175" t="s">
        <v>17</v>
      </c>
      <c r="D3175" s="35">
        <v>2049529.02</v>
      </c>
      <c r="E3175" s="35">
        <v>56620</v>
      </c>
      <c r="F3175" s="35">
        <v>461845.8</v>
      </c>
    </row>
    <row r="3176" spans="1:6" x14ac:dyDescent="0.3">
      <c r="A3176" t="s">
        <v>57</v>
      </c>
      <c r="B3176">
        <v>2023</v>
      </c>
      <c r="C3176" t="s">
        <v>9</v>
      </c>
      <c r="D3176" s="35">
        <v>28480367.770000011</v>
      </c>
      <c r="E3176" s="35">
        <v>594106</v>
      </c>
      <c r="F3176" s="35">
        <v>20396002.59</v>
      </c>
    </row>
    <row r="3177" spans="1:6" x14ac:dyDescent="0.3">
      <c r="A3177" t="s">
        <v>57</v>
      </c>
      <c r="B3177">
        <v>2023</v>
      </c>
      <c r="C3177" t="s">
        <v>8</v>
      </c>
      <c r="D3177" s="35">
        <v>29325171.5</v>
      </c>
      <c r="E3177" s="35">
        <v>1680</v>
      </c>
      <c r="F3177" s="35">
        <v>29325171.5</v>
      </c>
    </row>
    <row r="3178" spans="1:6" x14ac:dyDescent="0.3">
      <c r="A3178" t="s">
        <v>57</v>
      </c>
      <c r="B3178">
        <v>2023</v>
      </c>
      <c r="C3178" t="s">
        <v>6</v>
      </c>
      <c r="D3178" s="35">
        <v>33544309.120000001</v>
      </c>
      <c r="E3178" s="35">
        <v>298632</v>
      </c>
      <c r="F3178" s="35">
        <v>29544811.100000001</v>
      </c>
    </row>
    <row r="3179" spans="1:6" x14ac:dyDescent="0.3">
      <c r="A3179" t="s">
        <v>57</v>
      </c>
      <c r="B3179">
        <v>2023</v>
      </c>
      <c r="C3179" t="s">
        <v>15</v>
      </c>
      <c r="D3179" s="35">
        <v>4784428.42</v>
      </c>
      <c r="E3179" s="35">
        <v>84448</v>
      </c>
      <c r="F3179" s="35">
        <v>2784749.7</v>
      </c>
    </row>
    <row r="3180" spans="1:6" x14ac:dyDescent="0.3">
      <c r="A3180" t="s">
        <v>57</v>
      </c>
      <c r="B3180">
        <v>2023</v>
      </c>
      <c r="C3180" t="s">
        <v>18</v>
      </c>
      <c r="D3180" s="35">
        <v>923735.66</v>
      </c>
      <c r="E3180" s="35">
        <v>9999</v>
      </c>
      <c r="F3180" s="35">
        <v>792903.62</v>
      </c>
    </row>
    <row r="3181" spans="1:6" x14ac:dyDescent="0.3">
      <c r="A3181" t="s">
        <v>57</v>
      </c>
      <c r="B3181">
        <v>2024</v>
      </c>
      <c r="C3181" t="s">
        <v>10</v>
      </c>
      <c r="D3181" s="35">
        <v>13175432.99</v>
      </c>
      <c r="E3181" s="35">
        <v>360910</v>
      </c>
      <c r="F3181" s="35">
        <v>8177181.1099999994</v>
      </c>
    </row>
    <row r="3182" spans="1:6" x14ac:dyDescent="0.3">
      <c r="A3182" t="s">
        <v>57</v>
      </c>
      <c r="B3182">
        <v>2024</v>
      </c>
      <c r="C3182" t="s">
        <v>4</v>
      </c>
      <c r="D3182" s="35">
        <v>39989054.770000003</v>
      </c>
      <c r="E3182" s="35">
        <v>107141</v>
      </c>
      <c r="F3182" s="35">
        <v>39427800.460000001</v>
      </c>
    </row>
    <row r="3183" spans="1:6" x14ac:dyDescent="0.3">
      <c r="A3183" t="s">
        <v>57</v>
      </c>
      <c r="B3183">
        <v>2024</v>
      </c>
      <c r="C3183" t="s">
        <v>13</v>
      </c>
      <c r="D3183" s="35">
        <v>13203677.789999999</v>
      </c>
      <c r="E3183" s="35">
        <v>135408</v>
      </c>
      <c r="F3183" s="35">
        <v>10841759.890000001</v>
      </c>
    </row>
    <row r="3184" spans="1:6" x14ac:dyDescent="0.3">
      <c r="A3184" t="s">
        <v>57</v>
      </c>
      <c r="B3184">
        <v>2024</v>
      </c>
      <c r="C3184" t="s">
        <v>16</v>
      </c>
      <c r="D3184" s="35">
        <v>3732244.8099999991</v>
      </c>
      <c r="E3184" s="35">
        <v>9160</v>
      </c>
      <c r="F3184" s="35">
        <v>3538956.67</v>
      </c>
    </row>
    <row r="3185" spans="1:6" x14ac:dyDescent="0.3">
      <c r="A3185" t="s">
        <v>57</v>
      </c>
      <c r="B3185">
        <v>2024</v>
      </c>
      <c r="C3185" t="s">
        <v>14</v>
      </c>
      <c r="D3185" s="35">
        <v>8338144.2699999996</v>
      </c>
      <c r="E3185" s="35">
        <v>201570</v>
      </c>
      <c r="F3185" s="35">
        <v>5315073.4900000012</v>
      </c>
    </row>
    <row r="3186" spans="1:6" x14ac:dyDescent="0.3">
      <c r="A3186" t="s">
        <v>57</v>
      </c>
      <c r="B3186">
        <v>2024</v>
      </c>
      <c r="C3186" t="s">
        <v>7</v>
      </c>
      <c r="D3186" s="35">
        <v>5761108.3100000015</v>
      </c>
      <c r="E3186" s="35">
        <v>2228</v>
      </c>
      <c r="F3186" s="35">
        <v>5747535.6899999985</v>
      </c>
    </row>
    <row r="3187" spans="1:6" x14ac:dyDescent="0.3">
      <c r="A3187" t="s">
        <v>57</v>
      </c>
      <c r="B3187">
        <v>2024</v>
      </c>
      <c r="C3187" t="s">
        <v>11</v>
      </c>
      <c r="D3187" s="35">
        <v>7483583.79</v>
      </c>
      <c r="E3187" s="35">
        <v>8977</v>
      </c>
      <c r="F3187" s="35">
        <v>7259843.2699999996</v>
      </c>
    </row>
    <row r="3188" spans="1:6" x14ac:dyDescent="0.3">
      <c r="A3188" t="s">
        <v>57</v>
      </c>
      <c r="B3188">
        <v>2024</v>
      </c>
      <c r="C3188" t="s">
        <v>3</v>
      </c>
      <c r="D3188" s="35">
        <v>84364302.899999976</v>
      </c>
      <c r="E3188" s="35">
        <v>82297</v>
      </c>
      <c r="F3188" s="35">
        <v>83291897.379999995</v>
      </c>
    </row>
    <row r="3189" spans="1:6" x14ac:dyDescent="0.3">
      <c r="A3189" t="s">
        <v>57</v>
      </c>
      <c r="B3189">
        <v>2024</v>
      </c>
      <c r="C3189" t="s">
        <v>12</v>
      </c>
      <c r="D3189" s="35">
        <v>16615217.189999999</v>
      </c>
      <c r="E3189" s="35">
        <v>184179</v>
      </c>
      <c r="F3189" s="35">
        <v>13169569.41</v>
      </c>
    </row>
    <row r="3190" spans="1:6" x14ac:dyDescent="0.3">
      <c r="A3190" t="s">
        <v>57</v>
      </c>
      <c r="B3190">
        <v>2024</v>
      </c>
      <c r="C3190" t="s">
        <v>2</v>
      </c>
      <c r="D3190" s="35">
        <v>84754631.320000008</v>
      </c>
      <c r="E3190" s="35">
        <v>839243</v>
      </c>
      <c r="F3190" s="35">
        <v>72706793.719999999</v>
      </c>
    </row>
    <row r="3191" spans="1:6" x14ac:dyDescent="0.3">
      <c r="A3191" t="s">
        <v>57</v>
      </c>
      <c r="B3191">
        <v>2024</v>
      </c>
      <c r="C3191" t="s">
        <v>5</v>
      </c>
      <c r="D3191" s="35">
        <v>19890058.559999991</v>
      </c>
      <c r="E3191" s="35">
        <v>7386</v>
      </c>
      <c r="F3191" s="35">
        <v>19746098.41</v>
      </c>
    </row>
    <row r="3192" spans="1:6" x14ac:dyDescent="0.3">
      <c r="A3192" t="s">
        <v>57</v>
      </c>
      <c r="B3192">
        <v>2024</v>
      </c>
      <c r="C3192" t="s">
        <v>17</v>
      </c>
      <c r="D3192" s="35">
        <v>1852309.38</v>
      </c>
      <c r="E3192" s="35">
        <v>52211</v>
      </c>
      <c r="F3192" s="35">
        <v>478557.77000000008</v>
      </c>
    </row>
    <row r="3193" spans="1:6" x14ac:dyDescent="0.3">
      <c r="A3193" t="s">
        <v>57</v>
      </c>
      <c r="B3193">
        <v>2024</v>
      </c>
      <c r="C3193" t="s">
        <v>9</v>
      </c>
      <c r="D3193" s="35">
        <v>24301883.139999989</v>
      </c>
      <c r="E3193" s="35">
        <v>509941</v>
      </c>
      <c r="F3193" s="35">
        <v>17940228.829999991</v>
      </c>
    </row>
    <row r="3194" spans="1:6" x14ac:dyDescent="0.3">
      <c r="A3194" t="s">
        <v>57</v>
      </c>
      <c r="B3194">
        <v>2024</v>
      </c>
      <c r="C3194" t="s">
        <v>8</v>
      </c>
      <c r="D3194" s="35">
        <v>29732672.98</v>
      </c>
      <c r="E3194" s="35">
        <v>1560</v>
      </c>
      <c r="F3194" s="35">
        <v>29732672.98</v>
      </c>
    </row>
    <row r="3195" spans="1:6" x14ac:dyDescent="0.3">
      <c r="A3195" t="s">
        <v>57</v>
      </c>
      <c r="B3195">
        <v>2024</v>
      </c>
      <c r="C3195" t="s">
        <v>6</v>
      </c>
      <c r="D3195" s="35">
        <v>24358856.38000001</v>
      </c>
      <c r="E3195" s="35">
        <v>270671</v>
      </c>
      <c r="F3195" s="35">
        <v>20575327.66</v>
      </c>
    </row>
    <row r="3196" spans="1:6" x14ac:dyDescent="0.3">
      <c r="A3196" t="s">
        <v>57</v>
      </c>
      <c r="B3196">
        <v>2024</v>
      </c>
      <c r="C3196" t="s">
        <v>15</v>
      </c>
      <c r="D3196" s="35">
        <v>3342456.25</v>
      </c>
      <c r="E3196" s="35">
        <v>63787</v>
      </c>
      <c r="F3196" s="35">
        <v>1928287.36</v>
      </c>
    </row>
    <row r="3197" spans="1:6" x14ac:dyDescent="0.3">
      <c r="A3197" t="s">
        <v>57</v>
      </c>
      <c r="B3197">
        <v>2024</v>
      </c>
      <c r="C3197" t="s">
        <v>18</v>
      </c>
      <c r="D3197" s="35">
        <v>990344.86</v>
      </c>
      <c r="E3197" s="35">
        <v>8678</v>
      </c>
      <c r="F3197" s="35">
        <v>876902.87999999989</v>
      </c>
    </row>
    <row r="3198" spans="1:6" x14ac:dyDescent="0.3">
      <c r="A3198" t="s">
        <v>57</v>
      </c>
      <c r="B3198">
        <v>2025</v>
      </c>
      <c r="C3198" t="s">
        <v>10</v>
      </c>
      <c r="D3198" s="35">
        <v>12535818.33</v>
      </c>
      <c r="E3198" s="35">
        <v>341064</v>
      </c>
      <c r="F3198" s="35">
        <v>8046199.0499999989</v>
      </c>
    </row>
    <row r="3199" spans="1:6" x14ac:dyDescent="0.3">
      <c r="A3199" t="s">
        <v>57</v>
      </c>
      <c r="B3199">
        <v>2025</v>
      </c>
      <c r="C3199" t="s">
        <v>4</v>
      </c>
      <c r="D3199" s="35">
        <v>38557238.060000002</v>
      </c>
      <c r="E3199" s="35">
        <v>100943</v>
      </c>
      <c r="F3199" s="35">
        <v>37963777.059999987</v>
      </c>
    </row>
    <row r="3200" spans="1:6" x14ac:dyDescent="0.3">
      <c r="A3200" t="s">
        <v>57</v>
      </c>
      <c r="B3200">
        <v>2025</v>
      </c>
      <c r="C3200" t="s">
        <v>13</v>
      </c>
      <c r="D3200" s="35">
        <v>12292187.01</v>
      </c>
      <c r="E3200" s="35">
        <v>130740</v>
      </c>
      <c r="F3200" s="35">
        <v>10080850.720000001</v>
      </c>
    </row>
    <row r="3201" spans="1:6" x14ac:dyDescent="0.3">
      <c r="A3201" t="s">
        <v>57</v>
      </c>
      <c r="B3201">
        <v>2025</v>
      </c>
      <c r="C3201" t="s">
        <v>16</v>
      </c>
      <c r="D3201" s="35">
        <v>4103961.3199999989</v>
      </c>
      <c r="E3201" s="35">
        <v>9320</v>
      </c>
      <c r="F3201" s="35">
        <v>3895284.0699999989</v>
      </c>
    </row>
    <row r="3202" spans="1:6" x14ac:dyDescent="0.3">
      <c r="A3202" t="s">
        <v>57</v>
      </c>
      <c r="B3202">
        <v>2025</v>
      </c>
      <c r="C3202" t="s">
        <v>14</v>
      </c>
      <c r="D3202" s="35">
        <v>7020392.5900000017</v>
      </c>
      <c r="E3202" s="35">
        <v>189542</v>
      </c>
      <c r="F3202" s="35">
        <v>4288420.9899999993</v>
      </c>
    </row>
    <row r="3203" spans="1:6" x14ac:dyDescent="0.3">
      <c r="A3203" t="s">
        <v>57</v>
      </c>
      <c r="B3203">
        <v>2025</v>
      </c>
      <c r="C3203" t="s">
        <v>7</v>
      </c>
      <c r="D3203" s="35">
        <v>5770340.2600000016</v>
      </c>
      <c r="E3203" s="35">
        <v>2043</v>
      </c>
      <c r="F3203" s="35">
        <v>5759722.4400000004</v>
      </c>
    </row>
    <row r="3204" spans="1:6" x14ac:dyDescent="0.3">
      <c r="A3204" t="s">
        <v>57</v>
      </c>
      <c r="B3204">
        <v>2025</v>
      </c>
      <c r="C3204" t="s">
        <v>11</v>
      </c>
      <c r="D3204" s="35">
        <v>12968780.520000011</v>
      </c>
      <c r="E3204" s="35">
        <v>8602</v>
      </c>
      <c r="F3204" s="35">
        <v>12763447.18</v>
      </c>
    </row>
    <row r="3205" spans="1:6" x14ac:dyDescent="0.3">
      <c r="A3205" t="s">
        <v>57</v>
      </c>
      <c r="B3205">
        <v>2025</v>
      </c>
      <c r="C3205" t="s">
        <v>3</v>
      </c>
      <c r="D3205" s="35">
        <v>78333523.609999985</v>
      </c>
      <c r="E3205" s="35">
        <v>77571</v>
      </c>
      <c r="F3205" s="35">
        <v>77334814.049999997</v>
      </c>
    </row>
    <row r="3206" spans="1:6" x14ac:dyDescent="0.3">
      <c r="A3206" t="s">
        <v>57</v>
      </c>
      <c r="B3206">
        <v>2025</v>
      </c>
      <c r="C3206" t="s">
        <v>12</v>
      </c>
      <c r="D3206" s="35">
        <v>13739294.41</v>
      </c>
      <c r="E3206" s="35">
        <v>173219</v>
      </c>
      <c r="F3206" s="35">
        <v>10696414.300000001</v>
      </c>
    </row>
    <row r="3207" spans="1:6" x14ac:dyDescent="0.3">
      <c r="A3207" t="s">
        <v>57</v>
      </c>
      <c r="B3207">
        <v>2025</v>
      </c>
      <c r="C3207" t="s">
        <v>2</v>
      </c>
      <c r="D3207" s="35">
        <v>78238991.820000008</v>
      </c>
      <c r="E3207" s="35">
        <v>795773</v>
      </c>
      <c r="F3207" s="35">
        <v>66529038.99000001</v>
      </c>
    </row>
    <row r="3208" spans="1:6" x14ac:dyDescent="0.3">
      <c r="A3208" t="s">
        <v>57</v>
      </c>
      <c r="B3208">
        <v>2025</v>
      </c>
      <c r="C3208" t="s">
        <v>5</v>
      </c>
      <c r="D3208" s="35">
        <v>15081838.23</v>
      </c>
      <c r="E3208" s="35">
        <v>5376</v>
      </c>
      <c r="F3208" s="35">
        <v>14919988.52</v>
      </c>
    </row>
    <row r="3209" spans="1:6" x14ac:dyDescent="0.3">
      <c r="A3209" t="s">
        <v>57</v>
      </c>
      <c r="B3209">
        <v>2025</v>
      </c>
      <c r="C3209" t="s">
        <v>17</v>
      </c>
      <c r="D3209" s="35">
        <v>1676353.32</v>
      </c>
      <c r="E3209" s="35">
        <v>44900</v>
      </c>
      <c r="F3209" s="35">
        <v>450457.90999999992</v>
      </c>
    </row>
    <row r="3210" spans="1:6" x14ac:dyDescent="0.3">
      <c r="A3210" t="s">
        <v>57</v>
      </c>
      <c r="B3210">
        <v>2025</v>
      </c>
      <c r="C3210" t="s">
        <v>9</v>
      </c>
      <c r="D3210" s="35">
        <v>23536683.84</v>
      </c>
      <c r="E3210" s="35">
        <v>511229</v>
      </c>
      <c r="F3210" s="35">
        <v>17262768.420000002</v>
      </c>
    </row>
    <row r="3211" spans="1:6" x14ac:dyDescent="0.3">
      <c r="A3211" t="s">
        <v>57</v>
      </c>
      <c r="B3211">
        <v>2025</v>
      </c>
      <c r="C3211" t="s">
        <v>8</v>
      </c>
      <c r="D3211" s="35">
        <v>26452762.920000002</v>
      </c>
      <c r="E3211" s="35">
        <v>1320</v>
      </c>
      <c r="F3211" s="35">
        <v>26452762.920000002</v>
      </c>
    </row>
    <row r="3212" spans="1:6" x14ac:dyDescent="0.3">
      <c r="A3212" t="s">
        <v>57</v>
      </c>
      <c r="B3212">
        <v>2025</v>
      </c>
      <c r="C3212" t="s">
        <v>6</v>
      </c>
      <c r="D3212" s="35">
        <v>21877117.669999991</v>
      </c>
      <c r="E3212" s="35">
        <v>252635</v>
      </c>
      <c r="F3212" s="35">
        <v>18715465.550000001</v>
      </c>
    </row>
    <row r="3213" spans="1:6" x14ac:dyDescent="0.3">
      <c r="A3213" t="s">
        <v>57</v>
      </c>
      <c r="B3213">
        <v>2025</v>
      </c>
      <c r="C3213" t="s">
        <v>15</v>
      </c>
      <c r="D3213" s="35">
        <v>2821197.7399999988</v>
      </c>
      <c r="E3213" s="35">
        <v>47992</v>
      </c>
      <c r="F3213" s="35">
        <v>1763441.59</v>
      </c>
    </row>
    <row r="3214" spans="1:6" x14ac:dyDescent="0.3">
      <c r="A3214" t="s">
        <v>57</v>
      </c>
      <c r="B3214">
        <v>2025</v>
      </c>
      <c r="C3214" t="s">
        <v>18</v>
      </c>
      <c r="D3214" s="35">
        <v>1107624.1399999999</v>
      </c>
      <c r="E3214" s="35">
        <v>8417</v>
      </c>
      <c r="F3214" s="35">
        <v>1010681.9</v>
      </c>
    </row>
    <row r="3215" spans="1:6" x14ac:dyDescent="0.3">
      <c r="A3215" t="s">
        <v>58</v>
      </c>
      <c r="B3215">
        <v>2019</v>
      </c>
      <c r="C3215" t="s">
        <v>10</v>
      </c>
      <c r="D3215" s="35">
        <v>70434270.01000002</v>
      </c>
      <c r="E3215" s="35">
        <v>1674496</v>
      </c>
      <c r="F3215" s="35">
        <v>47032788.270000003</v>
      </c>
    </row>
    <row r="3216" spans="1:6" x14ac:dyDescent="0.3">
      <c r="A3216" t="s">
        <v>58</v>
      </c>
      <c r="B3216">
        <v>2019</v>
      </c>
      <c r="C3216" t="s">
        <v>4</v>
      </c>
      <c r="D3216" s="35">
        <v>151277054.47999999</v>
      </c>
      <c r="E3216" s="35">
        <v>494380</v>
      </c>
      <c r="F3216" s="35">
        <v>148456027.25999999</v>
      </c>
    </row>
    <row r="3217" spans="1:6" x14ac:dyDescent="0.3">
      <c r="A3217" t="s">
        <v>58</v>
      </c>
      <c r="B3217">
        <v>2019</v>
      </c>
      <c r="C3217" t="s">
        <v>13</v>
      </c>
      <c r="D3217" s="35">
        <v>93656630.789999977</v>
      </c>
      <c r="E3217" s="35">
        <v>685877</v>
      </c>
      <c r="F3217" s="35">
        <v>74048543.730000004</v>
      </c>
    </row>
    <row r="3218" spans="1:6" x14ac:dyDescent="0.3">
      <c r="A3218" t="s">
        <v>58</v>
      </c>
      <c r="B3218">
        <v>2019</v>
      </c>
      <c r="C3218" t="s">
        <v>16</v>
      </c>
      <c r="D3218" s="35">
        <v>32773573.239999998</v>
      </c>
      <c r="E3218" s="35">
        <v>74151</v>
      </c>
      <c r="F3218" s="35">
        <v>31707670.829999998</v>
      </c>
    </row>
    <row r="3219" spans="1:6" x14ac:dyDescent="0.3">
      <c r="A3219" t="s">
        <v>58</v>
      </c>
      <c r="B3219">
        <v>2019</v>
      </c>
      <c r="C3219" t="s">
        <v>14</v>
      </c>
      <c r="D3219" s="35">
        <v>57143344.710000001</v>
      </c>
      <c r="E3219" s="35">
        <v>954961</v>
      </c>
      <c r="F3219" s="35">
        <v>39712075.440000013</v>
      </c>
    </row>
    <row r="3220" spans="1:6" x14ac:dyDescent="0.3">
      <c r="A3220" t="s">
        <v>58</v>
      </c>
      <c r="B3220">
        <v>2019</v>
      </c>
      <c r="C3220" t="s">
        <v>7</v>
      </c>
      <c r="D3220" s="35">
        <v>90670439.850000024</v>
      </c>
      <c r="E3220" s="35">
        <v>42336</v>
      </c>
      <c r="F3220" s="35">
        <v>90367733.769999981</v>
      </c>
    </row>
    <row r="3221" spans="1:6" x14ac:dyDescent="0.3">
      <c r="A3221" t="s">
        <v>58</v>
      </c>
      <c r="B3221">
        <v>2019</v>
      </c>
      <c r="C3221" t="s">
        <v>11</v>
      </c>
      <c r="D3221" s="35">
        <v>116939109.75</v>
      </c>
      <c r="E3221" s="35">
        <v>139149</v>
      </c>
      <c r="F3221" s="35">
        <v>115453600.09</v>
      </c>
    </row>
    <row r="3222" spans="1:6" x14ac:dyDescent="0.3">
      <c r="A3222" t="s">
        <v>58</v>
      </c>
      <c r="B3222">
        <v>2019</v>
      </c>
      <c r="C3222" t="s">
        <v>3</v>
      </c>
      <c r="D3222" s="35">
        <v>167659781.53999999</v>
      </c>
      <c r="E3222" s="35">
        <v>760959</v>
      </c>
      <c r="F3222" s="35">
        <v>156442230.93000001</v>
      </c>
    </row>
    <row r="3223" spans="1:6" x14ac:dyDescent="0.3">
      <c r="A3223" t="s">
        <v>58</v>
      </c>
      <c r="B3223">
        <v>2019</v>
      </c>
      <c r="C3223" t="s">
        <v>12</v>
      </c>
      <c r="D3223" s="35">
        <v>144764659.12</v>
      </c>
      <c r="E3223" s="35">
        <v>1971725</v>
      </c>
      <c r="F3223" s="35">
        <v>101864446.33</v>
      </c>
    </row>
    <row r="3224" spans="1:6" x14ac:dyDescent="0.3">
      <c r="A3224" t="s">
        <v>58</v>
      </c>
      <c r="B3224">
        <v>2019</v>
      </c>
      <c r="C3224" t="s">
        <v>2</v>
      </c>
      <c r="D3224" s="35">
        <v>580463412.34000015</v>
      </c>
      <c r="E3224" s="35">
        <v>3788936</v>
      </c>
      <c r="F3224" s="35">
        <v>511435655.83999997</v>
      </c>
    </row>
    <row r="3225" spans="1:6" x14ac:dyDescent="0.3">
      <c r="A3225" t="s">
        <v>58</v>
      </c>
      <c r="B3225">
        <v>2019</v>
      </c>
      <c r="C3225" t="s">
        <v>5</v>
      </c>
      <c r="D3225" s="35">
        <v>74632655.850000009</v>
      </c>
      <c r="E3225" s="35">
        <v>51938</v>
      </c>
      <c r="F3225" s="35">
        <v>70272312.250000015</v>
      </c>
    </row>
    <row r="3226" spans="1:6" x14ac:dyDescent="0.3">
      <c r="A3226" t="s">
        <v>58</v>
      </c>
      <c r="B3226">
        <v>2019</v>
      </c>
      <c r="C3226" t="s">
        <v>17</v>
      </c>
      <c r="D3226" s="35">
        <v>8051591.1699999999</v>
      </c>
      <c r="E3226" s="35">
        <v>332506</v>
      </c>
      <c r="F3226" s="35">
        <v>1901889.41</v>
      </c>
    </row>
    <row r="3227" spans="1:6" x14ac:dyDescent="0.3">
      <c r="A3227" t="s">
        <v>58</v>
      </c>
      <c r="B3227">
        <v>2019</v>
      </c>
      <c r="C3227" t="s">
        <v>9</v>
      </c>
      <c r="D3227" s="35">
        <v>90996375.789999992</v>
      </c>
      <c r="E3227" s="35">
        <v>1440887</v>
      </c>
      <c r="F3227" s="35">
        <v>64652106.899999991</v>
      </c>
    </row>
    <row r="3228" spans="1:6" x14ac:dyDescent="0.3">
      <c r="A3228" t="s">
        <v>58</v>
      </c>
      <c r="B3228">
        <v>2019</v>
      </c>
      <c r="C3228" t="s">
        <v>8</v>
      </c>
      <c r="D3228" s="35">
        <v>81579861.859999999</v>
      </c>
      <c r="E3228" s="35">
        <v>7629</v>
      </c>
      <c r="F3228" s="35">
        <v>81579861.859999999</v>
      </c>
    </row>
    <row r="3229" spans="1:6" x14ac:dyDescent="0.3">
      <c r="A3229" t="s">
        <v>58</v>
      </c>
      <c r="B3229">
        <v>2019</v>
      </c>
      <c r="C3229" t="s">
        <v>6</v>
      </c>
      <c r="D3229" s="35">
        <v>198501511.03999999</v>
      </c>
      <c r="E3229" s="35">
        <v>2592997</v>
      </c>
      <c r="F3229" s="35">
        <v>168375673.22</v>
      </c>
    </row>
    <row r="3230" spans="1:6" x14ac:dyDescent="0.3">
      <c r="A3230" t="s">
        <v>58</v>
      </c>
      <c r="B3230">
        <v>2019</v>
      </c>
      <c r="C3230" t="s">
        <v>15</v>
      </c>
      <c r="D3230" s="35">
        <v>101548760.65000001</v>
      </c>
      <c r="E3230" s="35">
        <v>907243</v>
      </c>
      <c r="F3230" s="35">
        <v>79500640.510000005</v>
      </c>
    </row>
    <row r="3231" spans="1:6" x14ac:dyDescent="0.3">
      <c r="A3231" t="s">
        <v>58</v>
      </c>
      <c r="B3231">
        <v>2019</v>
      </c>
      <c r="C3231" t="s">
        <v>18</v>
      </c>
      <c r="D3231" s="35">
        <v>12763872.43</v>
      </c>
      <c r="E3231" s="35">
        <v>142310</v>
      </c>
      <c r="F3231" s="35">
        <v>9639769.790000001</v>
      </c>
    </row>
    <row r="3232" spans="1:6" x14ac:dyDescent="0.3">
      <c r="A3232" t="s">
        <v>58</v>
      </c>
      <c r="B3232">
        <v>2020</v>
      </c>
      <c r="C3232" t="s">
        <v>10</v>
      </c>
      <c r="D3232" s="35">
        <v>75338637.489999995</v>
      </c>
      <c r="E3232" s="35">
        <v>1578874</v>
      </c>
      <c r="F3232" s="35">
        <v>52066274.270000011</v>
      </c>
    </row>
    <row r="3233" spans="1:6" x14ac:dyDescent="0.3">
      <c r="A3233" t="s">
        <v>58</v>
      </c>
      <c r="B3233">
        <v>2020</v>
      </c>
      <c r="C3233" t="s">
        <v>4</v>
      </c>
      <c r="D3233" s="35">
        <v>170692727.86000001</v>
      </c>
      <c r="E3233" s="35">
        <v>470383</v>
      </c>
      <c r="F3233" s="35">
        <v>168117788.05000001</v>
      </c>
    </row>
    <row r="3234" spans="1:6" x14ac:dyDescent="0.3">
      <c r="A3234" t="s">
        <v>58</v>
      </c>
      <c r="B3234">
        <v>2020</v>
      </c>
      <c r="C3234" t="s">
        <v>13</v>
      </c>
      <c r="D3234" s="35">
        <v>83082721.829999998</v>
      </c>
      <c r="E3234" s="35">
        <v>623346</v>
      </c>
      <c r="F3234" s="35">
        <v>64879081.170000002</v>
      </c>
    </row>
    <row r="3235" spans="1:6" x14ac:dyDescent="0.3">
      <c r="A3235" t="s">
        <v>58</v>
      </c>
      <c r="B3235">
        <v>2020</v>
      </c>
      <c r="C3235" t="s">
        <v>16</v>
      </c>
      <c r="D3235" s="35">
        <v>34513658.32</v>
      </c>
      <c r="E3235" s="35">
        <v>75915</v>
      </c>
      <c r="F3235" s="35">
        <v>33352191.73</v>
      </c>
    </row>
    <row r="3236" spans="1:6" x14ac:dyDescent="0.3">
      <c r="A3236" t="s">
        <v>58</v>
      </c>
      <c r="B3236">
        <v>2020</v>
      </c>
      <c r="C3236" t="s">
        <v>14</v>
      </c>
      <c r="D3236" s="35">
        <v>61381143.380000003</v>
      </c>
      <c r="E3236" s="35">
        <v>888584</v>
      </c>
      <c r="F3236" s="35">
        <v>41906985.490000002</v>
      </c>
    </row>
    <row r="3237" spans="1:6" x14ac:dyDescent="0.3">
      <c r="A3237" t="s">
        <v>58</v>
      </c>
      <c r="B3237">
        <v>2020</v>
      </c>
      <c r="C3237" t="s">
        <v>7</v>
      </c>
      <c r="D3237" s="35">
        <v>96152194.229999989</v>
      </c>
      <c r="E3237" s="35">
        <v>38437</v>
      </c>
      <c r="F3237" s="35">
        <v>95689568.070000008</v>
      </c>
    </row>
    <row r="3238" spans="1:6" x14ac:dyDescent="0.3">
      <c r="A3238" t="s">
        <v>58</v>
      </c>
      <c r="B3238">
        <v>2020</v>
      </c>
      <c r="C3238" t="s">
        <v>11</v>
      </c>
      <c r="D3238" s="35">
        <v>74124828.549999997</v>
      </c>
      <c r="E3238" s="35">
        <v>148126</v>
      </c>
      <c r="F3238" s="35">
        <v>71794819.829999998</v>
      </c>
    </row>
    <row r="3239" spans="1:6" x14ac:dyDescent="0.3">
      <c r="A3239" t="s">
        <v>58</v>
      </c>
      <c r="B3239">
        <v>2020</v>
      </c>
      <c r="C3239" t="s">
        <v>3</v>
      </c>
      <c r="D3239" s="35">
        <v>198562285.26000011</v>
      </c>
      <c r="E3239" s="35">
        <v>631888</v>
      </c>
      <c r="F3239" s="35">
        <v>188552009.91</v>
      </c>
    </row>
    <row r="3240" spans="1:6" x14ac:dyDescent="0.3">
      <c r="A3240" t="s">
        <v>58</v>
      </c>
      <c r="B3240">
        <v>2020</v>
      </c>
      <c r="C3240" t="s">
        <v>12</v>
      </c>
      <c r="D3240" s="35">
        <v>102255297.26000001</v>
      </c>
      <c r="E3240" s="35">
        <v>1469841</v>
      </c>
      <c r="F3240" s="35">
        <v>64397655.920000009</v>
      </c>
    </row>
    <row r="3241" spans="1:6" x14ac:dyDescent="0.3">
      <c r="A3241" t="s">
        <v>58</v>
      </c>
      <c r="B3241">
        <v>2020</v>
      </c>
      <c r="C3241" t="s">
        <v>2</v>
      </c>
      <c r="D3241" s="35">
        <v>576238179.75999987</v>
      </c>
      <c r="E3241" s="35">
        <v>3612368</v>
      </c>
      <c r="F3241" s="35">
        <v>506697187.63</v>
      </c>
    </row>
    <row r="3242" spans="1:6" x14ac:dyDescent="0.3">
      <c r="A3242" t="s">
        <v>58</v>
      </c>
      <c r="B3242">
        <v>2020</v>
      </c>
      <c r="C3242" t="s">
        <v>5</v>
      </c>
      <c r="D3242" s="35">
        <v>88303671.970000014</v>
      </c>
      <c r="E3242" s="35">
        <v>50710</v>
      </c>
      <c r="F3242" s="35">
        <v>83887363.440000027</v>
      </c>
    </row>
    <row r="3243" spans="1:6" x14ac:dyDescent="0.3">
      <c r="A3243" t="s">
        <v>58</v>
      </c>
      <c r="B3243">
        <v>2020</v>
      </c>
      <c r="C3243" t="s">
        <v>17</v>
      </c>
      <c r="D3243" s="35">
        <v>8613806.0700000003</v>
      </c>
      <c r="E3243" s="35">
        <v>307803</v>
      </c>
      <c r="F3243" s="35">
        <v>1865779.54</v>
      </c>
    </row>
    <row r="3244" spans="1:6" x14ac:dyDescent="0.3">
      <c r="A3244" t="s">
        <v>58</v>
      </c>
      <c r="B3244">
        <v>2020</v>
      </c>
      <c r="C3244" t="s">
        <v>9</v>
      </c>
      <c r="D3244" s="35">
        <v>93235070.099999979</v>
      </c>
      <c r="E3244" s="35">
        <v>1314307</v>
      </c>
      <c r="F3244" s="35">
        <v>69842365.669999987</v>
      </c>
    </row>
    <row r="3245" spans="1:6" x14ac:dyDescent="0.3">
      <c r="A3245" t="s">
        <v>58</v>
      </c>
      <c r="B3245">
        <v>2020</v>
      </c>
      <c r="C3245" t="s">
        <v>8</v>
      </c>
      <c r="D3245" s="35">
        <v>108957530.83</v>
      </c>
      <c r="E3245" s="35">
        <v>8440</v>
      </c>
      <c r="F3245" s="35">
        <v>108957530.83</v>
      </c>
    </row>
    <row r="3246" spans="1:6" x14ac:dyDescent="0.3">
      <c r="A3246" t="s">
        <v>58</v>
      </c>
      <c r="B3246">
        <v>2020</v>
      </c>
      <c r="C3246" t="s">
        <v>6</v>
      </c>
      <c r="D3246" s="35">
        <v>186226709.25</v>
      </c>
      <c r="E3246" s="35">
        <v>2260718</v>
      </c>
      <c r="F3246" s="35">
        <v>154849112.22</v>
      </c>
    </row>
    <row r="3247" spans="1:6" x14ac:dyDescent="0.3">
      <c r="A3247" t="s">
        <v>58</v>
      </c>
      <c r="B3247">
        <v>2020</v>
      </c>
      <c r="C3247" t="s">
        <v>15</v>
      </c>
      <c r="D3247" s="35">
        <v>65620779.899999999</v>
      </c>
      <c r="E3247" s="35">
        <v>613557</v>
      </c>
      <c r="F3247" s="35">
        <v>48148097.869999997</v>
      </c>
    </row>
    <row r="3248" spans="1:6" x14ac:dyDescent="0.3">
      <c r="A3248" t="s">
        <v>58</v>
      </c>
      <c r="B3248">
        <v>2020</v>
      </c>
      <c r="C3248" t="s">
        <v>18</v>
      </c>
      <c r="D3248" s="35">
        <v>12378888.16</v>
      </c>
      <c r="E3248" s="35">
        <v>141902</v>
      </c>
      <c r="F3248" s="35">
        <v>9671508.2999999989</v>
      </c>
    </row>
    <row r="3249" spans="1:6" x14ac:dyDescent="0.3">
      <c r="A3249" t="s">
        <v>58</v>
      </c>
      <c r="B3249">
        <v>2021</v>
      </c>
      <c r="C3249" t="s">
        <v>10</v>
      </c>
      <c r="D3249" s="35">
        <v>85097987.650000006</v>
      </c>
      <c r="E3249" s="35">
        <v>1705525</v>
      </c>
      <c r="F3249" s="35">
        <v>61032501.890000008</v>
      </c>
    </row>
    <row r="3250" spans="1:6" x14ac:dyDescent="0.3">
      <c r="A3250" t="s">
        <v>58</v>
      </c>
      <c r="B3250">
        <v>2021</v>
      </c>
      <c r="C3250" t="s">
        <v>4</v>
      </c>
      <c r="D3250" s="35">
        <v>213723616.30000001</v>
      </c>
      <c r="E3250" s="35">
        <v>504330</v>
      </c>
      <c r="F3250" s="35">
        <v>210746012.02000001</v>
      </c>
    </row>
    <row r="3251" spans="1:6" x14ac:dyDescent="0.3">
      <c r="A3251" t="s">
        <v>58</v>
      </c>
      <c r="B3251">
        <v>2021</v>
      </c>
      <c r="C3251" t="s">
        <v>13</v>
      </c>
      <c r="D3251" s="35">
        <v>87616457.049999997</v>
      </c>
      <c r="E3251" s="35">
        <v>731438</v>
      </c>
      <c r="F3251" s="35">
        <v>66651940.159999996</v>
      </c>
    </row>
    <row r="3252" spans="1:6" x14ac:dyDescent="0.3">
      <c r="A3252" t="s">
        <v>58</v>
      </c>
      <c r="B3252">
        <v>2021</v>
      </c>
      <c r="C3252" t="s">
        <v>16</v>
      </c>
      <c r="D3252" s="35">
        <v>38347374.380000003</v>
      </c>
      <c r="E3252" s="35">
        <v>91544</v>
      </c>
      <c r="F3252" s="35">
        <v>36692372.650000013</v>
      </c>
    </row>
    <row r="3253" spans="1:6" x14ac:dyDescent="0.3">
      <c r="A3253" t="s">
        <v>58</v>
      </c>
      <c r="B3253">
        <v>2021</v>
      </c>
      <c r="C3253" t="s">
        <v>14</v>
      </c>
      <c r="D3253" s="35">
        <v>69073824.550000012</v>
      </c>
      <c r="E3253" s="35">
        <v>996540</v>
      </c>
      <c r="F3253" s="35">
        <v>47040562.259999998</v>
      </c>
    </row>
    <row r="3254" spans="1:6" x14ac:dyDescent="0.3">
      <c r="A3254" t="s">
        <v>58</v>
      </c>
      <c r="B3254">
        <v>2021</v>
      </c>
      <c r="C3254" t="s">
        <v>7</v>
      </c>
      <c r="D3254" s="35">
        <v>101096477.11</v>
      </c>
      <c r="E3254" s="35">
        <v>36818</v>
      </c>
      <c r="F3254" s="35">
        <v>100145961.5</v>
      </c>
    </row>
    <row r="3255" spans="1:6" x14ac:dyDescent="0.3">
      <c r="A3255" t="s">
        <v>58</v>
      </c>
      <c r="B3255">
        <v>2021</v>
      </c>
      <c r="C3255" t="s">
        <v>11</v>
      </c>
      <c r="D3255" s="35">
        <v>73215909.709999979</v>
      </c>
      <c r="E3255" s="35">
        <v>155863</v>
      </c>
      <c r="F3255" s="35">
        <v>70432739.559999987</v>
      </c>
    </row>
    <row r="3256" spans="1:6" x14ac:dyDescent="0.3">
      <c r="A3256" t="s">
        <v>58</v>
      </c>
      <c r="B3256">
        <v>2021</v>
      </c>
      <c r="C3256" t="s">
        <v>3</v>
      </c>
      <c r="D3256" s="35">
        <v>291690005.76999992</v>
      </c>
      <c r="E3256" s="35">
        <v>910705</v>
      </c>
      <c r="F3256" s="35">
        <v>277906571.83999997</v>
      </c>
    </row>
    <row r="3257" spans="1:6" x14ac:dyDescent="0.3">
      <c r="A3257" t="s">
        <v>58</v>
      </c>
      <c r="B3257">
        <v>2021</v>
      </c>
      <c r="C3257" t="s">
        <v>12</v>
      </c>
      <c r="D3257" s="35">
        <v>98636264.340000018</v>
      </c>
      <c r="E3257" s="35">
        <v>1802009</v>
      </c>
      <c r="F3257" s="35">
        <v>62640561.140000008</v>
      </c>
    </row>
    <row r="3258" spans="1:6" x14ac:dyDescent="0.3">
      <c r="A3258" t="s">
        <v>58</v>
      </c>
      <c r="B3258">
        <v>2021</v>
      </c>
      <c r="C3258" t="s">
        <v>2</v>
      </c>
      <c r="D3258" s="35">
        <v>626424455.63000023</v>
      </c>
      <c r="E3258" s="35">
        <v>3953754</v>
      </c>
      <c r="F3258" s="35">
        <v>552267748.82999992</v>
      </c>
    </row>
    <row r="3259" spans="1:6" x14ac:dyDescent="0.3">
      <c r="A3259" t="s">
        <v>58</v>
      </c>
      <c r="B3259">
        <v>2021</v>
      </c>
      <c r="C3259" t="s">
        <v>5</v>
      </c>
      <c r="D3259" s="35">
        <v>106869086.23</v>
      </c>
      <c r="E3259" s="35">
        <v>50996</v>
      </c>
      <c r="F3259" s="35">
        <v>101976719.37</v>
      </c>
    </row>
    <row r="3260" spans="1:6" x14ac:dyDescent="0.3">
      <c r="A3260" t="s">
        <v>58</v>
      </c>
      <c r="B3260">
        <v>2021</v>
      </c>
      <c r="C3260" t="s">
        <v>17</v>
      </c>
      <c r="D3260" s="35">
        <v>12836383.59</v>
      </c>
      <c r="E3260" s="35">
        <v>347062</v>
      </c>
      <c r="F3260" s="35">
        <v>2667169.169999999</v>
      </c>
    </row>
    <row r="3261" spans="1:6" x14ac:dyDescent="0.3">
      <c r="A3261" t="s">
        <v>58</v>
      </c>
      <c r="B3261">
        <v>2021</v>
      </c>
      <c r="C3261" t="s">
        <v>9</v>
      </c>
      <c r="D3261" s="35">
        <v>103348098.59</v>
      </c>
      <c r="E3261" s="35">
        <v>1465677</v>
      </c>
      <c r="F3261" s="35">
        <v>77602748.010000005</v>
      </c>
    </row>
    <row r="3262" spans="1:6" x14ac:dyDescent="0.3">
      <c r="A3262" t="s">
        <v>58</v>
      </c>
      <c r="B3262">
        <v>2021</v>
      </c>
      <c r="C3262" t="s">
        <v>8</v>
      </c>
      <c r="D3262" s="35">
        <v>136017737.5</v>
      </c>
      <c r="E3262" s="35">
        <v>8797</v>
      </c>
      <c r="F3262" s="35">
        <v>135117690.58000001</v>
      </c>
    </row>
    <row r="3263" spans="1:6" x14ac:dyDescent="0.3">
      <c r="A3263" t="s">
        <v>58</v>
      </c>
      <c r="B3263">
        <v>2021</v>
      </c>
      <c r="C3263" t="s">
        <v>6</v>
      </c>
      <c r="D3263" s="35">
        <v>203345450.13999999</v>
      </c>
      <c r="E3263" s="35">
        <v>2417200</v>
      </c>
      <c r="F3263" s="35">
        <v>168762066.41</v>
      </c>
    </row>
    <row r="3264" spans="1:6" x14ac:dyDescent="0.3">
      <c r="A3264" t="s">
        <v>58</v>
      </c>
      <c r="B3264">
        <v>2021</v>
      </c>
      <c r="C3264" t="s">
        <v>15</v>
      </c>
      <c r="D3264" s="35">
        <v>49538488.809999987</v>
      </c>
      <c r="E3264" s="35">
        <v>652662</v>
      </c>
      <c r="F3264" s="35">
        <v>34130425.490000002</v>
      </c>
    </row>
    <row r="3265" spans="1:6" x14ac:dyDescent="0.3">
      <c r="A3265" t="s">
        <v>58</v>
      </c>
      <c r="B3265">
        <v>2021</v>
      </c>
      <c r="C3265" t="s">
        <v>18</v>
      </c>
      <c r="D3265" s="35">
        <v>9457491.7399999984</v>
      </c>
      <c r="E3265" s="35">
        <v>143260</v>
      </c>
      <c r="F3265" s="35">
        <v>6417130.7600000007</v>
      </c>
    </row>
    <row r="3266" spans="1:6" x14ac:dyDescent="0.3">
      <c r="A3266" t="s">
        <v>58</v>
      </c>
      <c r="B3266">
        <v>2022</v>
      </c>
      <c r="C3266" t="s">
        <v>10</v>
      </c>
      <c r="D3266" s="35">
        <v>86735959.270000011</v>
      </c>
      <c r="E3266" s="35">
        <v>1653820</v>
      </c>
      <c r="F3266" s="35">
        <v>66160627.410000011</v>
      </c>
    </row>
    <row r="3267" spans="1:6" x14ac:dyDescent="0.3">
      <c r="A3267" t="s">
        <v>58</v>
      </c>
      <c r="B3267">
        <v>2022</v>
      </c>
      <c r="C3267" t="s">
        <v>4</v>
      </c>
      <c r="D3267" s="35">
        <v>247125411.88999999</v>
      </c>
      <c r="E3267" s="35">
        <v>519898</v>
      </c>
      <c r="F3267" s="35">
        <v>244572232.59999999</v>
      </c>
    </row>
    <row r="3268" spans="1:6" x14ac:dyDescent="0.3">
      <c r="A3268" t="s">
        <v>58</v>
      </c>
      <c r="B3268">
        <v>2022</v>
      </c>
      <c r="C3268" t="s">
        <v>13</v>
      </c>
      <c r="D3268" s="35">
        <v>84254089.75</v>
      </c>
      <c r="E3268" s="35">
        <v>728864</v>
      </c>
      <c r="F3268" s="35">
        <v>65020589.299999997</v>
      </c>
    </row>
    <row r="3269" spans="1:6" x14ac:dyDescent="0.3">
      <c r="A3269" t="s">
        <v>58</v>
      </c>
      <c r="B3269">
        <v>2022</v>
      </c>
      <c r="C3269" t="s">
        <v>16</v>
      </c>
      <c r="D3269" s="35">
        <v>36537173.559999987</v>
      </c>
      <c r="E3269" s="35">
        <v>82877</v>
      </c>
      <c r="F3269" s="35">
        <v>34573912.479999997</v>
      </c>
    </row>
    <row r="3270" spans="1:6" x14ac:dyDescent="0.3">
      <c r="A3270" t="s">
        <v>58</v>
      </c>
      <c r="B3270">
        <v>2022</v>
      </c>
      <c r="C3270" t="s">
        <v>14</v>
      </c>
      <c r="D3270" s="35">
        <v>70582395.449999988</v>
      </c>
      <c r="E3270" s="35">
        <v>1030950</v>
      </c>
      <c r="F3270" s="35">
        <v>48600082.840000004</v>
      </c>
    </row>
    <row r="3271" spans="1:6" x14ac:dyDescent="0.3">
      <c r="A3271" t="s">
        <v>58</v>
      </c>
      <c r="B3271">
        <v>2022</v>
      </c>
      <c r="C3271" t="s">
        <v>7</v>
      </c>
      <c r="D3271" s="35">
        <v>105707350.17</v>
      </c>
      <c r="E3271" s="35">
        <v>35262</v>
      </c>
      <c r="F3271" s="35">
        <v>105503165.17</v>
      </c>
    </row>
    <row r="3272" spans="1:6" x14ac:dyDescent="0.3">
      <c r="A3272" t="s">
        <v>58</v>
      </c>
      <c r="B3272">
        <v>2022</v>
      </c>
      <c r="C3272" t="s">
        <v>11</v>
      </c>
      <c r="D3272" s="35">
        <v>77604606.039999992</v>
      </c>
      <c r="E3272" s="35">
        <v>156455</v>
      </c>
      <c r="F3272" s="35">
        <v>74403095.390000015</v>
      </c>
    </row>
    <row r="3273" spans="1:6" x14ac:dyDescent="0.3">
      <c r="A3273" t="s">
        <v>58</v>
      </c>
      <c r="B3273">
        <v>2022</v>
      </c>
      <c r="C3273" t="s">
        <v>3</v>
      </c>
      <c r="D3273" s="35">
        <v>350736338.67000008</v>
      </c>
      <c r="E3273" s="35">
        <v>805201</v>
      </c>
      <c r="F3273" s="35">
        <v>337121948.25000012</v>
      </c>
    </row>
    <row r="3274" spans="1:6" x14ac:dyDescent="0.3">
      <c r="A3274" t="s">
        <v>58</v>
      </c>
      <c r="B3274">
        <v>2022</v>
      </c>
      <c r="C3274" t="s">
        <v>12</v>
      </c>
      <c r="D3274" s="35">
        <v>98402090.950000018</v>
      </c>
      <c r="E3274" s="35">
        <v>1969365</v>
      </c>
      <c r="F3274" s="35">
        <v>58913784.240000002</v>
      </c>
    </row>
    <row r="3275" spans="1:6" x14ac:dyDescent="0.3">
      <c r="A3275" t="s">
        <v>58</v>
      </c>
      <c r="B3275">
        <v>2022</v>
      </c>
      <c r="C3275" t="s">
        <v>2</v>
      </c>
      <c r="D3275" s="35">
        <v>640155784.75999987</v>
      </c>
      <c r="E3275" s="35">
        <v>3920900</v>
      </c>
      <c r="F3275" s="35">
        <v>574250511.27999985</v>
      </c>
    </row>
    <row r="3276" spans="1:6" x14ac:dyDescent="0.3">
      <c r="A3276" t="s">
        <v>58</v>
      </c>
      <c r="B3276">
        <v>2022</v>
      </c>
      <c r="C3276" t="s">
        <v>5</v>
      </c>
      <c r="D3276" s="35">
        <v>105589021.41</v>
      </c>
      <c r="E3276" s="35">
        <v>50537</v>
      </c>
      <c r="F3276" s="35">
        <v>102591177.23</v>
      </c>
    </row>
    <row r="3277" spans="1:6" x14ac:dyDescent="0.3">
      <c r="A3277" t="s">
        <v>58</v>
      </c>
      <c r="B3277">
        <v>2022</v>
      </c>
      <c r="C3277" t="s">
        <v>17</v>
      </c>
      <c r="D3277" s="35">
        <v>20015001.659999989</v>
      </c>
      <c r="E3277" s="35">
        <v>346649</v>
      </c>
      <c r="F3277" s="35">
        <v>3864156.32</v>
      </c>
    </row>
    <row r="3278" spans="1:6" x14ac:dyDescent="0.3">
      <c r="A3278" t="s">
        <v>58</v>
      </c>
      <c r="B3278">
        <v>2022</v>
      </c>
      <c r="C3278" t="s">
        <v>9</v>
      </c>
      <c r="D3278" s="35">
        <v>104707325.47</v>
      </c>
      <c r="E3278" s="35">
        <v>1414520</v>
      </c>
      <c r="F3278" s="35">
        <v>78993455.689999998</v>
      </c>
    </row>
    <row r="3279" spans="1:6" x14ac:dyDescent="0.3">
      <c r="A3279" t="s">
        <v>58</v>
      </c>
      <c r="B3279">
        <v>2022</v>
      </c>
      <c r="C3279" t="s">
        <v>8</v>
      </c>
      <c r="D3279" s="35">
        <v>151620938.11000001</v>
      </c>
      <c r="E3279" s="35">
        <v>8728</v>
      </c>
      <c r="F3279" s="35">
        <v>150715185.03</v>
      </c>
    </row>
    <row r="3280" spans="1:6" x14ac:dyDescent="0.3">
      <c r="A3280" t="s">
        <v>58</v>
      </c>
      <c r="B3280">
        <v>2022</v>
      </c>
      <c r="C3280" t="s">
        <v>6</v>
      </c>
      <c r="D3280" s="35">
        <v>207106189.41999999</v>
      </c>
      <c r="E3280" s="35">
        <v>2444296</v>
      </c>
      <c r="F3280" s="35">
        <v>176033076.75000009</v>
      </c>
    </row>
    <row r="3281" spans="1:6" x14ac:dyDescent="0.3">
      <c r="A3281" t="s">
        <v>58</v>
      </c>
      <c r="B3281">
        <v>2022</v>
      </c>
      <c r="C3281" t="s">
        <v>15</v>
      </c>
      <c r="D3281" s="35">
        <v>36163029.939999998</v>
      </c>
      <c r="E3281" s="35">
        <v>470441</v>
      </c>
      <c r="F3281" s="35">
        <v>25389426.59</v>
      </c>
    </row>
    <row r="3282" spans="1:6" x14ac:dyDescent="0.3">
      <c r="A3282" t="s">
        <v>58</v>
      </c>
      <c r="B3282">
        <v>2022</v>
      </c>
      <c r="C3282" t="s">
        <v>18</v>
      </c>
      <c r="D3282" s="35">
        <v>7698464.75</v>
      </c>
      <c r="E3282" s="35">
        <v>88755</v>
      </c>
      <c r="F3282" s="35">
        <v>5677997.3499999996</v>
      </c>
    </row>
    <row r="3283" spans="1:6" x14ac:dyDescent="0.3">
      <c r="A3283" t="s">
        <v>58</v>
      </c>
      <c r="B3283">
        <v>2023</v>
      </c>
      <c r="C3283" t="s">
        <v>10</v>
      </c>
      <c r="D3283" s="35">
        <v>84370248.460000008</v>
      </c>
      <c r="E3283" s="35">
        <v>1703624</v>
      </c>
      <c r="F3283" s="35">
        <v>64064787.159999996</v>
      </c>
    </row>
    <row r="3284" spans="1:6" x14ac:dyDescent="0.3">
      <c r="A3284" t="s">
        <v>58</v>
      </c>
      <c r="B3284">
        <v>2023</v>
      </c>
      <c r="C3284" t="s">
        <v>4</v>
      </c>
      <c r="D3284" s="35">
        <v>293657184.23999989</v>
      </c>
      <c r="E3284" s="35">
        <v>560948</v>
      </c>
      <c r="F3284" s="35">
        <v>291276984.93999988</v>
      </c>
    </row>
    <row r="3285" spans="1:6" x14ac:dyDescent="0.3">
      <c r="A3285" t="s">
        <v>58</v>
      </c>
      <c r="B3285">
        <v>2023</v>
      </c>
      <c r="C3285" t="s">
        <v>13</v>
      </c>
      <c r="D3285" s="35">
        <v>84991153.200000018</v>
      </c>
      <c r="E3285" s="35">
        <v>802780</v>
      </c>
      <c r="F3285" s="35">
        <v>66495076.929999977</v>
      </c>
    </row>
    <row r="3286" spans="1:6" x14ac:dyDescent="0.3">
      <c r="A3286" t="s">
        <v>58</v>
      </c>
      <c r="B3286">
        <v>2023</v>
      </c>
      <c r="C3286" t="s">
        <v>16</v>
      </c>
      <c r="D3286" s="35">
        <v>37828689.979999989</v>
      </c>
      <c r="E3286" s="35">
        <v>95798</v>
      </c>
      <c r="F3286" s="35">
        <v>34986818.390000008</v>
      </c>
    </row>
    <row r="3287" spans="1:6" x14ac:dyDescent="0.3">
      <c r="A3287" t="s">
        <v>58</v>
      </c>
      <c r="B3287">
        <v>2023</v>
      </c>
      <c r="C3287" t="s">
        <v>14</v>
      </c>
      <c r="D3287" s="35">
        <v>87434237.480000019</v>
      </c>
      <c r="E3287" s="35">
        <v>1119736</v>
      </c>
      <c r="F3287" s="35">
        <v>59242601.179999992</v>
      </c>
    </row>
    <row r="3288" spans="1:6" x14ac:dyDescent="0.3">
      <c r="A3288" t="s">
        <v>58</v>
      </c>
      <c r="B3288">
        <v>2023</v>
      </c>
      <c r="C3288" t="s">
        <v>7</v>
      </c>
      <c r="D3288" s="35">
        <v>120398885.13</v>
      </c>
      <c r="E3288" s="35">
        <v>37327</v>
      </c>
      <c r="F3288" s="35">
        <v>120078156.91</v>
      </c>
    </row>
    <row r="3289" spans="1:6" x14ac:dyDescent="0.3">
      <c r="A3289" t="s">
        <v>58</v>
      </c>
      <c r="B3289">
        <v>2023</v>
      </c>
      <c r="C3289" t="s">
        <v>11</v>
      </c>
      <c r="D3289" s="35">
        <v>82002783.000000015</v>
      </c>
      <c r="E3289" s="35">
        <v>152294</v>
      </c>
      <c r="F3289" s="35">
        <v>77262860.640000001</v>
      </c>
    </row>
    <row r="3290" spans="1:6" x14ac:dyDescent="0.3">
      <c r="A3290" t="s">
        <v>58</v>
      </c>
      <c r="B3290">
        <v>2023</v>
      </c>
      <c r="C3290" t="s">
        <v>3</v>
      </c>
      <c r="D3290" s="35">
        <v>494386595.08999997</v>
      </c>
      <c r="E3290" s="35">
        <v>914816</v>
      </c>
      <c r="F3290" s="35">
        <v>476341030.98000002</v>
      </c>
    </row>
    <row r="3291" spans="1:6" x14ac:dyDescent="0.3">
      <c r="A3291" t="s">
        <v>58</v>
      </c>
      <c r="B3291">
        <v>2023</v>
      </c>
      <c r="C3291" t="s">
        <v>12</v>
      </c>
      <c r="D3291" s="35">
        <v>104927449.44</v>
      </c>
      <c r="E3291" s="35">
        <v>2371071</v>
      </c>
      <c r="F3291" s="35">
        <v>57222681.57</v>
      </c>
    </row>
    <row r="3292" spans="1:6" x14ac:dyDescent="0.3">
      <c r="A3292" t="s">
        <v>58</v>
      </c>
      <c r="B3292">
        <v>2023</v>
      </c>
      <c r="C3292" t="s">
        <v>2</v>
      </c>
      <c r="D3292" s="35">
        <v>717815335.95000017</v>
      </c>
      <c r="E3292" s="35">
        <v>4234989</v>
      </c>
      <c r="F3292" s="35">
        <v>644718820.24999988</v>
      </c>
    </row>
    <row r="3293" spans="1:6" x14ac:dyDescent="0.3">
      <c r="A3293" t="s">
        <v>58</v>
      </c>
      <c r="B3293">
        <v>2023</v>
      </c>
      <c r="C3293" t="s">
        <v>5</v>
      </c>
      <c r="D3293" s="35">
        <v>113313510.09</v>
      </c>
      <c r="E3293" s="35">
        <v>49237</v>
      </c>
      <c r="F3293" s="35">
        <v>109427998.53</v>
      </c>
    </row>
    <row r="3294" spans="1:6" x14ac:dyDescent="0.3">
      <c r="A3294" t="s">
        <v>58</v>
      </c>
      <c r="B3294">
        <v>2023</v>
      </c>
      <c r="C3294" t="s">
        <v>17</v>
      </c>
      <c r="D3294" s="35">
        <v>29357266.16</v>
      </c>
      <c r="E3294" s="35">
        <v>359382</v>
      </c>
      <c r="F3294" s="35">
        <v>7072580.4500000002</v>
      </c>
    </row>
    <row r="3295" spans="1:6" x14ac:dyDescent="0.3">
      <c r="A3295" t="s">
        <v>58</v>
      </c>
      <c r="B3295">
        <v>2023</v>
      </c>
      <c r="C3295" t="s">
        <v>9</v>
      </c>
      <c r="D3295" s="35">
        <v>123494278.23</v>
      </c>
      <c r="E3295" s="35">
        <v>1494553</v>
      </c>
      <c r="F3295" s="35">
        <v>83372734.309999973</v>
      </c>
    </row>
    <row r="3296" spans="1:6" x14ac:dyDescent="0.3">
      <c r="A3296" t="s">
        <v>58</v>
      </c>
      <c r="B3296">
        <v>2023</v>
      </c>
      <c r="C3296" t="s">
        <v>8</v>
      </c>
      <c r="D3296" s="35">
        <v>181905808.25</v>
      </c>
      <c r="E3296" s="35">
        <v>10050</v>
      </c>
      <c r="F3296" s="35">
        <v>180941420.34999999</v>
      </c>
    </row>
    <row r="3297" spans="1:6" x14ac:dyDescent="0.3">
      <c r="A3297" t="s">
        <v>58</v>
      </c>
      <c r="B3297">
        <v>2023</v>
      </c>
      <c r="C3297" t="s">
        <v>6</v>
      </c>
      <c r="D3297" s="35">
        <v>225905171.28999999</v>
      </c>
      <c r="E3297" s="35">
        <v>2648480</v>
      </c>
      <c r="F3297" s="35">
        <v>193576511.44</v>
      </c>
    </row>
    <row r="3298" spans="1:6" x14ac:dyDescent="0.3">
      <c r="A3298" t="s">
        <v>58</v>
      </c>
      <c r="B3298">
        <v>2023</v>
      </c>
      <c r="C3298" t="s">
        <v>15</v>
      </c>
      <c r="D3298" s="35">
        <v>30359511.639999989</v>
      </c>
      <c r="E3298" s="35">
        <v>434593</v>
      </c>
      <c r="F3298" s="35">
        <v>20050921.670000002</v>
      </c>
    </row>
    <row r="3299" spans="1:6" x14ac:dyDescent="0.3">
      <c r="A3299" t="s">
        <v>58</v>
      </c>
      <c r="B3299">
        <v>2023</v>
      </c>
      <c r="C3299" t="s">
        <v>18</v>
      </c>
      <c r="D3299" s="35">
        <v>6793370.5199999977</v>
      </c>
      <c r="E3299" s="35">
        <v>50400</v>
      </c>
      <c r="F3299" s="35">
        <v>5900083.7599999998</v>
      </c>
    </row>
    <row r="3300" spans="1:6" x14ac:dyDescent="0.3">
      <c r="A3300" t="s">
        <v>58</v>
      </c>
      <c r="B3300">
        <v>2024</v>
      </c>
      <c r="C3300" t="s">
        <v>10</v>
      </c>
      <c r="D3300" s="35">
        <v>117532811.81999999</v>
      </c>
      <c r="E3300" s="35">
        <v>2164518</v>
      </c>
      <c r="F3300" s="35">
        <v>90981030.760000005</v>
      </c>
    </row>
    <row r="3301" spans="1:6" x14ac:dyDescent="0.3">
      <c r="A3301" t="s">
        <v>58</v>
      </c>
      <c r="B3301">
        <v>2024</v>
      </c>
      <c r="C3301" t="s">
        <v>4</v>
      </c>
      <c r="D3301" s="35">
        <v>389310244.75000012</v>
      </c>
      <c r="E3301" s="35">
        <v>783542</v>
      </c>
      <c r="F3301" s="35">
        <v>386669191.23000008</v>
      </c>
    </row>
    <row r="3302" spans="1:6" x14ac:dyDescent="0.3">
      <c r="A3302" t="s">
        <v>58</v>
      </c>
      <c r="B3302">
        <v>2024</v>
      </c>
      <c r="C3302" t="s">
        <v>13</v>
      </c>
      <c r="D3302" s="35">
        <v>107169598.48</v>
      </c>
      <c r="E3302" s="35">
        <v>846033</v>
      </c>
      <c r="F3302" s="35">
        <v>88884627.840000018</v>
      </c>
    </row>
    <row r="3303" spans="1:6" x14ac:dyDescent="0.3">
      <c r="A3303" t="s">
        <v>58</v>
      </c>
      <c r="B3303">
        <v>2024</v>
      </c>
      <c r="C3303" t="s">
        <v>16</v>
      </c>
      <c r="D3303" s="35">
        <v>42541160.399999999</v>
      </c>
      <c r="E3303" s="35">
        <v>106423</v>
      </c>
      <c r="F3303" s="35">
        <v>39128885.009999998</v>
      </c>
    </row>
    <row r="3304" spans="1:6" x14ac:dyDescent="0.3">
      <c r="A3304" t="s">
        <v>58</v>
      </c>
      <c r="B3304">
        <v>2024</v>
      </c>
      <c r="C3304" t="s">
        <v>14</v>
      </c>
      <c r="D3304" s="35">
        <v>123214568.04000001</v>
      </c>
      <c r="E3304" s="35">
        <v>1281503</v>
      </c>
      <c r="F3304" s="35">
        <v>78485834.559999987</v>
      </c>
    </row>
    <row r="3305" spans="1:6" x14ac:dyDescent="0.3">
      <c r="A3305" t="s">
        <v>58</v>
      </c>
      <c r="B3305">
        <v>2024</v>
      </c>
      <c r="C3305" t="s">
        <v>7</v>
      </c>
      <c r="D3305" s="35">
        <v>200292180.63</v>
      </c>
      <c r="E3305" s="35">
        <v>58099</v>
      </c>
      <c r="F3305" s="35">
        <v>200058463.86000001</v>
      </c>
    </row>
    <row r="3306" spans="1:6" x14ac:dyDescent="0.3">
      <c r="A3306" t="s">
        <v>58</v>
      </c>
      <c r="B3306">
        <v>2024</v>
      </c>
      <c r="C3306" t="s">
        <v>11</v>
      </c>
      <c r="D3306" s="35">
        <v>94004371.87999998</v>
      </c>
      <c r="E3306" s="35">
        <v>170959</v>
      </c>
      <c r="F3306" s="35">
        <v>84481406.209999993</v>
      </c>
    </row>
    <row r="3307" spans="1:6" x14ac:dyDescent="0.3">
      <c r="A3307" t="s">
        <v>58</v>
      </c>
      <c r="B3307">
        <v>2024</v>
      </c>
      <c r="C3307" t="s">
        <v>3</v>
      </c>
      <c r="D3307" s="35">
        <v>639991706.40999997</v>
      </c>
      <c r="E3307" s="35">
        <v>1104799</v>
      </c>
      <c r="F3307" s="35">
        <v>610678280.55000019</v>
      </c>
    </row>
    <row r="3308" spans="1:6" x14ac:dyDescent="0.3">
      <c r="A3308" t="s">
        <v>58</v>
      </c>
      <c r="B3308">
        <v>2024</v>
      </c>
      <c r="C3308" t="s">
        <v>12</v>
      </c>
      <c r="D3308" s="35">
        <v>145369385.94999999</v>
      </c>
      <c r="E3308" s="35">
        <v>2603214</v>
      </c>
      <c r="F3308" s="35">
        <v>83410080.959999979</v>
      </c>
    </row>
    <row r="3309" spans="1:6" x14ac:dyDescent="0.3">
      <c r="A3309" t="s">
        <v>58</v>
      </c>
      <c r="B3309">
        <v>2024</v>
      </c>
      <c r="C3309" t="s">
        <v>2</v>
      </c>
      <c r="D3309" s="35">
        <v>785372918.08999991</v>
      </c>
      <c r="E3309" s="35">
        <v>4978276</v>
      </c>
      <c r="F3309" s="35">
        <v>687736447.75</v>
      </c>
    </row>
    <row r="3310" spans="1:6" x14ac:dyDescent="0.3">
      <c r="A3310" t="s">
        <v>58</v>
      </c>
      <c r="B3310">
        <v>2024</v>
      </c>
      <c r="C3310" t="s">
        <v>5</v>
      </c>
      <c r="D3310" s="35">
        <v>139627312.56999999</v>
      </c>
      <c r="E3310" s="35">
        <v>61820</v>
      </c>
      <c r="F3310" s="35">
        <v>132946558.39</v>
      </c>
    </row>
    <row r="3311" spans="1:6" x14ac:dyDescent="0.3">
      <c r="A3311" t="s">
        <v>58</v>
      </c>
      <c r="B3311">
        <v>2024</v>
      </c>
      <c r="C3311" t="s">
        <v>17</v>
      </c>
      <c r="D3311" s="35">
        <v>80357803.140000015</v>
      </c>
      <c r="E3311" s="35">
        <v>492992</v>
      </c>
      <c r="F3311" s="35">
        <v>19132057.31000001</v>
      </c>
    </row>
    <row r="3312" spans="1:6" x14ac:dyDescent="0.3">
      <c r="A3312" t="s">
        <v>58</v>
      </c>
      <c r="B3312">
        <v>2024</v>
      </c>
      <c r="C3312" t="s">
        <v>9</v>
      </c>
      <c r="D3312" s="35">
        <v>194044936.6500001</v>
      </c>
      <c r="E3312" s="35">
        <v>1852750</v>
      </c>
      <c r="F3312" s="35">
        <v>117880564.81999999</v>
      </c>
    </row>
    <row r="3313" spans="1:6" x14ac:dyDescent="0.3">
      <c r="A3313" t="s">
        <v>58</v>
      </c>
      <c r="B3313">
        <v>2024</v>
      </c>
      <c r="C3313" t="s">
        <v>8</v>
      </c>
      <c r="D3313" s="35">
        <v>209915322.37</v>
      </c>
      <c r="E3313" s="35">
        <v>10507</v>
      </c>
      <c r="F3313" s="35">
        <v>209348857.16999999</v>
      </c>
    </row>
    <row r="3314" spans="1:6" x14ac:dyDescent="0.3">
      <c r="A3314" t="s">
        <v>58</v>
      </c>
      <c r="B3314">
        <v>2024</v>
      </c>
      <c r="C3314" t="s">
        <v>6</v>
      </c>
      <c r="D3314" s="35">
        <v>222624698.58000001</v>
      </c>
      <c r="E3314" s="35">
        <v>2848808</v>
      </c>
      <c r="F3314" s="35">
        <v>175270506.94999999</v>
      </c>
    </row>
    <row r="3315" spans="1:6" x14ac:dyDescent="0.3">
      <c r="A3315" t="s">
        <v>58</v>
      </c>
      <c r="B3315">
        <v>2024</v>
      </c>
      <c r="C3315" t="s">
        <v>15</v>
      </c>
      <c r="D3315" s="35">
        <v>30875757.66</v>
      </c>
      <c r="E3315" s="35">
        <v>398256</v>
      </c>
      <c r="F3315" s="35">
        <v>18874760.469999999</v>
      </c>
    </row>
    <row r="3316" spans="1:6" x14ac:dyDescent="0.3">
      <c r="A3316" t="s">
        <v>58</v>
      </c>
      <c r="B3316">
        <v>2024</v>
      </c>
      <c r="C3316" t="s">
        <v>18</v>
      </c>
      <c r="D3316" s="35">
        <v>11268793.67</v>
      </c>
      <c r="E3316" s="35">
        <v>58258</v>
      </c>
      <c r="F3316" s="35">
        <v>9871494.0000000019</v>
      </c>
    </row>
    <row r="3317" spans="1:6" x14ac:dyDescent="0.3">
      <c r="A3317" t="s">
        <v>58</v>
      </c>
      <c r="B3317">
        <v>2025</v>
      </c>
      <c r="C3317" t="s">
        <v>10</v>
      </c>
      <c r="D3317" s="35">
        <v>154625958.31</v>
      </c>
      <c r="E3317" s="35">
        <v>2475587</v>
      </c>
      <c r="F3317" s="35">
        <v>123085971.61</v>
      </c>
    </row>
    <row r="3318" spans="1:6" x14ac:dyDescent="0.3">
      <c r="A3318" t="s">
        <v>58</v>
      </c>
      <c r="B3318">
        <v>2025</v>
      </c>
      <c r="C3318" t="s">
        <v>4</v>
      </c>
      <c r="D3318" s="35">
        <v>753773443.88999987</v>
      </c>
      <c r="E3318" s="35">
        <v>1089037</v>
      </c>
      <c r="F3318" s="35">
        <v>750650414.05999994</v>
      </c>
    </row>
    <row r="3319" spans="1:6" x14ac:dyDescent="0.3">
      <c r="A3319" t="s">
        <v>58</v>
      </c>
      <c r="B3319">
        <v>2025</v>
      </c>
      <c r="C3319" t="s">
        <v>13</v>
      </c>
      <c r="D3319" s="35">
        <v>136685498.97</v>
      </c>
      <c r="E3319" s="35">
        <v>928977</v>
      </c>
      <c r="F3319" s="35">
        <v>116397862.42</v>
      </c>
    </row>
    <row r="3320" spans="1:6" x14ac:dyDescent="0.3">
      <c r="A3320" t="s">
        <v>58</v>
      </c>
      <c r="B3320">
        <v>2025</v>
      </c>
      <c r="C3320" t="s">
        <v>16</v>
      </c>
      <c r="D3320" s="35">
        <v>49412238.990000002</v>
      </c>
      <c r="E3320" s="35">
        <v>113240</v>
      </c>
      <c r="F3320" s="35">
        <v>45613347.399999991</v>
      </c>
    </row>
    <row r="3321" spans="1:6" x14ac:dyDescent="0.3">
      <c r="A3321" t="s">
        <v>58</v>
      </c>
      <c r="B3321">
        <v>2025</v>
      </c>
      <c r="C3321" t="s">
        <v>14</v>
      </c>
      <c r="D3321" s="35">
        <v>144987365.62</v>
      </c>
      <c r="E3321" s="35">
        <v>1426454</v>
      </c>
      <c r="F3321" s="35">
        <v>87725428.760000005</v>
      </c>
    </row>
    <row r="3322" spans="1:6" x14ac:dyDescent="0.3">
      <c r="A3322" t="s">
        <v>58</v>
      </c>
      <c r="B3322">
        <v>2025</v>
      </c>
      <c r="C3322" t="s">
        <v>7</v>
      </c>
      <c r="D3322" s="35">
        <v>277152132.67999989</v>
      </c>
      <c r="E3322" s="35">
        <v>73725</v>
      </c>
      <c r="F3322" s="35">
        <v>276749284.70999998</v>
      </c>
    </row>
    <row r="3323" spans="1:6" x14ac:dyDescent="0.3">
      <c r="A3323" t="s">
        <v>58</v>
      </c>
      <c r="B3323">
        <v>2025</v>
      </c>
      <c r="C3323" t="s">
        <v>11</v>
      </c>
      <c r="D3323" s="35">
        <v>114128121.59</v>
      </c>
      <c r="E3323" s="35">
        <v>186509</v>
      </c>
      <c r="F3323" s="35">
        <v>102261345.92</v>
      </c>
    </row>
    <row r="3324" spans="1:6" x14ac:dyDescent="0.3">
      <c r="A3324" t="s">
        <v>58</v>
      </c>
      <c r="B3324">
        <v>2025</v>
      </c>
      <c r="C3324" t="s">
        <v>3</v>
      </c>
      <c r="D3324" s="35">
        <v>861673814.05999982</v>
      </c>
      <c r="E3324" s="35">
        <v>1205400</v>
      </c>
      <c r="F3324" s="35">
        <v>829764921.3499999</v>
      </c>
    </row>
    <row r="3325" spans="1:6" x14ac:dyDescent="0.3">
      <c r="A3325" t="s">
        <v>58</v>
      </c>
      <c r="B3325">
        <v>2025</v>
      </c>
      <c r="C3325" t="s">
        <v>12</v>
      </c>
      <c r="D3325" s="35">
        <v>144615552.19999999</v>
      </c>
      <c r="E3325" s="35">
        <v>2670879</v>
      </c>
      <c r="F3325" s="35">
        <v>80023149.829999998</v>
      </c>
    </row>
    <row r="3326" spans="1:6" x14ac:dyDescent="0.3">
      <c r="A3326" t="s">
        <v>58</v>
      </c>
      <c r="B3326">
        <v>2025</v>
      </c>
      <c r="C3326" t="s">
        <v>2</v>
      </c>
      <c r="D3326" s="35">
        <v>941555604.33000004</v>
      </c>
      <c r="E3326" s="35">
        <v>5568561</v>
      </c>
      <c r="F3326" s="35">
        <v>819997342.95999992</v>
      </c>
    </row>
    <row r="3327" spans="1:6" x14ac:dyDescent="0.3">
      <c r="A3327" t="s">
        <v>58</v>
      </c>
      <c r="B3327">
        <v>2025</v>
      </c>
      <c r="C3327" t="s">
        <v>5</v>
      </c>
      <c r="D3327" s="35">
        <v>201490126.97999999</v>
      </c>
      <c r="E3327" s="35">
        <v>73396</v>
      </c>
      <c r="F3327" s="35">
        <v>190005990.95999989</v>
      </c>
    </row>
    <row r="3328" spans="1:6" x14ac:dyDescent="0.3">
      <c r="A3328" t="s">
        <v>58</v>
      </c>
      <c r="B3328">
        <v>2025</v>
      </c>
      <c r="C3328" t="s">
        <v>17</v>
      </c>
      <c r="D3328" s="35">
        <v>112649405.56</v>
      </c>
      <c r="E3328" s="35">
        <v>564350</v>
      </c>
      <c r="F3328" s="35">
        <v>22413377.039999999</v>
      </c>
    </row>
    <row r="3329" spans="1:6" x14ac:dyDescent="0.3">
      <c r="A3329" t="s">
        <v>58</v>
      </c>
      <c r="B3329">
        <v>2025</v>
      </c>
      <c r="C3329" t="s">
        <v>9</v>
      </c>
      <c r="D3329" s="35">
        <v>231263008.92000011</v>
      </c>
      <c r="E3329" s="35">
        <v>2109787</v>
      </c>
      <c r="F3329" s="35">
        <v>142992082.08000001</v>
      </c>
    </row>
    <row r="3330" spans="1:6" x14ac:dyDescent="0.3">
      <c r="A3330" t="s">
        <v>58</v>
      </c>
      <c r="B3330">
        <v>2025</v>
      </c>
      <c r="C3330" t="s">
        <v>8</v>
      </c>
      <c r="D3330" s="35">
        <v>218158321.69</v>
      </c>
      <c r="E3330" s="35">
        <v>9793</v>
      </c>
      <c r="F3330" s="35">
        <v>217571227.7700001</v>
      </c>
    </row>
    <row r="3331" spans="1:6" x14ac:dyDescent="0.3">
      <c r="A3331" t="s">
        <v>58</v>
      </c>
      <c r="B3331">
        <v>2025</v>
      </c>
      <c r="C3331" t="s">
        <v>6</v>
      </c>
      <c r="D3331" s="35">
        <v>254121815.50999999</v>
      </c>
      <c r="E3331" s="35">
        <v>2997297</v>
      </c>
      <c r="F3331" s="35">
        <v>198227149.13</v>
      </c>
    </row>
    <row r="3332" spans="1:6" x14ac:dyDescent="0.3">
      <c r="A3332" t="s">
        <v>58</v>
      </c>
      <c r="B3332">
        <v>2025</v>
      </c>
      <c r="C3332" t="s">
        <v>15</v>
      </c>
      <c r="D3332" s="35">
        <v>44764129.909999996</v>
      </c>
      <c r="E3332" s="35">
        <v>422270</v>
      </c>
      <c r="F3332" s="35">
        <v>31249057.82</v>
      </c>
    </row>
    <row r="3333" spans="1:6" x14ac:dyDescent="0.3">
      <c r="A3333" t="s">
        <v>58</v>
      </c>
      <c r="B3333">
        <v>2025</v>
      </c>
      <c r="C3333" t="s">
        <v>18</v>
      </c>
      <c r="D3333" s="35">
        <v>12167360.460000001</v>
      </c>
      <c r="E3333" s="35">
        <v>68628</v>
      </c>
      <c r="F3333" s="35">
        <v>9409892.8999999985</v>
      </c>
    </row>
    <row r="3334" spans="1:6" x14ac:dyDescent="0.3">
      <c r="A3334" t="s">
        <v>59</v>
      </c>
      <c r="B3334">
        <v>2019</v>
      </c>
      <c r="C3334" t="s">
        <v>10</v>
      </c>
      <c r="D3334" s="35">
        <v>2588874.75</v>
      </c>
      <c r="E3334" s="35">
        <v>112451</v>
      </c>
      <c r="F3334" s="35">
        <v>1039504.97</v>
      </c>
    </row>
    <row r="3335" spans="1:6" x14ac:dyDescent="0.3">
      <c r="A3335" t="s">
        <v>59</v>
      </c>
      <c r="B3335">
        <v>2019</v>
      </c>
      <c r="C3335" t="s">
        <v>4</v>
      </c>
      <c r="D3335" s="35">
        <v>10419718.199999999</v>
      </c>
      <c r="E3335" s="35">
        <v>36399</v>
      </c>
      <c r="F3335" s="35">
        <v>10197767.289999999</v>
      </c>
    </row>
    <row r="3336" spans="1:6" x14ac:dyDescent="0.3">
      <c r="A3336" t="s">
        <v>59</v>
      </c>
      <c r="B3336">
        <v>2019</v>
      </c>
      <c r="C3336" t="s">
        <v>13</v>
      </c>
      <c r="D3336" s="35">
        <v>3406297.28</v>
      </c>
      <c r="E3336" s="35">
        <v>33828</v>
      </c>
      <c r="F3336" s="35">
        <v>2577308.7000000002</v>
      </c>
    </row>
    <row r="3337" spans="1:6" x14ac:dyDescent="0.3">
      <c r="A3337" t="s">
        <v>59</v>
      </c>
      <c r="B3337">
        <v>2019</v>
      </c>
      <c r="C3337" t="s">
        <v>16</v>
      </c>
      <c r="D3337" s="35">
        <v>594445.98</v>
      </c>
      <c r="E3337" s="35">
        <v>1584</v>
      </c>
      <c r="F3337" s="35">
        <v>554469.9</v>
      </c>
    </row>
    <row r="3338" spans="1:6" x14ac:dyDescent="0.3">
      <c r="A3338" t="s">
        <v>59</v>
      </c>
      <c r="B3338">
        <v>2019</v>
      </c>
      <c r="C3338" t="s">
        <v>14</v>
      </c>
      <c r="D3338" s="35">
        <v>1299903.46</v>
      </c>
      <c r="E3338" s="35">
        <v>50540</v>
      </c>
      <c r="F3338" s="35">
        <v>573603.93999999994</v>
      </c>
    </row>
    <row r="3339" spans="1:6" x14ac:dyDescent="0.3">
      <c r="A3339" t="s">
        <v>59</v>
      </c>
      <c r="B3339">
        <v>2019</v>
      </c>
      <c r="C3339" t="s">
        <v>7</v>
      </c>
      <c r="D3339" s="35">
        <v>689820.54999999993</v>
      </c>
      <c r="E3339" s="35">
        <v>297</v>
      </c>
      <c r="F3339" s="35">
        <v>689820.54999999993</v>
      </c>
    </row>
    <row r="3340" spans="1:6" x14ac:dyDescent="0.3">
      <c r="A3340" t="s">
        <v>59</v>
      </c>
      <c r="B3340">
        <v>2019</v>
      </c>
      <c r="C3340" t="s">
        <v>11</v>
      </c>
      <c r="D3340" s="35">
        <v>1719227.65</v>
      </c>
      <c r="E3340" s="35">
        <v>12544</v>
      </c>
      <c r="F3340" s="35">
        <v>1659362.64</v>
      </c>
    </row>
    <row r="3341" spans="1:6" x14ac:dyDescent="0.3">
      <c r="A3341" t="s">
        <v>59</v>
      </c>
      <c r="B3341">
        <v>2019</v>
      </c>
      <c r="C3341" t="s">
        <v>3</v>
      </c>
      <c r="D3341" s="35">
        <v>6001317.830000001</v>
      </c>
      <c r="E3341" s="35">
        <v>30432</v>
      </c>
      <c r="F3341" s="35">
        <v>5633176.1799999997</v>
      </c>
    </row>
    <row r="3342" spans="1:6" x14ac:dyDescent="0.3">
      <c r="A3342" t="s">
        <v>59</v>
      </c>
      <c r="B3342">
        <v>2019</v>
      </c>
      <c r="C3342" t="s">
        <v>12</v>
      </c>
      <c r="D3342" s="35">
        <v>4706615.92</v>
      </c>
      <c r="E3342" s="35">
        <v>69600</v>
      </c>
      <c r="F3342" s="35">
        <v>3352952.45</v>
      </c>
    </row>
    <row r="3343" spans="1:6" x14ac:dyDescent="0.3">
      <c r="A3343" t="s">
        <v>59</v>
      </c>
      <c r="B3343">
        <v>2019</v>
      </c>
      <c r="C3343" t="s">
        <v>2</v>
      </c>
      <c r="D3343" s="35">
        <v>18631176.09</v>
      </c>
      <c r="E3343" s="35">
        <v>259447</v>
      </c>
      <c r="F3343" s="35">
        <v>14458012.26</v>
      </c>
    </row>
    <row r="3344" spans="1:6" x14ac:dyDescent="0.3">
      <c r="A3344" t="s">
        <v>59</v>
      </c>
      <c r="B3344">
        <v>2019</v>
      </c>
      <c r="C3344" t="s">
        <v>5</v>
      </c>
      <c r="D3344" s="35">
        <v>4248702.66</v>
      </c>
      <c r="E3344" s="35">
        <v>2662</v>
      </c>
      <c r="F3344" s="35">
        <v>4101932.54</v>
      </c>
    </row>
    <row r="3345" spans="1:6" x14ac:dyDescent="0.3">
      <c r="A3345" t="s">
        <v>59</v>
      </c>
      <c r="B3345">
        <v>2019</v>
      </c>
      <c r="C3345" t="s">
        <v>17</v>
      </c>
      <c r="D3345" s="35">
        <v>314276.27</v>
      </c>
      <c r="E3345" s="35">
        <v>21896</v>
      </c>
      <c r="F3345" s="35">
        <v>114493.92</v>
      </c>
    </row>
    <row r="3346" spans="1:6" x14ac:dyDescent="0.3">
      <c r="A3346" t="s">
        <v>59</v>
      </c>
      <c r="B3346">
        <v>2019</v>
      </c>
      <c r="C3346" t="s">
        <v>9</v>
      </c>
      <c r="D3346" s="35">
        <v>2551689.850000001</v>
      </c>
      <c r="E3346" s="35">
        <v>84073</v>
      </c>
      <c r="F3346" s="35">
        <v>1290988.1499999999</v>
      </c>
    </row>
    <row r="3347" spans="1:6" x14ac:dyDescent="0.3">
      <c r="A3347" t="s">
        <v>59</v>
      </c>
      <c r="B3347">
        <v>2019</v>
      </c>
      <c r="C3347" t="s">
        <v>8</v>
      </c>
      <c r="D3347" s="35">
        <v>40463.86</v>
      </c>
      <c r="E3347" s="35">
        <v>26</v>
      </c>
      <c r="F3347" s="35">
        <v>40463.86</v>
      </c>
    </row>
    <row r="3348" spans="1:6" x14ac:dyDescent="0.3">
      <c r="A3348" t="s">
        <v>59</v>
      </c>
      <c r="B3348">
        <v>2019</v>
      </c>
      <c r="C3348" t="s">
        <v>6</v>
      </c>
      <c r="D3348" s="35">
        <v>6224084.370000002</v>
      </c>
      <c r="E3348" s="35">
        <v>73123</v>
      </c>
      <c r="F3348" s="35">
        <v>5353606.28</v>
      </c>
    </row>
    <row r="3349" spans="1:6" x14ac:dyDescent="0.3">
      <c r="A3349" t="s">
        <v>59</v>
      </c>
      <c r="B3349">
        <v>2019</v>
      </c>
      <c r="C3349" t="s">
        <v>15</v>
      </c>
      <c r="D3349" s="35">
        <v>1348005.13</v>
      </c>
      <c r="E3349" s="35">
        <v>35412</v>
      </c>
      <c r="F3349" s="35">
        <v>763821.43</v>
      </c>
    </row>
    <row r="3350" spans="1:6" x14ac:dyDescent="0.3">
      <c r="A3350" t="s">
        <v>59</v>
      </c>
      <c r="B3350">
        <v>2019</v>
      </c>
      <c r="C3350" t="s">
        <v>18</v>
      </c>
      <c r="D3350" s="35">
        <v>269603.71999999997</v>
      </c>
      <c r="E3350" s="35">
        <v>5546</v>
      </c>
      <c r="F3350" s="35">
        <v>216803.44</v>
      </c>
    </row>
    <row r="3351" spans="1:6" x14ac:dyDescent="0.3">
      <c r="A3351" t="s">
        <v>59</v>
      </c>
      <c r="B3351">
        <v>2020</v>
      </c>
      <c r="C3351" t="s">
        <v>10</v>
      </c>
      <c r="D3351" s="35">
        <v>3070312.47</v>
      </c>
      <c r="E3351" s="35">
        <v>120089</v>
      </c>
      <c r="F3351" s="35">
        <v>1427094.43</v>
      </c>
    </row>
    <row r="3352" spans="1:6" x14ac:dyDescent="0.3">
      <c r="A3352" t="s">
        <v>59</v>
      </c>
      <c r="B3352">
        <v>2020</v>
      </c>
      <c r="C3352" t="s">
        <v>4</v>
      </c>
      <c r="D3352" s="35">
        <v>12609697.67</v>
      </c>
      <c r="E3352" s="35">
        <v>38112</v>
      </c>
      <c r="F3352" s="35">
        <v>12390242.029999999</v>
      </c>
    </row>
    <row r="3353" spans="1:6" x14ac:dyDescent="0.3">
      <c r="A3353" t="s">
        <v>59</v>
      </c>
      <c r="B3353">
        <v>2020</v>
      </c>
      <c r="C3353" t="s">
        <v>13</v>
      </c>
      <c r="D3353" s="35">
        <v>3907953.870000001</v>
      </c>
      <c r="E3353" s="35">
        <v>38881</v>
      </c>
      <c r="F3353" s="35">
        <v>3084628.3499999992</v>
      </c>
    </row>
    <row r="3354" spans="1:6" x14ac:dyDescent="0.3">
      <c r="A3354" t="s">
        <v>59</v>
      </c>
      <c r="B3354">
        <v>2020</v>
      </c>
      <c r="C3354" t="s">
        <v>16</v>
      </c>
      <c r="D3354" s="35">
        <v>875074.24000000011</v>
      </c>
      <c r="E3354" s="35">
        <v>2454</v>
      </c>
      <c r="F3354" s="35">
        <v>787141</v>
      </c>
    </row>
    <row r="3355" spans="1:6" x14ac:dyDescent="0.3">
      <c r="A3355" t="s">
        <v>59</v>
      </c>
      <c r="B3355">
        <v>2020</v>
      </c>
      <c r="C3355" t="s">
        <v>14</v>
      </c>
      <c r="D3355" s="35">
        <v>1569055.21</v>
      </c>
      <c r="E3355" s="35">
        <v>55570</v>
      </c>
      <c r="F3355" s="35">
        <v>812453.31</v>
      </c>
    </row>
    <row r="3356" spans="1:6" x14ac:dyDescent="0.3">
      <c r="A3356" t="s">
        <v>59</v>
      </c>
      <c r="B3356">
        <v>2020</v>
      </c>
      <c r="C3356" t="s">
        <v>7</v>
      </c>
      <c r="D3356" s="35">
        <v>1409684.15</v>
      </c>
      <c r="E3356" s="35">
        <v>568</v>
      </c>
      <c r="F3356" s="35">
        <v>1409235.87</v>
      </c>
    </row>
    <row r="3357" spans="1:6" x14ac:dyDescent="0.3">
      <c r="A3357" t="s">
        <v>59</v>
      </c>
      <c r="B3357">
        <v>2020</v>
      </c>
      <c r="C3357" t="s">
        <v>11</v>
      </c>
      <c r="D3357" s="35">
        <v>1287304.5</v>
      </c>
      <c r="E3357" s="35">
        <v>13306</v>
      </c>
      <c r="F3357" s="35">
        <v>1202227.18</v>
      </c>
    </row>
    <row r="3358" spans="1:6" x14ac:dyDescent="0.3">
      <c r="A3358" t="s">
        <v>59</v>
      </c>
      <c r="B3358">
        <v>2020</v>
      </c>
      <c r="C3358" t="s">
        <v>3</v>
      </c>
      <c r="D3358" s="35">
        <v>10586167.23</v>
      </c>
      <c r="E3358" s="35">
        <v>31269</v>
      </c>
      <c r="F3358" s="35">
        <v>10187508.57</v>
      </c>
    </row>
    <row r="3359" spans="1:6" x14ac:dyDescent="0.3">
      <c r="A3359" t="s">
        <v>59</v>
      </c>
      <c r="B3359">
        <v>2020</v>
      </c>
      <c r="C3359" t="s">
        <v>12</v>
      </c>
      <c r="D3359" s="35">
        <v>5345362.4300000006</v>
      </c>
      <c r="E3359" s="35">
        <v>64646</v>
      </c>
      <c r="F3359" s="35">
        <v>3997455.4</v>
      </c>
    </row>
    <row r="3360" spans="1:6" x14ac:dyDescent="0.3">
      <c r="A3360" t="s">
        <v>59</v>
      </c>
      <c r="B3360">
        <v>2020</v>
      </c>
      <c r="C3360" t="s">
        <v>2</v>
      </c>
      <c r="D3360" s="35">
        <v>20716942.089999989</v>
      </c>
      <c r="E3360" s="35">
        <v>275470</v>
      </c>
      <c r="F3360" s="35">
        <v>16458118.199999999</v>
      </c>
    </row>
    <row r="3361" spans="1:6" x14ac:dyDescent="0.3">
      <c r="A3361" t="s">
        <v>59</v>
      </c>
      <c r="B3361">
        <v>2020</v>
      </c>
      <c r="C3361" t="s">
        <v>5</v>
      </c>
      <c r="D3361" s="35">
        <v>2559061.0299999998</v>
      </c>
      <c r="E3361" s="35">
        <v>2451</v>
      </c>
      <c r="F3361" s="35">
        <v>2397149.84</v>
      </c>
    </row>
    <row r="3362" spans="1:6" x14ac:dyDescent="0.3">
      <c r="A3362" t="s">
        <v>59</v>
      </c>
      <c r="B3362">
        <v>2020</v>
      </c>
      <c r="C3362" t="s">
        <v>17</v>
      </c>
      <c r="D3362" s="35">
        <v>376519.51</v>
      </c>
      <c r="E3362" s="35">
        <v>23903</v>
      </c>
      <c r="F3362" s="35">
        <v>114622.8</v>
      </c>
    </row>
    <row r="3363" spans="1:6" x14ac:dyDescent="0.3">
      <c r="A3363" t="s">
        <v>59</v>
      </c>
      <c r="B3363">
        <v>2020</v>
      </c>
      <c r="C3363" t="s">
        <v>9</v>
      </c>
      <c r="D3363" s="35">
        <v>2505117.42</v>
      </c>
      <c r="E3363" s="35">
        <v>87283</v>
      </c>
      <c r="F3363" s="35">
        <v>1040948.17</v>
      </c>
    </row>
    <row r="3364" spans="1:6" x14ac:dyDescent="0.3">
      <c r="A3364" t="s">
        <v>59</v>
      </c>
      <c r="B3364">
        <v>2020</v>
      </c>
      <c r="C3364" t="s">
        <v>8</v>
      </c>
      <c r="D3364" s="35">
        <v>806046.94</v>
      </c>
      <c r="E3364" s="35">
        <v>95</v>
      </c>
      <c r="F3364" s="35">
        <v>806046.94</v>
      </c>
    </row>
    <row r="3365" spans="1:6" x14ac:dyDescent="0.3">
      <c r="A3365" t="s">
        <v>59</v>
      </c>
      <c r="B3365">
        <v>2020</v>
      </c>
      <c r="C3365" t="s">
        <v>6</v>
      </c>
      <c r="D3365" s="35">
        <v>6956773.4700000007</v>
      </c>
      <c r="E3365" s="35">
        <v>75543</v>
      </c>
      <c r="F3365" s="35">
        <v>6108567.1600000011</v>
      </c>
    </row>
    <row r="3366" spans="1:6" x14ac:dyDescent="0.3">
      <c r="A3366" t="s">
        <v>59</v>
      </c>
      <c r="B3366">
        <v>2020</v>
      </c>
      <c r="C3366" t="s">
        <v>15</v>
      </c>
      <c r="D3366" s="35">
        <v>1309201.1399999999</v>
      </c>
      <c r="E3366" s="35">
        <v>33658</v>
      </c>
      <c r="F3366" s="35">
        <v>750939.75000000012</v>
      </c>
    </row>
    <row r="3367" spans="1:6" x14ac:dyDescent="0.3">
      <c r="A3367" t="s">
        <v>59</v>
      </c>
      <c r="B3367">
        <v>2020</v>
      </c>
      <c r="C3367" t="s">
        <v>18</v>
      </c>
      <c r="D3367" s="35">
        <v>306631.2</v>
      </c>
      <c r="E3367" s="35">
        <v>5869</v>
      </c>
      <c r="F3367" s="35">
        <v>243402.59</v>
      </c>
    </row>
    <row r="3368" spans="1:6" x14ac:dyDescent="0.3">
      <c r="A3368" t="s">
        <v>59</v>
      </c>
      <c r="B3368">
        <v>2021</v>
      </c>
      <c r="C3368" t="s">
        <v>10</v>
      </c>
      <c r="D3368" s="35">
        <v>3799841.66</v>
      </c>
      <c r="E3368" s="35">
        <v>127900</v>
      </c>
      <c r="F3368" s="35">
        <v>2066592.69</v>
      </c>
    </row>
    <row r="3369" spans="1:6" x14ac:dyDescent="0.3">
      <c r="A3369" t="s">
        <v>59</v>
      </c>
      <c r="B3369">
        <v>2021</v>
      </c>
      <c r="C3369" t="s">
        <v>4</v>
      </c>
      <c r="D3369" s="35">
        <v>14504878.26</v>
      </c>
      <c r="E3369" s="35">
        <v>42511</v>
      </c>
      <c r="F3369" s="35">
        <v>14250978.68</v>
      </c>
    </row>
    <row r="3370" spans="1:6" x14ac:dyDescent="0.3">
      <c r="A3370" t="s">
        <v>59</v>
      </c>
      <c r="B3370">
        <v>2021</v>
      </c>
      <c r="C3370" t="s">
        <v>13</v>
      </c>
      <c r="D3370" s="35">
        <v>3949387.290000001</v>
      </c>
      <c r="E3370" s="35">
        <v>39660</v>
      </c>
      <c r="F3370" s="35">
        <v>3086108.459999999</v>
      </c>
    </row>
    <row r="3371" spans="1:6" x14ac:dyDescent="0.3">
      <c r="A3371" t="s">
        <v>59</v>
      </c>
      <c r="B3371">
        <v>2021</v>
      </c>
      <c r="C3371" t="s">
        <v>16</v>
      </c>
      <c r="D3371" s="35">
        <v>1068543.01</v>
      </c>
      <c r="E3371" s="35">
        <v>2969</v>
      </c>
      <c r="F3371" s="35">
        <v>955286.18</v>
      </c>
    </row>
    <row r="3372" spans="1:6" x14ac:dyDescent="0.3">
      <c r="A3372" t="s">
        <v>59</v>
      </c>
      <c r="B3372">
        <v>2021</v>
      </c>
      <c r="C3372" t="s">
        <v>14</v>
      </c>
      <c r="D3372" s="35">
        <v>1925768.22</v>
      </c>
      <c r="E3372" s="35">
        <v>65821</v>
      </c>
      <c r="F3372" s="35">
        <v>1053561.74</v>
      </c>
    </row>
    <row r="3373" spans="1:6" x14ac:dyDescent="0.3">
      <c r="A3373" t="s">
        <v>59</v>
      </c>
      <c r="B3373">
        <v>2021</v>
      </c>
      <c r="C3373" t="s">
        <v>7</v>
      </c>
      <c r="D3373" s="35">
        <v>2244209.66</v>
      </c>
      <c r="E3373" s="35">
        <v>806</v>
      </c>
      <c r="F3373" s="35">
        <v>2244209.66</v>
      </c>
    </row>
    <row r="3374" spans="1:6" x14ac:dyDescent="0.3">
      <c r="A3374" t="s">
        <v>59</v>
      </c>
      <c r="B3374">
        <v>2021</v>
      </c>
      <c r="C3374" t="s">
        <v>11</v>
      </c>
      <c r="D3374" s="35">
        <v>1426591.56</v>
      </c>
      <c r="E3374" s="35">
        <v>12744</v>
      </c>
      <c r="F3374" s="35">
        <v>1360911.35</v>
      </c>
    </row>
    <row r="3375" spans="1:6" x14ac:dyDescent="0.3">
      <c r="A3375" t="s">
        <v>59</v>
      </c>
      <c r="B3375">
        <v>2021</v>
      </c>
      <c r="C3375" t="s">
        <v>3</v>
      </c>
      <c r="D3375" s="35">
        <v>17016317.41</v>
      </c>
      <c r="E3375" s="35">
        <v>38907</v>
      </c>
      <c r="F3375" s="35">
        <v>16533201.75</v>
      </c>
    </row>
    <row r="3376" spans="1:6" x14ac:dyDescent="0.3">
      <c r="A3376" t="s">
        <v>59</v>
      </c>
      <c r="B3376">
        <v>2021</v>
      </c>
      <c r="C3376" t="s">
        <v>12</v>
      </c>
      <c r="D3376" s="35">
        <v>3318885.75</v>
      </c>
      <c r="E3376" s="35">
        <v>77509</v>
      </c>
      <c r="F3376" s="35">
        <v>1959316.38</v>
      </c>
    </row>
    <row r="3377" spans="1:6" x14ac:dyDescent="0.3">
      <c r="A3377" t="s">
        <v>59</v>
      </c>
      <c r="B3377">
        <v>2021</v>
      </c>
      <c r="C3377" t="s">
        <v>2</v>
      </c>
      <c r="D3377" s="35">
        <v>27340184.090000011</v>
      </c>
      <c r="E3377" s="35">
        <v>301248</v>
      </c>
      <c r="F3377" s="35">
        <v>23211159.710000001</v>
      </c>
    </row>
    <row r="3378" spans="1:6" x14ac:dyDescent="0.3">
      <c r="A3378" t="s">
        <v>59</v>
      </c>
      <c r="B3378">
        <v>2021</v>
      </c>
      <c r="C3378" t="s">
        <v>5</v>
      </c>
      <c r="D3378" s="35">
        <v>2476110.7599999998</v>
      </c>
      <c r="E3378" s="35">
        <v>2741</v>
      </c>
      <c r="F3378" s="35">
        <v>2383674.09</v>
      </c>
    </row>
    <row r="3379" spans="1:6" x14ac:dyDescent="0.3">
      <c r="A3379" t="s">
        <v>59</v>
      </c>
      <c r="B3379">
        <v>2021</v>
      </c>
      <c r="C3379" t="s">
        <v>17</v>
      </c>
      <c r="D3379" s="35">
        <v>388431.8</v>
      </c>
      <c r="E3379" s="35">
        <v>26255</v>
      </c>
      <c r="F3379" s="35">
        <v>117618.86</v>
      </c>
    </row>
    <row r="3380" spans="1:6" x14ac:dyDescent="0.3">
      <c r="A3380" t="s">
        <v>59</v>
      </c>
      <c r="B3380">
        <v>2021</v>
      </c>
      <c r="C3380" t="s">
        <v>9</v>
      </c>
      <c r="D3380" s="35">
        <v>3015951.42</v>
      </c>
      <c r="E3380" s="35">
        <v>101130</v>
      </c>
      <c r="F3380" s="35">
        <v>1489016.19</v>
      </c>
    </row>
    <row r="3381" spans="1:6" x14ac:dyDescent="0.3">
      <c r="A3381" t="s">
        <v>59</v>
      </c>
      <c r="B3381">
        <v>2021</v>
      </c>
      <c r="C3381" t="s">
        <v>8</v>
      </c>
      <c r="D3381" s="35">
        <v>1827791.7</v>
      </c>
      <c r="E3381" s="35">
        <v>146</v>
      </c>
      <c r="F3381" s="35">
        <v>1827791.7</v>
      </c>
    </row>
    <row r="3382" spans="1:6" x14ac:dyDescent="0.3">
      <c r="A3382" t="s">
        <v>59</v>
      </c>
      <c r="B3382">
        <v>2021</v>
      </c>
      <c r="C3382" t="s">
        <v>6</v>
      </c>
      <c r="D3382" s="35">
        <v>8530474.6400000006</v>
      </c>
      <c r="E3382" s="35">
        <v>84948</v>
      </c>
      <c r="F3382" s="35">
        <v>7574164.4200000018</v>
      </c>
    </row>
    <row r="3383" spans="1:6" x14ac:dyDescent="0.3">
      <c r="A3383" t="s">
        <v>59</v>
      </c>
      <c r="B3383">
        <v>2021</v>
      </c>
      <c r="C3383" t="s">
        <v>15</v>
      </c>
      <c r="D3383" s="35">
        <v>1307958.03</v>
      </c>
      <c r="E3383" s="35">
        <v>32373</v>
      </c>
      <c r="F3383" s="35">
        <v>725321.51</v>
      </c>
    </row>
    <row r="3384" spans="1:6" x14ac:dyDescent="0.3">
      <c r="A3384" t="s">
        <v>59</v>
      </c>
      <c r="B3384">
        <v>2021</v>
      </c>
      <c r="C3384" t="s">
        <v>18</v>
      </c>
      <c r="D3384" s="35">
        <v>308205.10999999993</v>
      </c>
      <c r="E3384" s="35">
        <v>6056</v>
      </c>
      <c r="F3384" s="35">
        <v>255168.1</v>
      </c>
    </row>
    <row r="3385" spans="1:6" x14ac:dyDescent="0.3">
      <c r="A3385" t="s">
        <v>59</v>
      </c>
      <c r="B3385">
        <v>2022</v>
      </c>
      <c r="C3385" t="s">
        <v>10</v>
      </c>
      <c r="D3385" s="35">
        <v>4528601.45</v>
      </c>
      <c r="E3385" s="35">
        <v>132888</v>
      </c>
      <c r="F3385" s="35">
        <v>2727879.55</v>
      </c>
    </row>
    <row r="3386" spans="1:6" x14ac:dyDescent="0.3">
      <c r="A3386" t="s">
        <v>59</v>
      </c>
      <c r="B3386">
        <v>2022</v>
      </c>
      <c r="C3386" t="s">
        <v>4</v>
      </c>
      <c r="D3386" s="35">
        <v>16683029.01</v>
      </c>
      <c r="E3386" s="35">
        <v>43584</v>
      </c>
      <c r="F3386" s="35">
        <v>16430598.609999999</v>
      </c>
    </row>
    <row r="3387" spans="1:6" x14ac:dyDescent="0.3">
      <c r="A3387" t="s">
        <v>59</v>
      </c>
      <c r="B3387">
        <v>2022</v>
      </c>
      <c r="C3387" t="s">
        <v>13</v>
      </c>
      <c r="D3387" s="35">
        <v>3832392.94</v>
      </c>
      <c r="E3387" s="35">
        <v>36792</v>
      </c>
      <c r="F3387" s="35">
        <v>3072180.45</v>
      </c>
    </row>
    <row r="3388" spans="1:6" x14ac:dyDescent="0.3">
      <c r="A3388" t="s">
        <v>59</v>
      </c>
      <c r="B3388">
        <v>2022</v>
      </c>
      <c r="C3388" t="s">
        <v>16</v>
      </c>
      <c r="D3388" s="35">
        <v>1188799.21</v>
      </c>
      <c r="E3388" s="35">
        <v>2773</v>
      </c>
      <c r="F3388" s="35">
        <v>1108207.43</v>
      </c>
    </row>
    <row r="3389" spans="1:6" x14ac:dyDescent="0.3">
      <c r="A3389" t="s">
        <v>59</v>
      </c>
      <c r="B3389">
        <v>2022</v>
      </c>
      <c r="C3389" t="s">
        <v>14</v>
      </c>
      <c r="D3389" s="35">
        <v>2043575.67</v>
      </c>
      <c r="E3389" s="35">
        <v>68484</v>
      </c>
      <c r="F3389" s="35">
        <v>1145382.3400000001</v>
      </c>
    </row>
    <row r="3390" spans="1:6" x14ac:dyDescent="0.3">
      <c r="A3390" t="s">
        <v>59</v>
      </c>
      <c r="B3390">
        <v>2022</v>
      </c>
      <c r="C3390" t="s">
        <v>7</v>
      </c>
      <c r="D3390" s="35">
        <v>2555093.77</v>
      </c>
      <c r="E3390" s="35">
        <v>884</v>
      </c>
      <c r="F3390" s="35">
        <v>2554225.2400000002</v>
      </c>
    </row>
    <row r="3391" spans="1:6" x14ac:dyDescent="0.3">
      <c r="A3391" t="s">
        <v>59</v>
      </c>
      <c r="B3391">
        <v>2022</v>
      </c>
      <c r="C3391" t="s">
        <v>11</v>
      </c>
      <c r="D3391" s="35">
        <v>786662.41</v>
      </c>
      <c r="E3391" s="35">
        <v>8315</v>
      </c>
      <c r="F3391" s="35">
        <v>681911.65999999992</v>
      </c>
    </row>
    <row r="3392" spans="1:6" x14ac:dyDescent="0.3">
      <c r="A3392" t="s">
        <v>59</v>
      </c>
      <c r="B3392">
        <v>2022</v>
      </c>
      <c r="C3392" t="s">
        <v>3</v>
      </c>
      <c r="D3392" s="35">
        <v>18302175.579999998</v>
      </c>
      <c r="E3392" s="35">
        <v>39149</v>
      </c>
      <c r="F3392" s="35">
        <v>17830567.530000001</v>
      </c>
    </row>
    <row r="3393" spans="1:6" x14ac:dyDescent="0.3">
      <c r="A3393" t="s">
        <v>59</v>
      </c>
      <c r="B3393">
        <v>2022</v>
      </c>
      <c r="C3393" t="s">
        <v>12</v>
      </c>
      <c r="D3393" s="35">
        <v>4908628.68</v>
      </c>
      <c r="E3393" s="35">
        <v>89116</v>
      </c>
      <c r="F3393" s="35">
        <v>3345532.7300000009</v>
      </c>
    </row>
    <row r="3394" spans="1:6" x14ac:dyDescent="0.3">
      <c r="A3394" t="s">
        <v>59</v>
      </c>
      <c r="B3394">
        <v>2022</v>
      </c>
      <c r="C3394" t="s">
        <v>2</v>
      </c>
      <c r="D3394" s="35">
        <v>28176388.359999999</v>
      </c>
      <c r="E3394" s="35">
        <v>315008</v>
      </c>
      <c r="F3394" s="35">
        <v>23885948.120000008</v>
      </c>
    </row>
    <row r="3395" spans="1:6" x14ac:dyDescent="0.3">
      <c r="A3395" t="s">
        <v>59</v>
      </c>
      <c r="B3395">
        <v>2022</v>
      </c>
      <c r="C3395" t="s">
        <v>5</v>
      </c>
      <c r="D3395" s="35">
        <v>1885230.27</v>
      </c>
      <c r="E3395" s="35">
        <v>2028</v>
      </c>
      <c r="F3395" s="35">
        <v>1836040.13</v>
      </c>
    </row>
    <row r="3396" spans="1:6" x14ac:dyDescent="0.3">
      <c r="A3396" t="s">
        <v>59</v>
      </c>
      <c r="B3396">
        <v>2022</v>
      </c>
      <c r="C3396" t="s">
        <v>17</v>
      </c>
      <c r="D3396" s="35">
        <v>537817.98</v>
      </c>
      <c r="E3396" s="35">
        <v>32554</v>
      </c>
      <c r="F3396" s="35">
        <v>86897.83</v>
      </c>
    </row>
    <row r="3397" spans="1:6" x14ac:dyDescent="0.3">
      <c r="A3397" t="s">
        <v>59</v>
      </c>
      <c r="B3397">
        <v>2022</v>
      </c>
      <c r="C3397" t="s">
        <v>9</v>
      </c>
      <c r="D3397" s="35">
        <v>3491549.0499999989</v>
      </c>
      <c r="E3397" s="35">
        <v>102473</v>
      </c>
      <c r="F3397" s="35">
        <v>1771498.73</v>
      </c>
    </row>
    <row r="3398" spans="1:6" x14ac:dyDescent="0.3">
      <c r="A3398" t="s">
        <v>59</v>
      </c>
      <c r="B3398">
        <v>2022</v>
      </c>
      <c r="C3398" t="s">
        <v>8</v>
      </c>
      <c r="D3398" s="35">
        <v>1792246.71</v>
      </c>
      <c r="E3398" s="35">
        <v>157</v>
      </c>
      <c r="F3398" s="35">
        <v>1792246.71</v>
      </c>
    </row>
    <row r="3399" spans="1:6" x14ac:dyDescent="0.3">
      <c r="A3399" t="s">
        <v>59</v>
      </c>
      <c r="B3399">
        <v>2022</v>
      </c>
      <c r="C3399" t="s">
        <v>6</v>
      </c>
      <c r="D3399" s="35">
        <v>8944591.3399999999</v>
      </c>
      <c r="E3399" s="35">
        <v>91147</v>
      </c>
      <c r="F3399" s="35">
        <v>7875915.7400000002</v>
      </c>
    </row>
    <row r="3400" spans="1:6" x14ac:dyDescent="0.3">
      <c r="A3400" t="s">
        <v>59</v>
      </c>
      <c r="B3400">
        <v>2022</v>
      </c>
      <c r="C3400" t="s">
        <v>15</v>
      </c>
      <c r="D3400" s="35">
        <v>1489066.93</v>
      </c>
      <c r="E3400" s="35">
        <v>31094</v>
      </c>
      <c r="F3400" s="35">
        <v>915267.89</v>
      </c>
    </row>
    <row r="3401" spans="1:6" x14ac:dyDescent="0.3">
      <c r="A3401" t="s">
        <v>59</v>
      </c>
      <c r="B3401">
        <v>2022</v>
      </c>
      <c r="C3401" t="s">
        <v>18</v>
      </c>
      <c r="D3401" s="35">
        <v>281642.29999999987</v>
      </c>
      <c r="E3401" s="35">
        <v>4657</v>
      </c>
      <c r="F3401" s="35">
        <v>234058.4</v>
      </c>
    </row>
    <row r="3402" spans="1:6" x14ac:dyDescent="0.3">
      <c r="A3402" t="s">
        <v>59</v>
      </c>
      <c r="B3402">
        <v>2023</v>
      </c>
      <c r="C3402" t="s">
        <v>10</v>
      </c>
      <c r="D3402" s="35">
        <v>4890265.5399999991</v>
      </c>
      <c r="E3402" s="35">
        <v>132672</v>
      </c>
      <c r="F3402" s="35">
        <v>3085971.7399999988</v>
      </c>
    </row>
    <row r="3403" spans="1:6" x14ac:dyDescent="0.3">
      <c r="A3403" t="s">
        <v>59</v>
      </c>
      <c r="B3403">
        <v>2023</v>
      </c>
      <c r="C3403" t="s">
        <v>4</v>
      </c>
      <c r="D3403" s="35">
        <v>18671051.57</v>
      </c>
      <c r="E3403" s="35">
        <v>43874</v>
      </c>
      <c r="F3403" s="35">
        <v>18427210</v>
      </c>
    </row>
    <row r="3404" spans="1:6" x14ac:dyDescent="0.3">
      <c r="A3404" t="s">
        <v>59</v>
      </c>
      <c r="B3404">
        <v>2023</v>
      </c>
      <c r="C3404" t="s">
        <v>13</v>
      </c>
      <c r="D3404" s="35">
        <v>4051687.48</v>
      </c>
      <c r="E3404" s="35">
        <v>35937</v>
      </c>
      <c r="F3404" s="35">
        <v>3343541.61</v>
      </c>
    </row>
    <row r="3405" spans="1:6" x14ac:dyDescent="0.3">
      <c r="A3405" t="s">
        <v>59</v>
      </c>
      <c r="B3405">
        <v>2023</v>
      </c>
      <c r="C3405" t="s">
        <v>16</v>
      </c>
      <c r="D3405" s="35">
        <v>1398427.709999999</v>
      </c>
      <c r="E3405" s="35">
        <v>3131</v>
      </c>
      <c r="F3405" s="35">
        <v>1298298.06</v>
      </c>
    </row>
    <row r="3406" spans="1:6" x14ac:dyDescent="0.3">
      <c r="A3406" t="s">
        <v>59</v>
      </c>
      <c r="B3406">
        <v>2023</v>
      </c>
      <c r="C3406" t="s">
        <v>14</v>
      </c>
      <c r="D3406" s="35">
        <v>2213117.25</v>
      </c>
      <c r="E3406" s="35">
        <v>71471</v>
      </c>
      <c r="F3406" s="35">
        <v>1280084.24</v>
      </c>
    </row>
    <row r="3407" spans="1:6" x14ac:dyDescent="0.3">
      <c r="A3407" t="s">
        <v>59</v>
      </c>
      <c r="B3407">
        <v>2023</v>
      </c>
      <c r="C3407" t="s">
        <v>7</v>
      </c>
      <c r="D3407" s="35">
        <v>2543015.4900000002</v>
      </c>
      <c r="E3407" s="35">
        <v>892</v>
      </c>
      <c r="F3407" s="35">
        <v>2540354.37</v>
      </c>
    </row>
    <row r="3408" spans="1:6" x14ac:dyDescent="0.3">
      <c r="A3408" t="s">
        <v>59</v>
      </c>
      <c r="B3408">
        <v>2023</v>
      </c>
      <c r="C3408" t="s">
        <v>11</v>
      </c>
      <c r="D3408" s="35">
        <v>742100.51</v>
      </c>
      <c r="E3408" s="35">
        <v>8090</v>
      </c>
      <c r="F3408" s="35">
        <v>672180.25999999989</v>
      </c>
    </row>
    <row r="3409" spans="1:6" x14ac:dyDescent="0.3">
      <c r="A3409" t="s">
        <v>59</v>
      </c>
      <c r="B3409">
        <v>2023</v>
      </c>
      <c r="C3409" t="s">
        <v>3</v>
      </c>
      <c r="D3409" s="35">
        <v>21775282.949999999</v>
      </c>
      <c r="E3409" s="35">
        <v>39589</v>
      </c>
      <c r="F3409" s="35">
        <v>21313520.27</v>
      </c>
    </row>
    <row r="3410" spans="1:6" x14ac:dyDescent="0.3">
      <c r="A3410" t="s">
        <v>59</v>
      </c>
      <c r="B3410">
        <v>2023</v>
      </c>
      <c r="C3410" t="s">
        <v>12</v>
      </c>
      <c r="D3410" s="35">
        <v>5897174.5999999996</v>
      </c>
      <c r="E3410" s="35">
        <v>93880</v>
      </c>
      <c r="F3410" s="35">
        <v>4322554.6000000006</v>
      </c>
    </row>
    <row r="3411" spans="1:6" x14ac:dyDescent="0.3">
      <c r="A3411" t="s">
        <v>59</v>
      </c>
      <c r="B3411">
        <v>2023</v>
      </c>
      <c r="C3411" t="s">
        <v>2</v>
      </c>
      <c r="D3411" s="35">
        <v>30829518.469999991</v>
      </c>
      <c r="E3411" s="35">
        <v>325012</v>
      </c>
      <c r="F3411" s="35">
        <v>26242443.969999999</v>
      </c>
    </row>
    <row r="3412" spans="1:6" x14ac:dyDescent="0.3">
      <c r="A3412" t="s">
        <v>59</v>
      </c>
      <c r="B3412">
        <v>2023</v>
      </c>
      <c r="C3412" t="s">
        <v>5</v>
      </c>
      <c r="D3412" s="35">
        <v>1815772.37</v>
      </c>
      <c r="E3412" s="35">
        <v>2183</v>
      </c>
      <c r="F3412" s="35">
        <v>1771344.32</v>
      </c>
    </row>
    <row r="3413" spans="1:6" x14ac:dyDescent="0.3">
      <c r="A3413" t="s">
        <v>59</v>
      </c>
      <c r="B3413">
        <v>2023</v>
      </c>
      <c r="C3413" t="s">
        <v>17</v>
      </c>
      <c r="D3413" s="35">
        <v>573429.07999999996</v>
      </c>
      <c r="E3413" s="35">
        <v>32793</v>
      </c>
      <c r="F3413" s="35">
        <v>85094.99</v>
      </c>
    </row>
    <row r="3414" spans="1:6" x14ac:dyDescent="0.3">
      <c r="A3414" t="s">
        <v>59</v>
      </c>
      <c r="B3414">
        <v>2023</v>
      </c>
      <c r="C3414" t="s">
        <v>9</v>
      </c>
      <c r="D3414" s="35">
        <v>4194774.84</v>
      </c>
      <c r="E3414" s="35">
        <v>105687</v>
      </c>
      <c r="F3414" s="35">
        <v>2414999.12</v>
      </c>
    </row>
    <row r="3415" spans="1:6" x14ac:dyDescent="0.3">
      <c r="A3415" t="s">
        <v>59</v>
      </c>
      <c r="B3415">
        <v>2023</v>
      </c>
      <c r="C3415" t="s">
        <v>8</v>
      </c>
      <c r="D3415" s="35">
        <v>2450298.63</v>
      </c>
      <c r="E3415" s="35">
        <v>184</v>
      </c>
      <c r="F3415" s="35">
        <v>2450298.63</v>
      </c>
    </row>
    <row r="3416" spans="1:6" x14ac:dyDescent="0.3">
      <c r="A3416" t="s">
        <v>59</v>
      </c>
      <c r="B3416">
        <v>2023</v>
      </c>
      <c r="C3416" t="s">
        <v>6</v>
      </c>
      <c r="D3416" s="35">
        <v>8674355.0199999996</v>
      </c>
      <c r="E3416" s="35">
        <v>89550</v>
      </c>
      <c r="F3416" s="35">
        <v>7557781.1100000013</v>
      </c>
    </row>
    <row r="3417" spans="1:6" x14ac:dyDescent="0.3">
      <c r="A3417" t="s">
        <v>59</v>
      </c>
      <c r="B3417">
        <v>2023</v>
      </c>
      <c r="C3417" t="s">
        <v>15</v>
      </c>
      <c r="D3417" s="35">
        <v>1021800.21</v>
      </c>
      <c r="E3417" s="35">
        <v>21665</v>
      </c>
      <c r="F3417" s="35">
        <v>565329.51</v>
      </c>
    </row>
    <row r="3418" spans="1:6" x14ac:dyDescent="0.3">
      <c r="A3418" t="s">
        <v>59</v>
      </c>
      <c r="B3418">
        <v>2023</v>
      </c>
      <c r="C3418" t="s">
        <v>18</v>
      </c>
      <c r="D3418" s="35">
        <v>220895.59</v>
      </c>
      <c r="E3418" s="35">
        <v>2961</v>
      </c>
      <c r="F3418" s="35">
        <v>182725.07</v>
      </c>
    </row>
    <row r="3419" spans="1:6" x14ac:dyDescent="0.3">
      <c r="A3419" t="s">
        <v>59</v>
      </c>
      <c r="B3419">
        <v>2024</v>
      </c>
      <c r="C3419" t="s">
        <v>10</v>
      </c>
      <c r="D3419" s="35">
        <v>4481714.53</v>
      </c>
      <c r="E3419" s="35">
        <v>115410</v>
      </c>
      <c r="F3419" s="35">
        <v>2912879.669999999</v>
      </c>
    </row>
    <row r="3420" spans="1:6" x14ac:dyDescent="0.3">
      <c r="A3420" t="s">
        <v>59</v>
      </c>
      <c r="B3420">
        <v>2024</v>
      </c>
      <c r="C3420" t="s">
        <v>4</v>
      </c>
      <c r="D3420" s="35">
        <v>12062755.18</v>
      </c>
      <c r="E3420" s="35">
        <v>38912</v>
      </c>
      <c r="F3420" s="35">
        <v>11852937.9</v>
      </c>
    </row>
    <row r="3421" spans="1:6" x14ac:dyDescent="0.3">
      <c r="A3421" t="s">
        <v>59</v>
      </c>
      <c r="B3421">
        <v>2024</v>
      </c>
      <c r="C3421" t="s">
        <v>13</v>
      </c>
      <c r="D3421" s="35">
        <v>4096152.11</v>
      </c>
      <c r="E3421" s="35">
        <v>29742</v>
      </c>
      <c r="F3421" s="35">
        <v>3541749.560000001</v>
      </c>
    </row>
    <row r="3422" spans="1:6" x14ac:dyDescent="0.3">
      <c r="A3422" t="s">
        <v>59</v>
      </c>
      <c r="B3422">
        <v>2024</v>
      </c>
      <c r="C3422" t="s">
        <v>16</v>
      </c>
      <c r="D3422" s="35">
        <v>1059969.29</v>
      </c>
      <c r="E3422" s="35">
        <v>2848</v>
      </c>
      <c r="F3422" s="35">
        <v>968772.80999999994</v>
      </c>
    </row>
    <row r="3423" spans="1:6" x14ac:dyDescent="0.3">
      <c r="A3423" t="s">
        <v>59</v>
      </c>
      <c r="B3423">
        <v>2024</v>
      </c>
      <c r="C3423" t="s">
        <v>14</v>
      </c>
      <c r="D3423" s="35">
        <v>2033712.16</v>
      </c>
      <c r="E3423" s="35">
        <v>59217</v>
      </c>
      <c r="F3423" s="35">
        <v>1249851.8799999999</v>
      </c>
    </row>
    <row r="3424" spans="1:6" x14ac:dyDescent="0.3">
      <c r="A3424" t="s">
        <v>59</v>
      </c>
      <c r="B3424">
        <v>2024</v>
      </c>
      <c r="C3424" t="s">
        <v>7</v>
      </c>
      <c r="D3424" s="35">
        <v>2953378.26</v>
      </c>
      <c r="E3424" s="35">
        <v>927</v>
      </c>
      <c r="F3424" s="35">
        <v>2950813.85</v>
      </c>
    </row>
    <row r="3425" spans="1:6" x14ac:dyDescent="0.3">
      <c r="A3425" t="s">
        <v>59</v>
      </c>
      <c r="B3425">
        <v>2024</v>
      </c>
      <c r="C3425" t="s">
        <v>11</v>
      </c>
      <c r="D3425" s="35">
        <v>866192.84</v>
      </c>
      <c r="E3425" s="35">
        <v>9851</v>
      </c>
      <c r="F3425" s="35">
        <v>768271.72000000009</v>
      </c>
    </row>
    <row r="3426" spans="1:6" x14ac:dyDescent="0.3">
      <c r="A3426" t="s">
        <v>59</v>
      </c>
      <c r="B3426">
        <v>2024</v>
      </c>
      <c r="C3426" t="s">
        <v>3</v>
      </c>
      <c r="D3426" s="35">
        <v>21334385.88000001</v>
      </c>
      <c r="E3426" s="35">
        <v>34915</v>
      </c>
      <c r="F3426" s="35">
        <v>20924361.75</v>
      </c>
    </row>
    <row r="3427" spans="1:6" x14ac:dyDescent="0.3">
      <c r="A3427" t="s">
        <v>59</v>
      </c>
      <c r="B3427">
        <v>2024</v>
      </c>
      <c r="C3427" t="s">
        <v>12</v>
      </c>
      <c r="D3427" s="35">
        <v>6570844.370000001</v>
      </c>
      <c r="E3427" s="35">
        <v>85340</v>
      </c>
      <c r="F3427" s="35">
        <v>5096069.59</v>
      </c>
    </row>
    <row r="3428" spans="1:6" x14ac:dyDescent="0.3">
      <c r="A3428" t="s">
        <v>59</v>
      </c>
      <c r="B3428">
        <v>2024</v>
      </c>
      <c r="C3428" t="s">
        <v>2</v>
      </c>
      <c r="D3428" s="35">
        <v>26940654.699999999</v>
      </c>
      <c r="E3428" s="35">
        <v>292884</v>
      </c>
      <c r="F3428" s="35">
        <v>22392105.75999999</v>
      </c>
    </row>
    <row r="3429" spans="1:6" x14ac:dyDescent="0.3">
      <c r="A3429" t="s">
        <v>59</v>
      </c>
      <c r="B3429">
        <v>2024</v>
      </c>
      <c r="C3429" t="s">
        <v>5</v>
      </c>
      <c r="D3429" s="35">
        <v>1358352.97</v>
      </c>
      <c r="E3429" s="35">
        <v>1817</v>
      </c>
      <c r="F3429" s="35">
        <v>1323695.97</v>
      </c>
    </row>
    <row r="3430" spans="1:6" x14ac:dyDescent="0.3">
      <c r="A3430" t="s">
        <v>59</v>
      </c>
      <c r="B3430">
        <v>2024</v>
      </c>
      <c r="C3430" t="s">
        <v>17</v>
      </c>
      <c r="D3430" s="35">
        <v>559223.20999999985</v>
      </c>
      <c r="E3430" s="35">
        <v>30590</v>
      </c>
      <c r="F3430" s="35">
        <v>75484.78</v>
      </c>
    </row>
    <row r="3431" spans="1:6" x14ac:dyDescent="0.3">
      <c r="A3431" t="s">
        <v>59</v>
      </c>
      <c r="B3431">
        <v>2024</v>
      </c>
      <c r="C3431" t="s">
        <v>9</v>
      </c>
      <c r="D3431" s="35">
        <v>3670933.86</v>
      </c>
      <c r="E3431" s="35">
        <v>90840</v>
      </c>
      <c r="F3431" s="35">
        <v>2290871.2599999998</v>
      </c>
    </row>
    <row r="3432" spans="1:6" x14ac:dyDescent="0.3">
      <c r="A3432" t="s">
        <v>59</v>
      </c>
      <c r="B3432">
        <v>2024</v>
      </c>
      <c r="C3432" t="s">
        <v>8</v>
      </c>
      <c r="D3432" s="35">
        <v>1220433.0900000001</v>
      </c>
      <c r="E3432" s="35">
        <v>124</v>
      </c>
      <c r="F3432" s="35">
        <v>1220433.0900000001</v>
      </c>
    </row>
    <row r="3433" spans="1:6" x14ac:dyDescent="0.3">
      <c r="A3433" t="s">
        <v>59</v>
      </c>
      <c r="B3433">
        <v>2024</v>
      </c>
      <c r="C3433" t="s">
        <v>6</v>
      </c>
      <c r="D3433" s="35">
        <v>6268804.2799999993</v>
      </c>
      <c r="E3433" s="35">
        <v>80264</v>
      </c>
      <c r="F3433" s="35">
        <v>5211607.6399999997</v>
      </c>
    </row>
    <row r="3434" spans="1:6" x14ac:dyDescent="0.3">
      <c r="A3434" t="s">
        <v>59</v>
      </c>
      <c r="B3434">
        <v>2024</v>
      </c>
      <c r="C3434" t="s">
        <v>15</v>
      </c>
      <c r="D3434" s="35">
        <v>741525.97999999986</v>
      </c>
      <c r="E3434" s="35">
        <v>16983</v>
      </c>
      <c r="F3434" s="35">
        <v>411005.88</v>
      </c>
    </row>
    <row r="3435" spans="1:6" x14ac:dyDescent="0.3">
      <c r="A3435" t="s">
        <v>59</v>
      </c>
      <c r="B3435">
        <v>2024</v>
      </c>
      <c r="C3435" t="s">
        <v>18</v>
      </c>
      <c r="D3435" s="35">
        <v>194438.52</v>
      </c>
      <c r="E3435" s="35">
        <v>2582</v>
      </c>
      <c r="F3435" s="35">
        <v>152887.56</v>
      </c>
    </row>
    <row r="3436" spans="1:6" x14ac:dyDescent="0.3">
      <c r="A3436" t="s">
        <v>59</v>
      </c>
      <c r="B3436">
        <v>2025</v>
      </c>
      <c r="C3436" t="s">
        <v>10</v>
      </c>
      <c r="D3436" s="35">
        <v>4736443.1399999997</v>
      </c>
      <c r="E3436" s="35">
        <v>114582</v>
      </c>
      <c r="F3436" s="35">
        <v>3160966.4</v>
      </c>
    </row>
    <row r="3437" spans="1:6" x14ac:dyDescent="0.3">
      <c r="A3437" t="s">
        <v>59</v>
      </c>
      <c r="B3437">
        <v>2025</v>
      </c>
      <c r="C3437" t="s">
        <v>4</v>
      </c>
      <c r="D3437" s="35">
        <v>11606857.09</v>
      </c>
      <c r="E3437" s="35">
        <v>38919</v>
      </c>
      <c r="F3437" s="35">
        <v>10798449.85</v>
      </c>
    </row>
    <row r="3438" spans="1:6" x14ac:dyDescent="0.3">
      <c r="A3438" t="s">
        <v>59</v>
      </c>
      <c r="B3438">
        <v>2025</v>
      </c>
      <c r="C3438" t="s">
        <v>13</v>
      </c>
      <c r="D3438" s="35">
        <v>5023119.17</v>
      </c>
      <c r="E3438" s="35">
        <v>29201</v>
      </c>
      <c r="F3438" s="35">
        <v>4494745.1899999985</v>
      </c>
    </row>
    <row r="3439" spans="1:6" x14ac:dyDescent="0.3">
      <c r="A3439" t="s">
        <v>59</v>
      </c>
      <c r="B3439">
        <v>2025</v>
      </c>
      <c r="C3439" t="s">
        <v>16</v>
      </c>
      <c r="D3439" s="35">
        <v>1507602.55</v>
      </c>
      <c r="E3439" s="35">
        <v>2755</v>
      </c>
      <c r="F3439" s="35">
        <v>1416826.22</v>
      </c>
    </row>
    <row r="3440" spans="1:6" x14ac:dyDescent="0.3">
      <c r="A3440" t="s">
        <v>59</v>
      </c>
      <c r="B3440">
        <v>2025</v>
      </c>
      <c r="C3440" t="s">
        <v>14</v>
      </c>
      <c r="D3440" s="35">
        <v>1974166.15</v>
      </c>
      <c r="E3440" s="35">
        <v>59631</v>
      </c>
      <c r="F3440" s="35">
        <v>1189788.75</v>
      </c>
    </row>
    <row r="3441" spans="1:6" x14ac:dyDescent="0.3">
      <c r="A3441" t="s">
        <v>59</v>
      </c>
      <c r="B3441">
        <v>2025</v>
      </c>
      <c r="C3441" t="s">
        <v>7</v>
      </c>
      <c r="D3441" s="35">
        <v>3014764.4100000011</v>
      </c>
      <c r="E3441" s="35">
        <v>851</v>
      </c>
      <c r="F3441" s="35">
        <v>3011551.4100000011</v>
      </c>
    </row>
    <row r="3442" spans="1:6" x14ac:dyDescent="0.3">
      <c r="A3442" t="s">
        <v>59</v>
      </c>
      <c r="B3442">
        <v>2025</v>
      </c>
      <c r="C3442" t="s">
        <v>11</v>
      </c>
      <c r="D3442" s="35">
        <v>883099.23</v>
      </c>
      <c r="E3442" s="35">
        <v>9407</v>
      </c>
      <c r="F3442" s="35">
        <v>801082.52999999991</v>
      </c>
    </row>
    <row r="3443" spans="1:6" x14ac:dyDescent="0.3">
      <c r="A3443" t="s">
        <v>59</v>
      </c>
      <c r="B3443">
        <v>2025</v>
      </c>
      <c r="C3443" t="s">
        <v>3</v>
      </c>
      <c r="D3443" s="35">
        <v>24146353.389999989</v>
      </c>
      <c r="E3443" s="35">
        <v>38172</v>
      </c>
      <c r="F3443" s="35">
        <v>23695436.23</v>
      </c>
    </row>
    <row r="3444" spans="1:6" x14ac:dyDescent="0.3">
      <c r="A3444" t="s">
        <v>59</v>
      </c>
      <c r="B3444">
        <v>2025</v>
      </c>
      <c r="C3444" t="s">
        <v>12</v>
      </c>
      <c r="D3444" s="35">
        <v>7549674.0699999994</v>
      </c>
      <c r="E3444" s="35">
        <v>89408</v>
      </c>
      <c r="F3444" s="35">
        <v>6015821.7300000004</v>
      </c>
    </row>
    <row r="3445" spans="1:6" x14ac:dyDescent="0.3">
      <c r="A3445" t="s">
        <v>59</v>
      </c>
      <c r="B3445">
        <v>2025</v>
      </c>
      <c r="C3445" t="s">
        <v>2</v>
      </c>
      <c r="D3445" s="35">
        <v>26270972.429999989</v>
      </c>
      <c r="E3445" s="35">
        <v>296625</v>
      </c>
      <c r="F3445" s="35">
        <v>21418774.300000001</v>
      </c>
    </row>
    <row r="3446" spans="1:6" x14ac:dyDescent="0.3">
      <c r="A3446" t="s">
        <v>59</v>
      </c>
      <c r="B3446">
        <v>2025</v>
      </c>
      <c r="C3446" t="s">
        <v>5</v>
      </c>
      <c r="D3446" s="35">
        <v>3757494.34</v>
      </c>
      <c r="E3446" s="35">
        <v>2526</v>
      </c>
      <c r="F3446" s="35">
        <v>3657124.83</v>
      </c>
    </row>
    <row r="3447" spans="1:6" x14ac:dyDescent="0.3">
      <c r="A3447" t="s">
        <v>59</v>
      </c>
      <c r="B3447">
        <v>2025</v>
      </c>
      <c r="C3447" t="s">
        <v>17</v>
      </c>
      <c r="D3447" s="35">
        <v>528497.72</v>
      </c>
      <c r="E3447" s="35">
        <v>32177</v>
      </c>
      <c r="F3447" s="35">
        <v>80011.41</v>
      </c>
    </row>
    <row r="3448" spans="1:6" x14ac:dyDescent="0.3">
      <c r="A3448" t="s">
        <v>59</v>
      </c>
      <c r="B3448">
        <v>2025</v>
      </c>
      <c r="C3448" t="s">
        <v>9</v>
      </c>
      <c r="D3448" s="35">
        <v>4394098.0799999982</v>
      </c>
      <c r="E3448" s="35">
        <v>98362</v>
      </c>
      <c r="F3448" s="35">
        <v>3052914.23</v>
      </c>
    </row>
    <row r="3449" spans="1:6" x14ac:dyDescent="0.3">
      <c r="A3449" t="s">
        <v>59</v>
      </c>
      <c r="B3449">
        <v>2025</v>
      </c>
      <c r="C3449" t="s">
        <v>8</v>
      </c>
      <c r="D3449" s="35">
        <v>2353592.36</v>
      </c>
      <c r="E3449" s="35">
        <v>174</v>
      </c>
      <c r="F3449" s="35">
        <v>2353592.36</v>
      </c>
    </row>
    <row r="3450" spans="1:6" x14ac:dyDescent="0.3">
      <c r="A3450" t="s">
        <v>59</v>
      </c>
      <c r="B3450">
        <v>2025</v>
      </c>
      <c r="C3450" t="s">
        <v>6</v>
      </c>
      <c r="D3450" s="35">
        <v>6459341.5299999993</v>
      </c>
      <c r="E3450" s="35">
        <v>80773</v>
      </c>
      <c r="F3450" s="35">
        <v>5465027.2800000003</v>
      </c>
    </row>
    <row r="3451" spans="1:6" x14ac:dyDescent="0.3">
      <c r="A3451" t="s">
        <v>59</v>
      </c>
      <c r="B3451">
        <v>2025</v>
      </c>
      <c r="C3451" t="s">
        <v>15</v>
      </c>
      <c r="D3451" s="35">
        <v>509700.79</v>
      </c>
      <c r="E3451" s="35">
        <v>16662</v>
      </c>
      <c r="F3451" s="35">
        <v>187360.42</v>
      </c>
    </row>
    <row r="3452" spans="1:6" x14ac:dyDescent="0.3">
      <c r="A3452" t="s">
        <v>59</v>
      </c>
      <c r="B3452">
        <v>2025</v>
      </c>
      <c r="C3452" t="s">
        <v>18</v>
      </c>
      <c r="D3452" s="35">
        <v>257435.04</v>
      </c>
      <c r="E3452" s="35">
        <v>2434</v>
      </c>
      <c r="F3452" s="35">
        <v>226912.1</v>
      </c>
    </row>
    <row r="3453" spans="1:6" x14ac:dyDescent="0.3">
      <c r="A3453" t="s">
        <v>60</v>
      </c>
      <c r="B3453">
        <v>2019</v>
      </c>
      <c r="C3453" t="s">
        <v>10</v>
      </c>
      <c r="D3453" s="35">
        <v>7378677.540000001</v>
      </c>
      <c r="E3453" s="35">
        <v>292281</v>
      </c>
      <c r="F3453" s="35">
        <v>4894102.3000000007</v>
      </c>
    </row>
    <row r="3454" spans="1:6" x14ac:dyDescent="0.3">
      <c r="A3454" t="s">
        <v>60</v>
      </c>
      <c r="B3454">
        <v>2019</v>
      </c>
      <c r="C3454" t="s">
        <v>4</v>
      </c>
      <c r="D3454" s="35">
        <v>21701467.329999998</v>
      </c>
      <c r="E3454" s="35">
        <v>78563</v>
      </c>
      <c r="F3454" s="35">
        <v>21477011.989999998</v>
      </c>
    </row>
    <row r="3455" spans="1:6" x14ac:dyDescent="0.3">
      <c r="A3455" t="s">
        <v>60</v>
      </c>
      <c r="B3455">
        <v>2019</v>
      </c>
      <c r="C3455" t="s">
        <v>13</v>
      </c>
      <c r="D3455" s="35">
        <v>6875068.5499999998</v>
      </c>
      <c r="E3455" s="35">
        <v>98556</v>
      </c>
      <c r="F3455" s="35">
        <v>5514063.8300000001</v>
      </c>
    </row>
    <row r="3456" spans="1:6" x14ac:dyDescent="0.3">
      <c r="A3456" t="s">
        <v>60</v>
      </c>
      <c r="B3456">
        <v>2019</v>
      </c>
      <c r="C3456" t="s">
        <v>16</v>
      </c>
      <c r="D3456" s="35">
        <v>3117492.74</v>
      </c>
      <c r="E3456" s="35">
        <v>10606</v>
      </c>
      <c r="F3456" s="35">
        <v>2926633.14</v>
      </c>
    </row>
    <row r="3457" spans="1:6" x14ac:dyDescent="0.3">
      <c r="A3457" t="s">
        <v>60</v>
      </c>
      <c r="B3457">
        <v>2019</v>
      </c>
      <c r="C3457" t="s">
        <v>14</v>
      </c>
      <c r="D3457" s="35">
        <v>7042519.7599999979</v>
      </c>
      <c r="E3457" s="35">
        <v>241105</v>
      </c>
      <c r="F3457" s="35">
        <v>4628291.1599999983</v>
      </c>
    </row>
    <row r="3458" spans="1:6" x14ac:dyDescent="0.3">
      <c r="A3458" t="s">
        <v>60</v>
      </c>
      <c r="B3458">
        <v>2019</v>
      </c>
      <c r="C3458" t="s">
        <v>7</v>
      </c>
      <c r="D3458" s="35">
        <v>3530009.649999999</v>
      </c>
      <c r="E3458" s="35">
        <v>1746</v>
      </c>
      <c r="F3458" s="35">
        <v>3526074.149999999</v>
      </c>
    </row>
    <row r="3459" spans="1:6" x14ac:dyDescent="0.3">
      <c r="A3459" t="s">
        <v>60</v>
      </c>
      <c r="B3459">
        <v>2019</v>
      </c>
      <c r="C3459" t="s">
        <v>11</v>
      </c>
      <c r="D3459" s="35">
        <v>2009391.31</v>
      </c>
      <c r="E3459" s="35">
        <v>18780</v>
      </c>
      <c r="F3459" s="35">
        <v>1756418.83</v>
      </c>
    </row>
    <row r="3460" spans="1:6" x14ac:dyDescent="0.3">
      <c r="A3460" t="s">
        <v>60</v>
      </c>
      <c r="B3460">
        <v>2019</v>
      </c>
      <c r="C3460" t="s">
        <v>3</v>
      </c>
      <c r="D3460" s="35">
        <v>11462170.51</v>
      </c>
      <c r="E3460" s="35">
        <v>102828</v>
      </c>
      <c r="F3460" s="35">
        <v>10606581.529999999</v>
      </c>
    </row>
    <row r="3461" spans="1:6" x14ac:dyDescent="0.3">
      <c r="A3461" t="s">
        <v>60</v>
      </c>
      <c r="B3461">
        <v>2019</v>
      </c>
      <c r="C3461" t="s">
        <v>12</v>
      </c>
      <c r="D3461" s="35">
        <v>12772932.529999999</v>
      </c>
      <c r="E3461" s="35">
        <v>296211</v>
      </c>
      <c r="F3461" s="35">
        <v>8258045.9399999985</v>
      </c>
    </row>
    <row r="3462" spans="1:6" x14ac:dyDescent="0.3">
      <c r="A3462" t="s">
        <v>60</v>
      </c>
      <c r="B3462">
        <v>2019</v>
      </c>
      <c r="C3462" t="s">
        <v>2</v>
      </c>
      <c r="D3462" s="35">
        <v>68965102.079999998</v>
      </c>
      <c r="E3462" s="35">
        <v>649488</v>
      </c>
      <c r="F3462" s="35">
        <v>55425291.979999997</v>
      </c>
    </row>
    <row r="3463" spans="1:6" x14ac:dyDescent="0.3">
      <c r="A3463" t="s">
        <v>60</v>
      </c>
      <c r="B3463">
        <v>2019</v>
      </c>
      <c r="C3463" t="s">
        <v>5</v>
      </c>
      <c r="D3463" s="35">
        <v>5488896.7999999998</v>
      </c>
      <c r="E3463" s="35">
        <v>8666</v>
      </c>
      <c r="F3463" s="35">
        <v>5173024.7200000007</v>
      </c>
    </row>
    <row r="3464" spans="1:6" x14ac:dyDescent="0.3">
      <c r="A3464" t="s">
        <v>60</v>
      </c>
      <c r="B3464">
        <v>2019</v>
      </c>
      <c r="C3464" t="s">
        <v>17</v>
      </c>
      <c r="D3464" s="35">
        <v>838546.7300000001</v>
      </c>
      <c r="E3464" s="35">
        <v>56545</v>
      </c>
      <c r="F3464" s="35">
        <v>63157.539999999994</v>
      </c>
    </row>
    <row r="3465" spans="1:6" x14ac:dyDescent="0.3">
      <c r="A3465" t="s">
        <v>60</v>
      </c>
      <c r="B3465">
        <v>2019</v>
      </c>
      <c r="C3465" t="s">
        <v>9</v>
      </c>
      <c r="D3465" s="35">
        <v>5461802.8800000008</v>
      </c>
      <c r="E3465" s="35">
        <v>282418</v>
      </c>
      <c r="F3465" s="35">
        <v>3256799.84</v>
      </c>
    </row>
    <row r="3466" spans="1:6" x14ac:dyDescent="0.3">
      <c r="A3466" t="s">
        <v>60</v>
      </c>
      <c r="B3466">
        <v>2019</v>
      </c>
      <c r="C3466" t="s">
        <v>8</v>
      </c>
      <c r="D3466" s="35">
        <v>6399920.3199999994</v>
      </c>
      <c r="E3466" s="35">
        <v>957</v>
      </c>
      <c r="F3466" s="35">
        <v>6399920.3199999994</v>
      </c>
    </row>
    <row r="3467" spans="1:6" x14ac:dyDescent="0.3">
      <c r="A3467" t="s">
        <v>60</v>
      </c>
      <c r="B3467">
        <v>2019</v>
      </c>
      <c r="C3467" t="s">
        <v>6</v>
      </c>
      <c r="D3467" s="35">
        <v>25350648.98</v>
      </c>
      <c r="E3467" s="35">
        <v>408049</v>
      </c>
      <c r="F3467" s="35">
        <v>22131255.22000001</v>
      </c>
    </row>
    <row r="3468" spans="1:6" x14ac:dyDescent="0.3">
      <c r="A3468" t="s">
        <v>60</v>
      </c>
      <c r="B3468">
        <v>2019</v>
      </c>
      <c r="C3468" t="s">
        <v>15</v>
      </c>
      <c r="D3468" s="35">
        <v>8363630.5500000017</v>
      </c>
      <c r="E3468" s="35">
        <v>304698</v>
      </c>
      <c r="F3468" s="35">
        <v>5077056.5799999991</v>
      </c>
    </row>
    <row r="3469" spans="1:6" x14ac:dyDescent="0.3">
      <c r="A3469" t="s">
        <v>60</v>
      </c>
      <c r="B3469">
        <v>2019</v>
      </c>
      <c r="C3469" t="s">
        <v>18</v>
      </c>
      <c r="D3469" s="35">
        <v>1369753.38</v>
      </c>
      <c r="E3469" s="35">
        <v>10947</v>
      </c>
      <c r="F3469" s="35">
        <v>1127570.8799999999</v>
      </c>
    </row>
    <row r="3470" spans="1:6" x14ac:dyDescent="0.3">
      <c r="A3470" t="s">
        <v>60</v>
      </c>
      <c r="B3470">
        <v>2020</v>
      </c>
      <c r="C3470" t="s">
        <v>10</v>
      </c>
      <c r="D3470" s="35">
        <v>8818668.540000001</v>
      </c>
      <c r="E3470" s="35">
        <v>288536</v>
      </c>
      <c r="F3470" s="35">
        <v>5882128.04</v>
      </c>
    </row>
    <row r="3471" spans="1:6" x14ac:dyDescent="0.3">
      <c r="A3471" t="s">
        <v>60</v>
      </c>
      <c r="B3471">
        <v>2020</v>
      </c>
      <c r="C3471" t="s">
        <v>4</v>
      </c>
      <c r="D3471" s="35">
        <v>26360828.66</v>
      </c>
      <c r="E3471" s="35">
        <v>82415</v>
      </c>
      <c r="F3471" s="35">
        <v>26051608.41</v>
      </c>
    </row>
    <row r="3472" spans="1:6" x14ac:dyDescent="0.3">
      <c r="A3472" t="s">
        <v>60</v>
      </c>
      <c r="B3472">
        <v>2020</v>
      </c>
      <c r="C3472" t="s">
        <v>13</v>
      </c>
      <c r="D3472" s="35">
        <v>8296795.6699999999</v>
      </c>
      <c r="E3472" s="35">
        <v>97824</v>
      </c>
      <c r="F3472" s="35">
        <v>6784968.3500000006</v>
      </c>
    </row>
    <row r="3473" spans="1:6" x14ac:dyDescent="0.3">
      <c r="A3473" t="s">
        <v>60</v>
      </c>
      <c r="B3473">
        <v>2020</v>
      </c>
      <c r="C3473" t="s">
        <v>16</v>
      </c>
      <c r="D3473" s="35">
        <v>3353842.04</v>
      </c>
      <c r="E3473" s="35">
        <v>11155</v>
      </c>
      <c r="F3473" s="35">
        <v>3082675.42</v>
      </c>
    </row>
    <row r="3474" spans="1:6" x14ac:dyDescent="0.3">
      <c r="A3474" t="s">
        <v>60</v>
      </c>
      <c r="B3474">
        <v>2020</v>
      </c>
      <c r="C3474" t="s">
        <v>14</v>
      </c>
      <c r="D3474" s="35">
        <v>8809291.120000001</v>
      </c>
      <c r="E3474" s="35">
        <v>239599</v>
      </c>
      <c r="F3474" s="35">
        <v>5738223.9100000001</v>
      </c>
    </row>
    <row r="3475" spans="1:6" x14ac:dyDescent="0.3">
      <c r="A3475" t="s">
        <v>60</v>
      </c>
      <c r="B3475">
        <v>2020</v>
      </c>
      <c r="C3475" t="s">
        <v>7</v>
      </c>
      <c r="D3475" s="35">
        <v>4068408.6</v>
      </c>
      <c r="E3475" s="35">
        <v>1698</v>
      </c>
      <c r="F3475" s="35">
        <v>4068408.6</v>
      </c>
    </row>
    <row r="3476" spans="1:6" x14ac:dyDescent="0.3">
      <c r="A3476" t="s">
        <v>60</v>
      </c>
      <c r="B3476">
        <v>2020</v>
      </c>
      <c r="C3476" t="s">
        <v>11</v>
      </c>
      <c r="D3476" s="35">
        <v>5695864.8900000006</v>
      </c>
      <c r="E3476" s="35">
        <v>24665</v>
      </c>
      <c r="F3476" s="35">
        <v>5418380.4899999993</v>
      </c>
    </row>
    <row r="3477" spans="1:6" x14ac:dyDescent="0.3">
      <c r="A3477" t="s">
        <v>60</v>
      </c>
      <c r="B3477">
        <v>2020</v>
      </c>
      <c r="C3477" t="s">
        <v>3</v>
      </c>
      <c r="D3477" s="35">
        <v>18186458.34999999</v>
      </c>
      <c r="E3477" s="35">
        <v>88644</v>
      </c>
      <c r="F3477" s="35">
        <v>17392999.70000001</v>
      </c>
    </row>
    <row r="3478" spans="1:6" x14ac:dyDescent="0.3">
      <c r="A3478" t="s">
        <v>60</v>
      </c>
      <c r="B3478">
        <v>2020</v>
      </c>
      <c r="C3478" t="s">
        <v>12</v>
      </c>
      <c r="D3478" s="35">
        <v>9020672.5800000001</v>
      </c>
      <c r="E3478" s="35">
        <v>223697</v>
      </c>
      <c r="F3478" s="35">
        <v>4728636.2300000004</v>
      </c>
    </row>
    <row r="3479" spans="1:6" x14ac:dyDescent="0.3">
      <c r="A3479" t="s">
        <v>60</v>
      </c>
      <c r="B3479">
        <v>2020</v>
      </c>
      <c r="C3479" t="s">
        <v>2</v>
      </c>
      <c r="D3479" s="35">
        <v>73932419.98999998</v>
      </c>
      <c r="E3479" s="35">
        <v>691029</v>
      </c>
      <c r="F3479" s="35">
        <v>57800682.659999996</v>
      </c>
    </row>
    <row r="3480" spans="1:6" x14ac:dyDescent="0.3">
      <c r="A3480" t="s">
        <v>60</v>
      </c>
      <c r="B3480">
        <v>2020</v>
      </c>
      <c r="C3480" t="s">
        <v>5</v>
      </c>
      <c r="D3480" s="35">
        <v>8596306.6600000001</v>
      </c>
      <c r="E3480" s="35">
        <v>9221</v>
      </c>
      <c r="F3480" s="35">
        <v>8135783.4700000016</v>
      </c>
    </row>
    <row r="3481" spans="1:6" x14ac:dyDescent="0.3">
      <c r="A3481" t="s">
        <v>60</v>
      </c>
      <c r="B3481">
        <v>2020</v>
      </c>
      <c r="C3481" t="s">
        <v>17</v>
      </c>
      <c r="D3481" s="35">
        <v>1006439.64</v>
      </c>
      <c r="E3481" s="35">
        <v>51443</v>
      </c>
      <c r="F3481" s="35">
        <v>155419.4</v>
      </c>
    </row>
    <row r="3482" spans="1:6" x14ac:dyDescent="0.3">
      <c r="A3482" t="s">
        <v>60</v>
      </c>
      <c r="B3482">
        <v>2020</v>
      </c>
      <c r="C3482" t="s">
        <v>9</v>
      </c>
      <c r="D3482" s="35">
        <v>5630953.1000000006</v>
      </c>
      <c r="E3482" s="35">
        <v>251332</v>
      </c>
      <c r="F3482" s="35">
        <v>3359840.9899999988</v>
      </c>
    </row>
    <row r="3483" spans="1:6" x14ac:dyDescent="0.3">
      <c r="A3483" t="s">
        <v>60</v>
      </c>
      <c r="B3483">
        <v>2020</v>
      </c>
      <c r="C3483" t="s">
        <v>8</v>
      </c>
      <c r="D3483" s="35">
        <v>10567683.15</v>
      </c>
      <c r="E3483" s="35">
        <v>1101</v>
      </c>
      <c r="F3483" s="35">
        <v>10567683.15</v>
      </c>
    </row>
    <row r="3484" spans="1:6" x14ac:dyDescent="0.3">
      <c r="A3484" t="s">
        <v>60</v>
      </c>
      <c r="B3484">
        <v>2020</v>
      </c>
      <c r="C3484" t="s">
        <v>6</v>
      </c>
      <c r="D3484" s="35">
        <v>28075769.129999999</v>
      </c>
      <c r="E3484" s="35">
        <v>398846</v>
      </c>
      <c r="F3484" s="35">
        <v>24800538.219999999</v>
      </c>
    </row>
    <row r="3485" spans="1:6" x14ac:dyDescent="0.3">
      <c r="A3485" t="s">
        <v>60</v>
      </c>
      <c r="B3485">
        <v>2020</v>
      </c>
      <c r="C3485" t="s">
        <v>15</v>
      </c>
      <c r="D3485" s="35">
        <v>6330571.0700000003</v>
      </c>
      <c r="E3485" s="35">
        <v>242384</v>
      </c>
      <c r="F3485" s="35">
        <v>3164879.77</v>
      </c>
    </row>
    <row r="3486" spans="1:6" x14ac:dyDescent="0.3">
      <c r="A3486" t="s">
        <v>60</v>
      </c>
      <c r="B3486">
        <v>2020</v>
      </c>
      <c r="C3486" t="s">
        <v>18</v>
      </c>
      <c r="D3486" s="35">
        <v>1382466</v>
      </c>
      <c r="E3486" s="35">
        <v>11242</v>
      </c>
      <c r="F3486" s="35">
        <v>1100498.1100000001</v>
      </c>
    </row>
    <row r="3487" spans="1:6" x14ac:dyDescent="0.3">
      <c r="A3487" t="s">
        <v>60</v>
      </c>
      <c r="B3487">
        <v>2021</v>
      </c>
      <c r="C3487" t="s">
        <v>10</v>
      </c>
      <c r="D3487" s="35">
        <v>15253373.310000001</v>
      </c>
      <c r="E3487" s="35">
        <v>436012</v>
      </c>
      <c r="F3487" s="35">
        <v>9754834.5</v>
      </c>
    </row>
    <row r="3488" spans="1:6" x14ac:dyDescent="0.3">
      <c r="A3488" t="s">
        <v>60</v>
      </c>
      <c r="B3488">
        <v>2021</v>
      </c>
      <c r="C3488" t="s">
        <v>4</v>
      </c>
      <c r="D3488" s="35">
        <v>42357677.520000003</v>
      </c>
      <c r="E3488" s="35">
        <v>129314</v>
      </c>
      <c r="F3488" s="35">
        <v>41683223.999999993</v>
      </c>
    </row>
    <row r="3489" spans="1:6" x14ac:dyDescent="0.3">
      <c r="A3489" t="s">
        <v>60</v>
      </c>
      <c r="B3489">
        <v>2021</v>
      </c>
      <c r="C3489" t="s">
        <v>13</v>
      </c>
      <c r="D3489" s="35">
        <v>13486197.140000001</v>
      </c>
      <c r="E3489" s="35">
        <v>134074</v>
      </c>
      <c r="F3489" s="35">
        <v>11066346.119999999</v>
      </c>
    </row>
    <row r="3490" spans="1:6" x14ac:dyDescent="0.3">
      <c r="A3490" t="s">
        <v>60</v>
      </c>
      <c r="B3490">
        <v>2021</v>
      </c>
      <c r="C3490" t="s">
        <v>16</v>
      </c>
      <c r="D3490" s="35">
        <v>4900472.84</v>
      </c>
      <c r="E3490" s="35">
        <v>14247</v>
      </c>
      <c r="F3490" s="35">
        <v>4418384.25</v>
      </c>
    </row>
    <row r="3491" spans="1:6" x14ac:dyDescent="0.3">
      <c r="A3491" t="s">
        <v>60</v>
      </c>
      <c r="B3491">
        <v>2021</v>
      </c>
      <c r="C3491" t="s">
        <v>14</v>
      </c>
      <c r="D3491" s="35">
        <v>12914516.68</v>
      </c>
      <c r="E3491" s="35">
        <v>322111</v>
      </c>
      <c r="F3491" s="35">
        <v>7988796.7600000007</v>
      </c>
    </row>
    <row r="3492" spans="1:6" x14ac:dyDescent="0.3">
      <c r="A3492" t="s">
        <v>60</v>
      </c>
      <c r="B3492">
        <v>2021</v>
      </c>
      <c r="C3492" t="s">
        <v>7</v>
      </c>
      <c r="D3492" s="35">
        <v>9382767.8399999999</v>
      </c>
      <c r="E3492" s="35">
        <v>3707</v>
      </c>
      <c r="F3492" s="35">
        <v>9366034.8600000013</v>
      </c>
    </row>
    <row r="3493" spans="1:6" x14ac:dyDescent="0.3">
      <c r="A3493" t="s">
        <v>60</v>
      </c>
      <c r="B3493">
        <v>2021</v>
      </c>
      <c r="C3493" t="s">
        <v>11</v>
      </c>
      <c r="D3493" s="35">
        <v>14506720.449999999</v>
      </c>
      <c r="E3493" s="35">
        <v>48399</v>
      </c>
      <c r="F3493" s="35">
        <v>14158274.02</v>
      </c>
    </row>
    <row r="3494" spans="1:6" x14ac:dyDescent="0.3">
      <c r="A3494" t="s">
        <v>60</v>
      </c>
      <c r="B3494">
        <v>2021</v>
      </c>
      <c r="C3494" t="s">
        <v>3</v>
      </c>
      <c r="D3494" s="35">
        <v>38165908.230000019</v>
      </c>
      <c r="E3494" s="35">
        <v>143977</v>
      </c>
      <c r="F3494" s="35">
        <v>36885919.059999987</v>
      </c>
    </row>
    <row r="3495" spans="1:6" x14ac:dyDescent="0.3">
      <c r="A3495" t="s">
        <v>60</v>
      </c>
      <c r="B3495">
        <v>2021</v>
      </c>
      <c r="C3495" t="s">
        <v>12</v>
      </c>
      <c r="D3495" s="35">
        <v>12874161.130000001</v>
      </c>
      <c r="E3495" s="35">
        <v>318378</v>
      </c>
      <c r="F3495" s="35">
        <v>7196892.9300000016</v>
      </c>
    </row>
    <row r="3496" spans="1:6" x14ac:dyDescent="0.3">
      <c r="A3496" t="s">
        <v>60</v>
      </c>
      <c r="B3496">
        <v>2021</v>
      </c>
      <c r="C3496" t="s">
        <v>2</v>
      </c>
      <c r="D3496" s="35">
        <v>115135206.92</v>
      </c>
      <c r="E3496" s="35">
        <v>977143</v>
      </c>
      <c r="F3496" s="35">
        <v>89881249.309999987</v>
      </c>
    </row>
    <row r="3497" spans="1:6" x14ac:dyDescent="0.3">
      <c r="A3497" t="s">
        <v>60</v>
      </c>
      <c r="B3497">
        <v>2021</v>
      </c>
      <c r="C3497" t="s">
        <v>5</v>
      </c>
      <c r="D3497" s="35">
        <v>23846382.620000001</v>
      </c>
      <c r="E3497" s="35">
        <v>13506</v>
      </c>
      <c r="F3497" s="35">
        <v>23218962.809999999</v>
      </c>
    </row>
    <row r="3498" spans="1:6" x14ac:dyDescent="0.3">
      <c r="A3498" t="s">
        <v>60</v>
      </c>
      <c r="B3498">
        <v>2021</v>
      </c>
      <c r="C3498" t="s">
        <v>17</v>
      </c>
      <c r="D3498" s="35">
        <v>1382767.43</v>
      </c>
      <c r="E3498" s="35">
        <v>97924</v>
      </c>
      <c r="F3498" s="35">
        <v>269070.40999999992</v>
      </c>
    </row>
    <row r="3499" spans="1:6" x14ac:dyDescent="0.3">
      <c r="A3499" t="s">
        <v>60</v>
      </c>
      <c r="B3499">
        <v>2021</v>
      </c>
      <c r="C3499" t="s">
        <v>9</v>
      </c>
      <c r="D3499" s="35">
        <v>9275016.5799999982</v>
      </c>
      <c r="E3499" s="35">
        <v>377133</v>
      </c>
      <c r="F3499" s="35">
        <v>5523096.6399999997</v>
      </c>
    </row>
    <row r="3500" spans="1:6" x14ac:dyDescent="0.3">
      <c r="A3500" t="s">
        <v>60</v>
      </c>
      <c r="B3500">
        <v>2021</v>
      </c>
      <c r="C3500" t="s">
        <v>8</v>
      </c>
      <c r="D3500" s="35">
        <v>14742535.67</v>
      </c>
      <c r="E3500" s="35">
        <v>1259</v>
      </c>
      <c r="F3500" s="35">
        <v>14690726.699999999</v>
      </c>
    </row>
    <row r="3501" spans="1:6" x14ac:dyDescent="0.3">
      <c r="A3501" t="s">
        <v>60</v>
      </c>
      <c r="B3501">
        <v>2021</v>
      </c>
      <c r="C3501" t="s">
        <v>6</v>
      </c>
      <c r="D3501" s="35">
        <v>37402162.309999987</v>
      </c>
      <c r="E3501" s="35">
        <v>482459</v>
      </c>
      <c r="F3501" s="35">
        <v>32511172.039999999</v>
      </c>
    </row>
    <row r="3502" spans="1:6" x14ac:dyDescent="0.3">
      <c r="A3502" t="s">
        <v>60</v>
      </c>
      <c r="B3502">
        <v>2021</v>
      </c>
      <c r="C3502" t="s">
        <v>15</v>
      </c>
      <c r="D3502" s="35">
        <v>6487352.1900000013</v>
      </c>
      <c r="E3502" s="35">
        <v>234910</v>
      </c>
      <c r="F3502" s="35">
        <v>2831491.83</v>
      </c>
    </row>
    <row r="3503" spans="1:6" x14ac:dyDescent="0.3">
      <c r="A3503" t="s">
        <v>60</v>
      </c>
      <c r="B3503">
        <v>2021</v>
      </c>
      <c r="C3503" t="s">
        <v>18</v>
      </c>
      <c r="D3503" s="35">
        <v>1733358.03</v>
      </c>
      <c r="E3503" s="35">
        <v>18496</v>
      </c>
      <c r="F3503" s="35">
        <v>1066779.8799999999</v>
      </c>
    </row>
    <row r="3504" spans="1:6" x14ac:dyDescent="0.3">
      <c r="A3504" t="s">
        <v>60</v>
      </c>
      <c r="B3504">
        <v>2022</v>
      </c>
      <c r="C3504" t="s">
        <v>10</v>
      </c>
      <c r="D3504" s="35">
        <v>18499912.879999999</v>
      </c>
      <c r="E3504" s="35">
        <v>511700</v>
      </c>
      <c r="F3504" s="35">
        <v>12969024.82</v>
      </c>
    </row>
    <row r="3505" spans="1:6" x14ac:dyDescent="0.3">
      <c r="A3505" t="s">
        <v>60</v>
      </c>
      <c r="B3505">
        <v>2022</v>
      </c>
      <c r="C3505" t="s">
        <v>4</v>
      </c>
      <c r="D3505" s="35">
        <v>55132388.539999992</v>
      </c>
      <c r="E3505" s="35">
        <v>155434</v>
      </c>
      <c r="F3505" s="35">
        <v>54554797.670000002</v>
      </c>
    </row>
    <row r="3506" spans="1:6" x14ac:dyDescent="0.3">
      <c r="A3506" t="s">
        <v>60</v>
      </c>
      <c r="B3506">
        <v>2022</v>
      </c>
      <c r="C3506" t="s">
        <v>13</v>
      </c>
      <c r="D3506" s="35">
        <v>16284406.92</v>
      </c>
      <c r="E3506" s="35">
        <v>151882</v>
      </c>
      <c r="F3506" s="35">
        <v>13515932.220000001</v>
      </c>
    </row>
    <row r="3507" spans="1:6" x14ac:dyDescent="0.3">
      <c r="A3507" t="s">
        <v>60</v>
      </c>
      <c r="B3507">
        <v>2022</v>
      </c>
      <c r="C3507" t="s">
        <v>16</v>
      </c>
      <c r="D3507" s="35">
        <v>5779463.2899999991</v>
      </c>
      <c r="E3507" s="35">
        <v>16159</v>
      </c>
      <c r="F3507" s="35">
        <v>5322974.5099999988</v>
      </c>
    </row>
    <row r="3508" spans="1:6" x14ac:dyDescent="0.3">
      <c r="A3508" t="s">
        <v>60</v>
      </c>
      <c r="B3508">
        <v>2022</v>
      </c>
      <c r="C3508" t="s">
        <v>14</v>
      </c>
      <c r="D3508" s="35">
        <v>13809042.83</v>
      </c>
      <c r="E3508" s="35">
        <v>357800</v>
      </c>
      <c r="F3508" s="35">
        <v>9626644.9700000025</v>
      </c>
    </row>
    <row r="3509" spans="1:6" x14ac:dyDescent="0.3">
      <c r="A3509" t="s">
        <v>60</v>
      </c>
      <c r="B3509">
        <v>2022</v>
      </c>
      <c r="C3509" t="s">
        <v>7</v>
      </c>
      <c r="D3509" s="35">
        <v>11898656.09</v>
      </c>
      <c r="E3509" s="35">
        <v>4562</v>
      </c>
      <c r="F3509" s="35">
        <v>11801698.42</v>
      </c>
    </row>
    <row r="3510" spans="1:6" x14ac:dyDescent="0.3">
      <c r="A3510" t="s">
        <v>60</v>
      </c>
      <c r="B3510">
        <v>2022</v>
      </c>
      <c r="C3510" t="s">
        <v>11</v>
      </c>
      <c r="D3510" s="35">
        <v>18568849.899999991</v>
      </c>
      <c r="E3510" s="35">
        <v>56574</v>
      </c>
      <c r="F3510" s="35">
        <v>18176341.5</v>
      </c>
    </row>
    <row r="3511" spans="1:6" x14ac:dyDescent="0.3">
      <c r="A3511" t="s">
        <v>60</v>
      </c>
      <c r="B3511">
        <v>2022</v>
      </c>
      <c r="C3511" t="s">
        <v>3</v>
      </c>
      <c r="D3511" s="35">
        <v>58776310.62999998</v>
      </c>
      <c r="E3511" s="35">
        <v>174595</v>
      </c>
      <c r="F3511" s="35">
        <v>57316195.539999999</v>
      </c>
    </row>
    <row r="3512" spans="1:6" x14ac:dyDescent="0.3">
      <c r="A3512" t="s">
        <v>60</v>
      </c>
      <c r="B3512">
        <v>2022</v>
      </c>
      <c r="C3512" t="s">
        <v>12</v>
      </c>
      <c r="D3512" s="35">
        <v>15786794.050000001</v>
      </c>
      <c r="E3512" s="35">
        <v>398876</v>
      </c>
      <c r="F3512" s="35">
        <v>8075936.3899999997</v>
      </c>
    </row>
    <row r="3513" spans="1:6" x14ac:dyDescent="0.3">
      <c r="A3513" t="s">
        <v>60</v>
      </c>
      <c r="B3513">
        <v>2022</v>
      </c>
      <c r="C3513" t="s">
        <v>2</v>
      </c>
      <c r="D3513" s="35">
        <v>139770005.41999999</v>
      </c>
      <c r="E3513" s="35">
        <v>1137890</v>
      </c>
      <c r="F3513" s="35">
        <v>116657199.42</v>
      </c>
    </row>
    <row r="3514" spans="1:6" x14ac:dyDescent="0.3">
      <c r="A3514" t="s">
        <v>60</v>
      </c>
      <c r="B3514">
        <v>2022</v>
      </c>
      <c r="C3514" t="s">
        <v>5</v>
      </c>
      <c r="D3514" s="35">
        <v>29917774.030000001</v>
      </c>
      <c r="E3514" s="35">
        <v>16354</v>
      </c>
      <c r="F3514" s="35">
        <v>29145658.329999998</v>
      </c>
    </row>
    <row r="3515" spans="1:6" x14ac:dyDescent="0.3">
      <c r="A3515" t="s">
        <v>60</v>
      </c>
      <c r="B3515">
        <v>2022</v>
      </c>
      <c r="C3515" t="s">
        <v>17</v>
      </c>
      <c r="D3515" s="35">
        <v>1292303.81</v>
      </c>
      <c r="E3515" s="35">
        <v>112337</v>
      </c>
      <c r="F3515" s="35">
        <v>265433.15000000002</v>
      </c>
    </row>
    <row r="3516" spans="1:6" x14ac:dyDescent="0.3">
      <c r="A3516" t="s">
        <v>60</v>
      </c>
      <c r="B3516">
        <v>2022</v>
      </c>
      <c r="C3516" t="s">
        <v>9</v>
      </c>
      <c r="D3516" s="35">
        <v>11151415.310000001</v>
      </c>
      <c r="E3516" s="35">
        <v>452542</v>
      </c>
      <c r="F3516" s="35">
        <v>6814606.9300000016</v>
      </c>
    </row>
    <row r="3517" spans="1:6" x14ac:dyDescent="0.3">
      <c r="A3517" t="s">
        <v>60</v>
      </c>
      <c r="B3517">
        <v>2022</v>
      </c>
      <c r="C3517" t="s">
        <v>8</v>
      </c>
      <c r="D3517" s="35">
        <v>19144404.440000001</v>
      </c>
      <c r="E3517" s="35">
        <v>1547</v>
      </c>
      <c r="F3517" s="35">
        <v>18916566.52</v>
      </c>
    </row>
    <row r="3518" spans="1:6" x14ac:dyDescent="0.3">
      <c r="A3518" t="s">
        <v>60</v>
      </c>
      <c r="B3518">
        <v>2022</v>
      </c>
      <c r="C3518" t="s">
        <v>6</v>
      </c>
      <c r="D3518" s="35">
        <v>40297867.140000008</v>
      </c>
      <c r="E3518" s="35">
        <v>542198</v>
      </c>
      <c r="F3518" s="35">
        <v>34275522.229999989</v>
      </c>
    </row>
    <row r="3519" spans="1:6" x14ac:dyDescent="0.3">
      <c r="A3519" t="s">
        <v>60</v>
      </c>
      <c r="B3519">
        <v>2022</v>
      </c>
      <c r="C3519" t="s">
        <v>15</v>
      </c>
      <c r="D3519" s="35">
        <v>6549472.6699999999</v>
      </c>
      <c r="E3519" s="35">
        <v>218377</v>
      </c>
      <c r="F3519" s="35">
        <v>3209365.709999999</v>
      </c>
    </row>
    <row r="3520" spans="1:6" x14ac:dyDescent="0.3">
      <c r="A3520" t="s">
        <v>60</v>
      </c>
      <c r="B3520">
        <v>2022</v>
      </c>
      <c r="C3520" t="s">
        <v>18</v>
      </c>
      <c r="D3520" s="35">
        <v>2797240.399999999</v>
      </c>
      <c r="E3520" s="35">
        <v>18326</v>
      </c>
      <c r="F3520" s="35">
        <v>2224503.52</v>
      </c>
    </row>
    <row r="3521" spans="1:6" x14ac:dyDescent="0.3">
      <c r="A3521" t="s">
        <v>60</v>
      </c>
      <c r="B3521">
        <v>2023</v>
      </c>
      <c r="C3521" t="s">
        <v>10</v>
      </c>
      <c r="D3521" s="35">
        <v>21806233.5</v>
      </c>
      <c r="E3521" s="35">
        <v>539986</v>
      </c>
      <c r="F3521" s="35">
        <v>16012062.050000001</v>
      </c>
    </row>
    <row r="3522" spans="1:6" x14ac:dyDescent="0.3">
      <c r="A3522" t="s">
        <v>60</v>
      </c>
      <c r="B3522">
        <v>2023</v>
      </c>
      <c r="C3522" t="s">
        <v>4</v>
      </c>
      <c r="D3522" s="35">
        <v>69182951.520000011</v>
      </c>
      <c r="E3522" s="35">
        <v>172043</v>
      </c>
      <c r="F3522" s="35">
        <v>68533532.979999989</v>
      </c>
    </row>
    <row r="3523" spans="1:6" x14ac:dyDescent="0.3">
      <c r="A3523" t="s">
        <v>60</v>
      </c>
      <c r="B3523">
        <v>2023</v>
      </c>
      <c r="C3523" t="s">
        <v>13</v>
      </c>
      <c r="D3523" s="35">
        <v>17317301.350000001</v>
      </c>
      <c r="E3523" s="35">
        <v>159240</v>
      </c>
      <c r="F3523" s="35">
        <v>13951313.92</v>
      </c>
    </row>
    <row r="3524" spans="1:6" x14ac:dyDescent="0.3">
      <c r="A3524" t="s">
        <v>60</v>
      </c>
      <c r="B3524">
        <v>2023</v>
      </c>
      <c r="C3524" t="s">
        <v>16</v>
      </c>
      <c r="D3524" s="35">
        <v>6976948.0300000003</v>
      </c>
      <c r="E3524" s="35">
        <v>18647</v>
      </c>
      <c r="F3524" s="35">
        <v>6369995.6200000001</v>
      </c>
    </row>
    <row r="3525" spans="1:6" x14ac:dyDescent="0.3">
      <c r="A3525" t="s">
        <v>60</v>
      </c>
      <c r="B3525">
        <v>2023</v>
      </c>
      <c r="C3525" t="s">
        <v>14</v>
      </c>
      <c r="D3525" s="35">
        <v>14906010.18</v>
      </c>
      <c r="E3525" s="35">
        <v>366053</v>
      </c>
      <c r="F3525" s="35">
        <v>10867000.630000001</v>
      </c>
    </row>
    <row r="3526" spans="1:6" x14ac:dyDescent="0.3">
      <c r="A3526" t="s">
        <v>60</v>
      </c>
      <c r="B3526">
        <v>2023</v>
      </c>
      <c r="C3526" t="s">
        <v>7</v>
      </c>
      <c r="D3526" s="35">
        <v>13314559.359999999</v>
      </c>
      <c r="E3526" s="35">
        <v>4718</v>
      </c>
      <c r="F3526" s="35">
        <v>13154718.470000001</v>
      </c>
    </row>
    <row r="3527" spans="1:6" x14ac:dyDescent="0.3">
      <c r="A3527" t="s">
        <v>60</v>
      </c>
      <c r="B3527">
        <v>2023</v>
      </c>
      <c r="C3527" t="s">
        <v>11</v>
      </c>
      <c r="D3527" s="35">
        <v>20219093.579999998</v>
      </c>
      <c r="E3527" s="35">
        <v>55763</v>
      </c>
      <c r="F3527" s="35">
        <v>19854613.789999999</v>
      </c>
    </row>
    <row r="3528" spans="1:6" x14ac:dyDescent="0.3">
      <c r="A3528" t="s">
        <v>60</v>
      </c>
      <c r="B3528">
        <v>2023</v>
      </c>
      <c r="C3528" t="s">
        <v>3</v>
      </c>
      <c r="D3528" s="35">
        <v>81985968.359999999</v>
      </c>
      <c r="E3528" s="35">
        <v>179749</v>
      </c>
      <c r="F3528" s="35">
        <v>80351524.430000007</v>
      </c>
    </row>
    <row r="3529" spans="1:6" x14ac:dyDescent="0.3">
      <c r="A3529" t="s">
        <v>60</v>
      </c>
      <c r="B3529">
        <v>2023</v>
      </c>
      <c r="C3529" t="s">
        <v>12</v>
      </c>
      <c r="D3529" s="35">
        <v>14112971.74</v>
      </c>
      <c r="E3529" s="35">
        <v>418776</v>
      </c>
      <c r="F3529" s="35">
        <v>7390136.8399999999</v>
      </c>
    </row>
    <row r="3530" spans="1:6" x14ac:dyDescent="0.3">
      <c r="A3530" t="s">
        <v>60</v>
      </c>
      <c r="B3530">
        <v>2023</v>
      </c>
      <c r="C3530" t="s">
        <v>2</v>
      </c>
      <c r="D3530" s="35">
        <v>145238349.90000001</v>
      </c>
      <c r="E3530" s="35">
        <v>1184299</v>
      </c>
      <c r="F3530" s="35">
        <v>121538146.95</v>
      </c>
    </row>
    <row r="3531" spans="1:6" x14ac:dyDescent="0.3">
      <c r="A3531" t="s">
        <v>60</v>
      </c>
      <c r="B3531">
        <v>2023</v>
      </c>
      <c r="C3531" t="s">
        <v>5</v>
      </c>
      <c r="D3531" s="35">
        <v>25786963.870000001</v>
      </c>
      <c r="E3531" s="35">
        <v>15422</v>
      </c>
      <c r="F3531" s="35">
        <v>25177648.91</v>
      </c>
    </row>
    <row r="3532" spans="1:6" x14ac:dyDescent="0.3">
      <c r="A3532" t="s">
        <v>60</v>
      </c>
      <c r="B3532">
        <v>2023</v>
      </c>
      <c r="C3532" t="s">
        <v>17</v>
      </c>
      <c r="D3532" s="35">
        <v>1401471.88</v>
      </c>
      <c r="E3532" s="35">
        <v>102126</v>
      </c>
      <c r="F3532" s="35">
        <v>362088.19000000012</v>
      </c>
    </row>
    <row r="3533" spans="1:6" x14ac:dyDescent="0.3">
      <c r="A3533" t="s">
        <v>60</v>
      </c>
      <c r="B3533">
        <v>2023</v>
      </c>
      <c r="C3533" t="s">
        <v>9</v>
      </c>
      <c r="D3533" s="35">
        <v>11912786.039999999</v>
      </c>
      <c r="E3533" s="35">
        <v>452615</v>
      </c>
      <c r="F3533" s="35">
        <v>6824628.5200000023</v>
      </c>
    </row>
    <row r="3534" spans="1:6" x14ac:dyDescent="0.3">
      <c r="A3534" t="s">
        <v>60</v>
      </c>
      <c r="B3534">
        <v>2023</v>
      </c>
      <c r="C3534" t="s">
        <v>8</v>
      </c>
      <c r="D3534" s="35">
        <v>19753630.27</v>
      </c>
      <c r="E3534" s="35">
        <v>1317</v>
      </c>
      <c r="F3534" s="35">
        <v>19753630.27</v>
      </c>
    </row>
    <row r="3535" spans="1:6" x14ac:dyDescent="0.3">
      <c r="A3535" t="s">
        <v>60</v>
      </c>
      <c r="B3535">
        <v>2023</v>
      </c>
      <c r="C3535" t="s">
        <v>6</v>
      </c>
      <c r="D3535" s="35">
        <v>44999965.849999987</v>
      </c>
      <c r="E3535" s="35">
        <v>560613</v>
      </c>
      <c r="F3535" s="35">
        <v>39828660.919999987</v>
      </c>
    </row>
    <row r="3536" spans="1:6" x14ac:dyDescent="0.3">
      <c r="A3536" t="s">
        <v>60</v>
      </c>
      <c r="B3536">
        <v>2023</v>
      </c>
      <c r="C3536" t="s">
        <v>15</v>
      </c>
      <c r="D3536" s="35">
        <v>5800757.7000000002</v>
      </c>
      <c r="E3536" s="35">
        <v>181229</v>
      </c>
      <c r="F3536" s="35">
        <v>2927633.82</v>
      </c>
    </row>
    <row r="3537" spans="1:6" x14ac:dyDescent="0.3">
      <c r="A3537" t="s">
        <v>60</v>
      </c>
      <c r="B3537">
        <v>2023</v>
      </c>
      <c r="C3537" t="s">
        <v>18</v>
      </c>
      <c r="D3537" s="35">
        <v>3792463.9</v>
      </c>
      <c r="E3537" s="35">
        <v>16292</v>
      </c>
      <c r="F3537" s="35">
        <v>3451373.87</v>
      </c>
    </row>
    <row r="3538" spans="1:6" x14ac:dyDescent="0.3">
      <c r="A3538" t="s">
        <v>60</v>
      </c>
      <c r="B3538">
        <v>2024</v>
      </c>
      <c r="C3538" t="s">
        <v>10</v>
      </c>
      <c r="D3538" s="35">
        <v>21071304.370000001</v>
      </c>
      <c r="E3538" s="35">
        <v>488370</v>
      </c>
      <c r="F3538" s="35">
        <v>16152056.779999999</v>
      </c>
    </row>
    <row r="3539" spans="1:6" x14ac:dyDescent="0.3">
      <c r="A3539" t="s">
        <v>60</v>
      </c>
      <c r="B3539">
        <v>2024</v>
      </c>
      <c r="C3539" t="s">
        <v>4</v>
      </c>
      <c r="D3539" s="35">
        <v>59520563.799999997</v>
      </c>
      <c r="E3539" s="35">
        <v>161219</v>
      </c>
      <c r="F3539" s="35">
        <v>58937076.400000013</v>
      </c>
    </row>
    <row r="3540" spans="1:6" x14ac:dyDescent="0.3">
      <c r="A3540" t="s">
        <v>60</v>
      </c>
      <c r="B3540">
        <v>2024</v>
      </c>
      <c r="C3540" t="s">
        <v>13</v>
      </c>
      <c r="D3540" s="35">
        <v>14854000.220000001</v>
      </c>
      <c r="E3540" s="35">
        <v>139177</v>
      </c>
      <c r="F3540" s="35">
        <v>12412314.800000001</v>
      </c>
    </row>
    <row r="3541" spans="1:6" x14ac:dyDescent="0.3">
      <c r="A3541" t="s">
        <v>60</v>
      </c>
      <c r="B3541">
        <v>2024</v>
      </c>
      <c r="C3541" t="s">
        <v>16</v>
      </c>
      <c r="D3541" s="35">
        <v>5857934.4800000004</v>
      </c>
      <c r="E3541" s="35">
        <v>15439</v>
      </c>
      <c r="F3541" s="35">
        <v>5465969.0599999996</v>
      </c>
    </row>
    <row r="3542" spans="1:6" x14ac:dyDescent="0.3">
      <c r="A3542" t="s">
        <v>60</v>
      </c>
      <c r="B3542">
        <v>2024</v>
      </c>
      <c r="C3542" t="s">
        <v>14</v>
      </c>
      <c r="D3542" s="35">
        <v>15511124.49</v>
      </c>
      <c r="E3542" s="35">
        <v>349089</v>
      </c>
      <c r="F3542" s="35">
        <v>11658655.84</v>
      </c>
    </row>
    <row r="3543" spans="1:6" x14ac:dyDescent="0.3">
      <c r="A3543" t="s">
        <v>60</v>
      </c>
      <c r="B3543">
        <v>2024</v>
      </c>
      <c r="C3543" t="s">
        <v>7</v>
      </c>
      <c r="D3543" s="35">
        <v>12080187.640000001</v>
      </c>
      <c r="E3543" s="35">
        <v>4130</v>
      </c>
      <c r="F3543" s="35">
        <v>11963151.380000001</v>
      </c>
    </row>
    <row r="3544" spans="1:6" x14ac:dyDescent="0.3">
      <c r="A3544" t="s">
        <v>60</v>
      </c>
      <c r="B3544">
        <v>2024</v>
      </c>
      <c r="C3544" t="s">
        <v>11</v>
      </c>
      <c r="D3544" s="35">
        <v>17912547.600000001</v>
      </c>
      <c r="E3544" s="35">
        <v>48902</v>
      </c>
      <c r="F3544" s="35">
        <v>17637438.690000001</v>
      </c>
    </row>
    <row r="3545" spans="1:6" x14ac:dyDescent="0.3">
      <c r="A3545" t="s">
        <v>60</v>
      </c>
      <c r="B3545">
        <v>2024</v>
      </c>
      <c r="C3545" t="s">
        <v>3</v>
      </c>
      <c r="D3545" s="35">
        <v>82690696.189999998</v>
      </c>
      <c r="E3545" s="35">
        <v>171767</v>
      </c>
      <c r="F3545" s="35">
        <v>80994353.420000002</v>
      </c>
    </row>
    <row r="3546" spans="1:6" x14ac:dyDescent="0.3">
      <c r="A3546" t="s">
        <v>60</v>
      </c>
      <c r="B3546">
        <v>2024</v>
      </c>
      <c r="C3546" t="s">
        <v>12</v>
      </c>
      <c r="D3546" s="35">
        <v>12849593.310000001</v>
      </c>
      <c r="E3546" s="35">
        <v>393679</v>
      </c>
      <c r="F3546" s="35">
        <v>7420224.6599999992</v>
      </c>
    </row>
    <row r="3547" spans="1:6" x14ac:dyDescent="0.3">
      <c r="A3547" t="s">
        <v>60</v>
      </c>
      <c r="B3547">
        <v>2024</v>
      </c>
      <c r="C3547" t="s">
        <v>2</v>
      </c>
      <c r="D3547" s="35">
        <v>144788801.21000001</v>
      </c>
      <c r="E3547" s="35">
        <v>1087371</v>
      </c>
      <c r="F3547" s="35">
        <v>128286172.51000001</v>
      </c>
    </row>
    <row r="3548" spans="1:6" x14ac:dyDescent="0.3">
      <c r="A3548" t="s">
        <v>60</v>
      </c>
      <c r="B3548">
        <v>2024</v>
      </c>
      <c r="C3548" t="s">
        <v>5</v>
      </c>
      <c r="D3548" s="35">
        <v>23806879.100000001</v>
      </c>
      <c r="E3548" s="35">
        <v>14144</v>
      </c>
      <c r="F3548" s="35">
        <v>23425851.61999999</v>
      </c>
    </row>
    <row r="3549" spans="1:6" x14ac:dyDescent="0.3">
      <c r="A3549" t="s">
        <v>60</v>
      </c>
      <c r="B3549">
        <v>2024</v>
      </c>
      <c r="C3549" t="s">
        <v>17</v>
      </c>
      <c r="D3549" s="35">
        <v>1310380.1100000001</v>
      </c>
      <c r="E3549" s="35">
        <v>90843</v>
      </c>
      <c r="F3549" s="35">
        <v>357197.28</v>
      </c>
    </row>
    <row r="3550" spans="1:6" x14ac:dyDescent="0.3">
      <c r="A3550" t="s">
        <v>60</v>
      </c>
      <c r="B3550">
        <v>2024</v>
      </c>
      <c r="C3550" t="s">
        <v>9</v>
      </c>
      <c r="D3550" s="35">
        <v>10279539.77</v>
      </c>
      <c r="E3550" s="35">
        <v>449462</v>
      </c>
      <c r="F3550" s="35">
        <v>5780862.3500000006</v>
      </c>
    </row>
    <row r="3551" spans="1:6" x14ac:dyDescent="0.3">
      <c r="A3551" t="s">
        <v>60</v>
      </c>
      <c r="B3551">
        <v>2024</v>
      </c>
      <c r="C3551" t="s">
        <v>8</v>
      </c>
      <c r="D3551" s="35">
        <v>14849062.630000001</v>
      </c>
      <c r="E3551" s="35">
        <v>954</v>
      </c>
      <c r="F3551" s="35">
        <v>14697183.189999999</v>
      </c>
    </row>
    <row r="3552" spans="1:6" x14ac:dyDescent="0.3">
      <c r="A3552" t="s">
        <v>60</v>
      </c>
      <c r="B3552">
        <v>2024</v>
      </c>
      <c r="C3552" t="s">
        <v>6</v>
      </c>
      <c r="D3552" s="35">
        <v>35735975.079999998</v>
      </c>
      <c r="E3552" s="35">
        <v>530571</v>
      </c>
      <c r="F3552" s="35">
        <v>30274991.07</v>
      </c>
    </row>
    <row r="3553" spans="1:6" x14ac:dyDescent="0.3">
      <c r="A3553" t="s">
        <v>60</v>
      </c>
      <c r="B3553">
        <v>2024</v>
      </c>
      <c r="C3553" t="s">
        <v>15</v>
      </c>
      <c r="D3553" s="35">
        <v>3307971.03</v>
      </c>
      <c r="E3553" s="35">
        <v>134826</v>
      </c>
      <c r="F3553" s="35">
        <v>1249758.04</v>
      </c>
    </row>
    <row r="3554" spans="1:6" x14ac:dyDescent="0.3">
      <c r="A3554" t="s">
        <v>60</v>
      </c>
      <c r="B3554">
        <v>2024</v>
      </c>
      <c r="C3554" t="s">
        <v>18</v>
      </c>
      <c r="D3554" s="35">
        <v>3803176.629999999</v>
      </c>
      <c r="E3554" s="35">
        <v>14458</v>
      </c>
      <c r="F3554" s="35">
        <v>3554274.459999999</v>
      </c>
    </row>
    <row r="3555" spans="1:6" x14ac:dyDescent="0.3">
      <c r="A3555" t="s">
        <v>60</v>
      </c>
      <c r="B3555">
        <v>2025</v>
      </c>
      <c r="C3555" t="s">
        <v>10</v>
      </c>
      <c r="D3555" s="35">
        <v>23422438.699999999</v>
      </c>
      <c r="E3555" s="35">
        <v>473098</v>
      </c>
      <c r="F3555" s="35">
        <v>18576593.66</v>
      </c>
    </row>
    <row r="3556" spans="1:6" x14ac:dyDescent="0.3">
      <c r="A3556" t="s">
        <v>60</v>
      </c>
      <c r="B3556">
        <v>2025</v>
      </c>
      <c r="C3556" t="s">
        <v>4</v>
      </c>
      <c r="D3556" s="35">
        <v>63249282.579999998</v>
      </c>
      <c r="E3556" s="35">
        <v>159147</v>
      </c>
      <c r="F3556" s="35">
        <v>62699623.289999977</v>
      </c>
    </row>
    <row r="3557" spans="1:6" x14ac:dyDescent="0.3">
      <c r="A3557" t="s">
        <v>60</v>
      </c>
      <c r="B3557">
        <v>2025</v>
      </c>
      <c r="C3557" t="s">
        <v>13</v>
      </c>
      <c r="D3557" s="35">
        <v>16464861.029999999</v>
      </c>
      <c r="E3557" s="35">
        <v>129091</v>
      </c>
      <c r="F3557" s="35">
        <v>14169016.380000001</v>
      </c>
    </row>
    <row r="3558" spans="1:6" x14ac:dyDescent="0.3">
      <c r="A3558" t="s">
        <v>60</v>
      </c>
      <c r="B3558">
        <v>2025</v>
      </c>
      <c r="C3558" t="s">
        <v>16</v>
      </c>
      <c r="D3558" s="35">
        <v>4989865.3099999996</v>
      </c>
      <c r="E3558" s="35">
        <v>14187</v>
      </c>
      <c r="F3558" s="35">
        <v>4649564.1999999993</v>
      </c>
    </row>
    <row r="3559" spans="1:6" x14ac:dyDescent="0.3">
      <c r="A3559" t="s">
        <v>60</v>
      </c>
      <c r="B3559">
        <v>2025</v>
      </c>
      <c r="C3559" t="s">
        <v>14</v>
      </c>
      <c r="D3559" s="35">
        <v>15064721.42</v>
      </c>
      <c r="E3559" s="35">
        <v>338547</v>
      </c>
      <c r="F3559" s="35">
        <v>11276615.35</v>
      </c>
    </row>
    <row r="3560" spans="1:6" x14ac:dyDescent="0.3">
      <c r="A3560" t="s">
        <v>60</v>
      </c>
      <c r="B3560">
        <v>2025</v>
      </c>
      <c r="C3560" t="s">
        <v>7</v>
      </c>
      <c r="D3560" s="35">
        <v>9831988.1099999994</v>
      </c>
      <c r="E3560" s="35">
        <v>3219</v>
      </c>
      <c r="F3560" s="35">
        <v>9662225.370000001</v>
      </c>
    </row>
    <row r="3561" spans="1:6" x14ac:dyDescent="0.3">
      <c r="A3561" t="s">
        <v>60</v>
      </c>
      <c r="B3561">
        <v>2025</v>
      </c>
      <c r="C3561" t="s">
        <v>11</v>
      </c>
      <c r="D3561" s="35">
        <v>20417069.739999991</v>
      </c>
      <c r="E3561" s="35">
        <v>45452</v>
      </c>
      <c r="F3561" s="35">
        <v>20115329.989999991</v>
      </c>
    </row>
    <row r="3562" spans="1:6" x14ac:dyDescent="0.3">
      <c r="A3562" t="s">
        <v>60</v>
      </c>
      <c r="B3562">
        <v>2025</v>
      </c>
      <c r="C3562" t="s">
        <v>3</v>
      </c>
      <c r="D3562" s="35">
        <v>92494375.140000001</v>
      </c>
      <c r="E3562" s="35">
        <v>165324</v>
      </c>
      <c r="F3562" s="35">
        <v>91030745.560000002</v>
      </c>
    </row>
    <row r="3563" spans="1:6" x14ac:dyDescent="0.3">
      <c r="A3563" t="s">
        <v>60</v>
      </c>
      <c r="B3563">
        <v>2025</v>
      </c>
      <c r="C3563" t="s">
        <v>12</v>
      </c>
      <c r="D3563" s="35">
        <v>10041271.890000001</v>
      </c>
      <c r="E3563" s="35">
        <v>364052</v>
      </c>
      <c r="F3563" s="35">
        <v>5456979.54</v>
      </c>
    </row>
    <row r="3564" spans="1:6" x14ac:dyDescent="0.3">
      <c r="A3564" t="s">
        <v>60</v>
      </c>
      <c r="B3564">
        <v>2025</v>
      </c>
      <c r="C3564" t="s">
        <v>2</v>
      </c>
      <c r="D3564" s="35">
        <v>147803878.50000009</v>
      </c>
      <c r="E3564" s="35">
        <v>1082519</v>
      </c>
      <c r="F3564" s="35">
        <v>127654251.58</v>
      </c>
    </row>
    <row r="3565" spans="1:6" x14ac:dyDescent="0.3">
      <c r="A3565" t="s">
        <v>60</v>
      </c>
      <c r="B3565">
        <v>2025</v>
      </c>
      <c r="C3565" t="s">
        <v>5</v>
      </c>
      <c r="D3565" s="35">
        <v>28427138.300000001</v>
      </c>
      <c r="E3565" s="35">
        <v>13182</v>
      </c>
      <c r="F3565" s="35">
        <v>27923486.02</v>
      </c>
    </row>
    <row r="3566" spans="1:6" x14ac:dyDescent="0.3">
      <c r="A3566" t="s">
        <v>60</v>
      </c>
      <c r="B3566">
        <v>2025</v>
      </c>
      <c r="C3566" t="s">
        <v>17</v>
      </c>
      <c r="D3566" s="35">
        <v>1126670.56</v>
      </c>
      <c r="E3566" s="35">
        <v>84358</v>
      </c>
      <c r="F3566" s="35">
        <v>294529.71000000002</v>
      </c>
    </row>
    <row r="3567" spans="1:6" x14ac:dyDescent="0.3">
      <c r="A3567" t="s">
        <v>60</v>
      </c>
      <c r="B3567">
        <v>2025</v>
      </c>
      <c r="C3567" t="s">
        <v>9</v>
      </c>
      <c r="D3567" s="35">
        <v>9869961.1199999992</v>
      </c>
      <c r="E3567" s="35">
        <v>452167</v>
      </c>
      <c r="F3567" s="35">
        <v>5326568.5399999991</v>
      </c>
    </row>
    <row r="3568" spans="1:6" x14ac:dyDescent="0.3">
      <c r="A3568" t="s">
        <v>60</v>
      </c>
      <c r="B3568">
        <v>2025</v>
      </c>
      <c r="C3568" t="s">
        <v>8</v>
      </c>
      <c r="D3568" s="35">
        <v>15901114.34</v>
      </c>
      <c r="E3568" s="35">
        <v>939</v>
      </c>
      <c r="F3568" s="35">
        <v>15635122.720000001</v>
      </c>
    </row>
    <row r="3569" spans="1:6" x14ac:dyDescent="0.3">
      <c r="A3569" t="s">
        <v>60</v>
      </c>
      <c r="B3569">
        <v>2025</v>
      </c>
      <c r="C3569" t="s">
        <v>6</v>
      </c>
      <c r="D3569" s="35">
        <v>37885654.039999992</v>
      </c>
      <c r="E3569" s="35">
        <v>519126</v>
      </c>
      <c r="F3569" s="35">
        <v>32303671.52</v>
      </c>
    </row>
    <row r="3570" spans="1:6" x14ac:dyDescent="0.3">
      <c r="A3570" t="s">
        <v>60</v>
      </c>
      <c r="B3570">
        <v>2025</v>
      </c>
      <c r="C3570" t="s">
        <v>15</v>
      </c>
      <c r="D3570" s="35">
        <v>3131445.87</v>
      </c>
      <c r="E3570" s="35">
        <v>113309</v>
      </c>
      <c r="F3570" s="35">
        <v>1451497.79</v>
      </c>
    </row>
    <row r="3571" spans="1:6" x14ac:dyDescent="0.3">
      <c r="A3571" t="s">
        <v>60</v>
      </c>
      <c r="B3571">
        <v>2025</v>
      </c>
      <c r="C3571" t="s">
        <v>18</v>
      </c>
      <c r="D3571" s="35">
        <v>3865306.54</v>
      </c>
      <c r="E3571" s="35">
        <v>15053</v>
      </c>
      <c r="F3571" s="35">
        <v>3439207.87</v>
      </c>
    </row>
    <row r="3572" spans="1:6" x14ac:dyDescent="0.3">
      <c r="A3572" t="s">
        <v>61</v>
      </c>
      <c r="B3572">
        <v>2019</v>
      </c>
      <c r="C3572" t="s">
        <v>10</v>
      </c>
      <c r="D3572" s="35">
        <v>5441563.459999999</v>
      </c>
      <c r="E3572" s="35">
        <v>229870</v>
      </c>
      <c r="F3572" s="35">
        <v>3025356.34</v>
      </c>
    </row>
    <row r="3573" spans="1:6" x14ac:dyDescent="0.3">
      <c r="A3573" t="s">
        <v>61</v>
      </c>
      <c r="B3573">
        <v>2019</v>
      </c>
      <c r="C3573" t="s">
        <v>4</v>
      </c>
      <c r="D3573" s="35">
        <v>16792233.27</v>
      </c>
      <c r="E3573" s="35">
        <v>63726</v>
      </c>
      <c r="F3573" s="35">
        <v>16407255.060000001</v>
      </c>
    </row>
    <row r="3574" spans="1:6" x14ac:dyDescent="0.3">
      <c r="A3574" t="s">
        <v>61</v>
      </c>
      <c r="B3574">
        <v>2019</v>
      </c>
      <c r="C3574" t="s">
        <v>13</v>
      </c>
      <c r="D3574" s="35">
        <v>10888493.83</v>
      </c>
      <c r="E3574" s="35">
        <v>90316</v>
      </c>
      <c r="F3574" s="35">
        <v>8945868.8200000003</v>
      </c>
    </row>
    <row r="3575" spans="1:6" x14ac:dyDescent="0.3">
      <c r="A3575" t="s">
        <v>61</v>
      </c>
      <c r="B3575">
        <v>2019</v>
      </c>
      <c r="C3575" t="s">
        <v>16</v>
      </c>
      <c r="D3575" s="35">
        <v>1087966.54</v>
      </c>
      <c r="E3575" s="35">
        <v>6858</v>
      </c>
      <c r="F3575" s="35">
        <v>859068.71</v>
      </c>
    </row>
    <row r="3576" spans="1:6" x14ac:dyDescent="0.3">
      <c r="A3576" t="s">
        <v>61</v>
      </c>
      <c r="B3576">
        <v>2019</v>
      </c>
      <c r="C3576" t="s">
        <v>14</v>
      </c>
      <c r="D3576" s="35">
        <v>7017379.7699999996</v>
      </c>
      <c r="E3576" s="35">
        <v>138850</v>
      </c>
      <c r="F3576" s="35">
        <v>3086092.439999999</v>
      </c>
    </row>
    <row r="3577" spans="1:6" x14ac:dyDescent="0.3">
      <c r="A3577" t="s">
        <v>61</v>
      </c>
      <c r="B3577">
        <v>2019</v>
      </c>
      <c r="C3577" t="s">
        <v>7</v>
      </c>
      <c r="D3577" s="35">
        <v>6710479.3999999994</v>
      </c>
      <c r="E3577" s="35">
        <v>2826</v>
      </c>
      <c r="F3577" s="35">
        <v>6700525.4999999991</v>
      </c>
    </row>
    <row r="3578" spans="1:6" x14ac:dyDescent="0.3">
      <c r="A3578" t="s">
        <v>61</v>
      </c>
      <c r="B3578">
        <v>2019</v>
      </c>
      <c r="C3578" t="s">
        <v>11</v>
      </c>
      <c r="D3578" s="35">
        <v>10471236.42</v>
      </c>
      <c r="E3578" s="35">
        <v>9275</v>
      </c>
      <c r="F3578" s="35">
        <v>9717796.5899999999</v>
      </c>
    </row>
    <row r="3579" spans="1:6" x14ac:dyDescent="0.3">
      <c r="A3579" t="s">
        <v>61</v>
      </c>
      <c r="B3579">
        <v>2019</v>
      </c>
      <c r="C3579" t="s">
        <v>3</v>
      </c>
      <c r="D3579" s="35">
        <v>27497654.289999999</v>
      </c>
      <c r="E3579" s="35">
        <v>74880</v>
      </c>
      <c r="F3579" s="35">
        <v>25538675.019999988</v>
      </c>
    </row>
    <row r="3580" spans="1:6" x14ac:dyDescent="0.3">
      <c r="A3580" t="s">
        <v>61</v>
      </c>
      <c r="B3580">
        <v>2019</v>
      </c>
      <c r="C3580" t="s">
        <v>12</v>
      </c>
      <c r="D3580" s="35">
        <v>19873147.23</v>
      </c>
      <c r="E3580" s="35">
        <v>181725</v>
      </c>
      <c r="F3580" s="35">
        <v>15418189.85</v>
      </c>
    </row>
    <row r="3581" spans="1:6" x14ac:dyDescent="0.3">
      <c r="A3581" t="s">
        <v>61</v>
      </c>
      <c r="B3581">
        <v>2019</v>
      </c>
      <c r="C3581" t="s">
        <v>2</v>
      </c>
      <c r="D3581" s="35">
        <v>47251895.619999997</v>
      </c>
      <c r="E3581" s="35">
        <v>672210</v>
      </c>
      <c r="F3581" s="35">
        <v>31246723.390000001</v>
      </c>
    </row>
    <row r="3582" spans="1:6" x14ac:dyDescent="0.3">
      <c r="A3582" t="s">
        <v>61</v>
      </c>
      <c r="B3582">
        <v>2019</v>
      </c>
      <c r="C3582" t="s">
        <v>5</v>
      </c>
      <c r="D3582" s="35">
        <v>13108678.390000001</v>
      </c>
      <c r="E3582" s="35">
        <v>7699</v>
      </c>
      <c r="F3582" s="35">
        <v>12405709.08</v>
      </c>
    </row>
    <row r="3583" spans="1:6" x14ac:dyDescent="0.3">
      <c r="A3583" t="s">
        <v>61</v>
      </c>
      <c r="B3583">
        <v>2019</v>
      </c>
      <c r="C3583" t="s">
        <v>17</v>
      </c>
      <c r="D3583" s="35">
        <v>5919645.9400000004</v>
      </c>
      <c r="E3583" s="35">
        <v>65198</v>
      </c>
      <c r="F3583" s="35">
        <v>893362.50999999978</v>
      </c>
    </row>
    <row r="3584" spans="1:6" x14ac:dyDescent="0.3">
      <c r="A3584" t="s">
        <v>61</v>
      </c>
      <c r="B3584">
        <v>2019</v>
      </c>
      <c r="C3584" t="s">
        <v>9</v>
      </c>
      <c r="D3584" s="35">
        <v>25082043.09999999</v>
      </c>
      <c r="E3584" s="35">
        <v>272153</v>
      </c>
      <c r="F3584" s="35">
        <v>16163916.26</v>
      </c>
    </row>
    <row r="3585" spans="1:6" x14ac:dyDescent="0.3">
      <c r="A3585" t="s">
        <v>61</v>
      </c>
      <c r="B3585">
        <v>2019</v>
      </c>
      <c r="C3585" t="s">
        <v>8</v>
      </c>
      <c r="D3585" s="35">
        <v>8764091.8699999992</v>
      </c>
      <c r="E3585" s="35">
        <v>968</v>
      </c>
      <c r="F3585" s="35">
        <v>8764091.8699999992</v>
      </c>
    </row>
    <row r="3586" spans="1:6" x14ac:dyDescent="0.3">
      <c r="A3586" t="s">
        <v>61</v>
      </c>
      <c r="B3586">
        <v>2019</v>
      </c>
      <c r="C3586" t="s">
        <v>6</v>
      </c>
      <c r="D3586" s="35">
        <v>21016984.219999999</v>
      </c>
      <c r="E3586" s="35">
        <v>247087</v>
      </c>
      <c r="F3586" s="35">
        <v>17715420.68</v>
      </c>
    </row>
    <row r="3587" spans="1:6" x14ac:dyDescent="0.3">
      <c r="A3587" t="s">
        <v>61</v>
      </c>
      <c r="B3587">
        <v>2019</v>
      </c>
      <c r="C3587" t="s">
        <v>15</v>
      </c>
      <c r="D3587" s="35">
        <v>4228802.6499999994</v>
      </c>
      <c r="E3587" s="35">
        <v>102035</v>
      </c>
      <c r="F3587" s="35">
        <v>1963974.47</v>
      </c>
    </row>
    <row r="3588" spans="1:6" x14ac:dyDescent="0.3">
      <c r="A3588" t="s">
        <v>61</v>
      </c>
      <c r="B3588">
        <v>2019</v>
      </c>
      <c r="C3588" t="s">
        <v>18</v>
      </c>
      <c r="D3588" s="35">
        <v>531835.93999999994</v>
      </c>
      <c r="E3588" s="35">
        <v>6297</v>
      </c>
      <c r="F3588" s="35">
        <v>344211.93000000011</v>
      </c>
    </row>
    <row r="3589" spans="1:6" x14ac:dyDescent="0.3">
      <c r="A3589" t="s">
        <v>61</v>
      </c>
      <c r="B3589">
        <v>2020</v>
      </c>
      <c r="C3589" t="s">
        <v>10</v>
      </c>
      <c r="D3589" s="35">
        <v>6053663.8799999999</v>
      </c>
      <c r="E3589" s="35">
        <v>252549</v>
      </c>
      <c r="F3589" s="35">
        <v>4023274.2</v>
      </c>
    </row>
    <row r="3590" spans="1:6" x14ac:dyDescent="0.3">
      <c r="A3590" t="s">
        <v>61</v>
      </c>
      <c r="B3590">
        <v>2020</v>
      </c>
      <c r="C3590" t="s">
        <v>4</v>
      </c>
      <c r="D3590" s="35">
        <v>21187696.690000001</v>
      </c>
      <c r="E3590" s="35">
        <v>74020</v>
      </c>
      <c r="F3590" s="35">
        <v>20708128.66</v>
      </c>
    </row>
    <row r="3591" spans="1:6" x14ac:dyDescent="0.3">
      <c r="A3591" t="s">
        <v>61</v>
      </c>
      <c r="B3591">
        <v>2020</v>
      </c>
      <c r="C3591" t="s">
        <v>13</v>
      </c>
      <c r="D3591" s="35">
        <v>10030331.529999999</v>
      </c>
      <c r="E3591" s="35">
        <v>95461</v>
      </c>
      <c r="F3591" s="35">
        <v>7946080.71</v>
      </c>
    </row>
    <row r="3592" spans="1:6" x14ac:dyDescent="0.3">
      <c r="A3592" t="s">
        <v>61</v>
      </c>
      <c r="B3592">
        <v>2020</v>
      </c>
      <c r="C3592" t="s">
        <v>16</v>
      </c>
      <c r="D3592" s="35">
        <v>1259462.6100000001</v>
      </c>
      <c r="E3592" s="35">
        <v>7578</v>
      </c>
      <c r="F3592" s="35">
        <v>1006034.24</v>
      </c>
    </row>
    <row r="3593" spans="1:6" x14ac:dyDescent="0.3">
      <c r="A3593" t="s">
        <v>61</v>
      </c>
      <c r="B3593">
        <v>2020</v>
      </c>
      <c r="C3593" t="s">
        <v>14</v>
      </c>
      <c r="D3593" s="35">
        <v>7141173.5500000007</v>
      </c>
      <c r="E3593" s="35">
        <v>150905</v>
      </c>
      <c r="F3593" s="35">
        <v>3431100.1400000011</v>
      </c>
    </row>
    <row r="3594" spans="1:6" x14ac:dyDescent="0.3">
      <c r="A3594" t="s">
        <v>61</v>
      </c>
      <c r="B3594">
        <v>2020</v>
      </c>
      <c r="C3594" t="s">
        <v>7</v>
      </c>
      <c r="D3594" s="35">
        <v>8331637.4299999997</v>
      </c>
      <c r="E3594" s="35">
        <v>3220</v>
      </c>
      <c r="F3594" s="35">
        <v>8276198.6299999999</v>
      </c>
    </row>
    <row r="3595" spans="1:6" x14ac:dyDescent="0.3">
      <c r="A3595" t="s">
        <v>61</v>
      </c>
      <c r="B3595">
        <v>2020</v>
      </c>
      <c r="C3595" t="s">
        <v>11</v>
      </c>
      <c r="D3595" s="35">
        <v>5486439.5</v>
      </c>
      <c r="E3595" s="35">
        <v>8679</v>
      </c>
      <c r="F3595" s="35">
        <v>5037521.7300000004</v>
      </c>
    </row>
    <row r="3596" spans="1:6" x14ac:dyDescent="0.3">
      <c r="A3596" t="s">
        <v>61</v>
      </c>
      <c r="B3596">
        <v>2020</v>
      </c>
      <c r="C3596" t="s">
        <v>3</v>
      </c>
      <c r="D3596" s="35">
        <v>33182166.830000009</v>
      </c>
      <c r="E3596" s="35">
        <v>67063</v>
      </c>
      <c r="F3596" s="35">
        <v>31162486.260000002</v>
      </c>
    </row>
    <row r="3597" spans="1:6" x14ac:dyDescent="0.3">
      <c r="A3597" t="s">
        <v>61</v>
      </c>
      <c r="B3597">
        <v>2020</v>
      </c>
      <c r="C3597" t="s">
        <v>12</v>
      </c>
      <c r="D3597" s="35">
        <v>14113738.4</v>
      </c>
      <c r="E3597" s="35">
        <v>153044</v>
      </c>
      <c r="F3597" s="35">
        <v>10612619.640000001</v>
      </c>
    </row>
    <row r="3598" spans="1:6" x14ac:dyDescent="0.3">
      <c r="A3598" t="s">
        <v>61</v>
      </c>
      <c r="B3598">
        <v>2020</v>
      </c>
      <c r="C3598" t="s">
        <v>2</v>
      </c>
      <c r="D3598" s="35">
        <v>45639837.829999998</v>
      </c>
      <c r="E3598" s="35">
        <v>726321</v>
      </c>
      <c r="F3598" s="35">
        <v>31756373.75999999</v>
      </c>
    </row>
    <row r="3599" spans="1:6" x14ac:dyDescent="0.3">
      <c r="A3599" t="s">
        <v>61</v>
      </c>
      <c r="B3599">
        <v>2020</v>
      </c>
      <c r="C3599" t="s">
        <v>5</v>
      </c>
      <c r="D3599" s="35">
        <v>11657000.970000001</v>
      </c>
      <c r="E3599" s="35">
        <v>7804</v>
      </c>
      <c r="F3599" s="35">
        <v>10835033.050000001</v>
      </c>
    </row>
    <row r="3600" spans="1:6" x14ac:dyDescent="0.3">
      <c r="A3600" t="s">
        <v>61</v>
      </c>
      <c r="B3600">
        <v>2020</v>
      </c>
      <c r="C3600" t="s">
        <v>17</v>
      </c>
      <c r="D3600" s="35">
        <v>6553484.5099999998</v>
      </c>
      <c r="E3600" s="35">
        <v>64255</v>
      </c>
      <c r="F3600" s="35">
        <v>1132545.92</v>
      </c>
    </row>
    <row r="3601" spans="1:6" x14ac:dyDescent="0.3">
      <c r="A3601" t="s">
        <v>61</v>
      </c>
      <c r="B3601">
        <v>2020</v>
      </c>
      <c r="C3601" t="s">
        <v>9</v>
      </c>
      <c r="D3601" s="35">
        <v>24058280.940000009</v>
      </c>
      <c r="E3601" s="35">
        <v>271771</v>
      </c>
      <c r="F3601" s="35">
        <v>12998938.58</v>
      </c>
    </row>
    <row r="3602" spans="1:6" x14ac:dyDescent="0.3">
      <c r="A3602" t="s">
        <v>61</v>
      </c>
      <c r="B3602">
        <v>2020</v>
      </c>
      <c r="C3602" t="s">
        <v>8</v>
      </c>
      <c r="D3602" s="35">
        <v>11145050.220000001</v>
      </c>
      <c r="E3602" s="35">
        <v>1120</v>
      </c>
      <c r="F3602" s="35">
        <v>11145050.220000001</v>
      </c>
    </row>
    <row r="3603" spans="1:6" x14ac:dyDescent="0.3">
      <c r="A3603" t="s">
        <v>61</v>
      </c>
      <c r="B3603">
        <v>2020</v>
      </c>
      <c r="C3603" t="s">
        <v>6</v>
      </c>
      <c r="D3603" s="35">
        <v>21648659.489999998</v>
      </c>
      <c r="E3603" s="35">
        <v>255828</v>
      </c>
      <c r="F3603" s="35">
        <v>17579064.010000002</v>
      </c>
    </row>
    <row r="3604" spans="1:6" x14ac:dyDescent="0.3">
      <c r="A3604" t="s">
        <v>61</v>
      </c>
      <c r="B3604">
        <v>2020</v>
      </c>
      <c r="C3604" t="s">
        <v>15</v>
      </c>
      <c r="D3604" s="35">
        <v>3442885.2200000011</v>
      </c>
      <c r="E3604" s="35">
        <v>84685</v>
      </c>
      <c r="F3604" s="35">
        <v>1191390.98</v>
      </c>
    </row>
    <row r="3605" spans="1:6" x14ac:dyDescent="0.3">
      <c r="A3605" t="s">
        <v>61</v>
      </c>
      <c r="B3605">
        <v>2020</v>
      </c>
      <c r="C3605" t="s">
        <v>18</v>
      </c>
      <c r="D3605" s="35">
        <v>658130.55000000005</v>
      </c>
      <c r="E3605" s="35">
        <v>7061</v>
      </c>
      <c r="F3605" s="35">
        <v>511512.35</v>
      </c>
    </row>
    <row r="3606" spans="1:6" x14ac:dyDescent="0.3">
      <c r="A3606" t="s">
        <v>61</v>
      </c>
      <c r="B3606">
        <v>2021</v>
      </c>
      <c r="C3606" t="s">
        <v>10</v>
      </c>
      <c r="D3606" s="35">
        <v>7771194.0000000037</v>
      </c>
      <c r="E3606" s="35">
        <v>269753</v>
      </c>
      <c r="F3606" s="35">
        <v>5546660.7800000003</v>
      </c>
    </row>
    <row r="3607" spans="1:6" x14ac:dyDescent="0.3">
      <c r="A3607" t="s">
        <v>61</v>
      </c>
      <c r="B3607">
        <v>2021</v>
      </c>
      <c r="C3607" t="s">
        <v>4</v>
      </c>
      <c r="D3607" s="35">
        <v>26320083.579999998</v>
      </c>
      <c r="E3607" s="35">
        <v>80155</v>
      </c>
      <c r="F3607" s="35">
        <v>25671361.390000001</v>
      </c>
    </row>
    <row r="3608" spans="1:6" x14ac:dyDescent="0.3">
      <c r="A3608" t="s">
        <v>61</v>
      </c>
      <c r="B3608">
        <v>2021</v>
      </c>
      <c r="C3608" t="s">
        <v>13</v>
      </c>
      <c r="D3608" s="35">
        <v>10288373.890000001</v>
      </c>
      <c r="E3608" s="35">
        <v>94120</v>
      </c>
      <c r="F3608" s="35">
        <v>7866080.1800000016</v>
      </c>
    </row>
    <row r="3609" spans="1:6" x14ac:dyDescent="0.3">
      <c r="A3609" t="s">
        <v>61</v>
      </c>
      <c r="B3609">
        <v>2021</v>
      </c>
      <c r="C3609" t="s">
        <v>16</v>
      </c>
      <c r="D3609" s="35">
        <v>1538661.26</v>
      </c>
      <c r="E3609" s="35">
        <v>8622</v>
      </c>
      <c r="F3609" s="35">
        <v>1190483.6100000001</v>
      </c>
    </row>
    <row r="3610" spans="1:6" x14ac:dyDescent="0.3">
      <c r="A3610" t="s">
        <v>61</v>
      </c>
      <c r="B3610">
        <v>2021</v>
      </c>
      <c r="C3610" t="s">
        <v>14</v>
      </c>
      <c r="D3610" s="35">
        <v>5754671.040000001</v>
      </c>
      <c r="E3610" s="35">
        <v>163537</v>
      </c>
      <c r="F3610" s="35">
        <v>3619873.95</v>
      </c>
    </row>
    <row r="3611" spans="1:6" x14ac:dyDescent="0.3">
      <c r="A3611" t="s">
        <v>61</v>
      </c>
      <c r="B3611">
        <v>2021</v>
      </c>
      <c r="C3611" t="s">
        <v>7</v>
      </c>
      <c r="D3611" s="35">
        <v>9064821.5899999999</v>
      </c>
      <c r="E3611" s="35">
        <v>3306</v>
      </c>
      <c r="F3611" s="35">
        <v>8875799.0199999977</v>
      </c>
    </row>
    <row r="3612" spans="1:6" x14ac:dyDescent="0.3">
      <c r="A3612" t="s">
        <v>61</v>
      </c>
      <c r="B3612">
        <v>2021</v>
      </c>
      <c r="C3612" t="s">
        <v>11</v>
      </c>
      <c r="D3612" s="35">
        <v>3819164.53</v>
      </c>
      <c r="E3612" s="35">
        <v>9091</v>
      </c>
      <c r="F3612" s="35">
        <v>3680512.9299999988</v>
      </c>
    </row>
    <row r="3613" spans="1:6" x14ac:dyDescent="0.3">
      <c r="A3613" t="s">
        <v>61</v>
      </c>
      <c r="B3613">
        <v>2021</v>
      </c>
      <c r="C3613" t="s">
        <v>3</v>
      </c>
      <c r="D3613" s="35">
        <v>46319607.75999999</v>
      </c>
      <c r="E3613" s="35">
        <v>79025</v>
      </c>
      <c r="F3613" s="35">
        <v>45259987.969999991</v>
      </c>
    </row>
    <row r="3614" spans="1:6" x14ac:dyDescent="0.3">
      <c r="A3614" t="s">
        <v>61</v>
      </c>
      <c r="B3614">
        <v>2021</v>
      </c>
      <c r="C3614" t="s">
        <v>12</v>
      </c>
      <c r="D3614" s="35">
        <v>12634526.26999999</v>
      </c>
      <c r="E3614" s="35">
        <v>156461</v>
      </c>
      <c r="F3614" s="35">
        <v>10309340.390000001</v>
      </c>
    </row>
    <row r="3615" spans="1:6" x14ac:dyDescent="0.3">
      <c r="A3615" t="s">
        <v>61</v>
      </c>
      <c r="B3615">
        <v>2021</v>
      </c>
      <c r="C3615" t="s">
        <v>2</v>
      </c>
      <c r="D3615" s="35">
        <v>50242975.630000003</v>
      </c>
      <c r="E3615" s="35">
        <v>768394</v>
      </c>
      <c r="F3615" s="35">
        <v>34948242.659999996</v>
      </c>
    </row>
    <row r="3616" spans="1:6" x14ac:dyDescent="0.3">
      <c r="A3616" t="s">
        <v>61</v>
      </c>
      <c r="B3616">
        <v>2021</v>
      </c>
      <c r="C3616" t="s">
        <v>5</v>
      </c>
      <c r="D3616" s="35">
        <v>10935865.92</v>
      </c>
      <c r="E3616" s="35">
        <v>7787</v>
      </c>
      <c r="F3616" s="35">
        <v>10399213.6</v>
      </c>
    </row>
    <row r="3617" spans="1:6" x14ac:dyDescent="0.3">
      <c r="A3617" t="s">
        <v>61</v>
      </c>
      <c r="B3617">
        <v>2021</v>
      </c>
      <c r="C3617" t="s">
        <v>17</v>
      </c>
      <c r="D3617" s="35">
        <v>1950516.52</v>
      </c>
      <c r="E3617" s="35">
        <v>70605</v>
      </c>
      <c r="F3617" s="35">
        <v>637911.15999999992</v>
      </c>
    </row>
    <row r="3618" spans="1:6" x14ac:dyDescent="0.3">
      <c r="A3618" t="s">
        <v>61</v>
      </c>
      <c r="B3618">
        <v>2021</v>
      </c>
      <c r="C3618" t="s">
        <v>9</v>
      </c>
      <c r="D3618" s="35">
        <v>21582880.370000001</v>
      </c>
      <c r="E3618" s="35">
        <v>299436</v>
      </c>
      <c r="F3618" s="35">
        <v>11494361.73</v>
      </c>
    </row>
    <row r="3619" spans="1:6" x14ac:dyDescent="0.3">
      <c r="A3619" t="s">
        <v>61</v>
      </c>
      <c r="B3619">
        <v>2021</v>
      </c>
      <c r="C3619" t="s">
        <v>8</v>
      </c>
      <c r="D3619" s="35">
        <v>13118352.890000001</v>
      </c>
      <c r="E3619" s="35">
        <v>1113</v>
      </c>
      <c r="F3619" s="35">
        <v>13118352.890000001</v>
      </c>
    </row>
    <row r="3620" spans="1:6" x14ac:dyDescent="0.3">
      <c r="A3620" t="s">
        <v>61</v>
      </c>
      <c r="B3620">
        <v>2021</v>
      </c>
      <c r="C3620" t="s">
        <v>6</v>
      </c>
      <c r="D3620" s="35">
        <v>21893479.690000001</v>
      </c>
      <c r="E3620" s="35">
        <v>262025</v>
      </c>
      <c r="F3620" s="35">
        <v>17504530.739999998</v>
      </c>
    </row>
    <row r="3621" spans="1:6" x14ac:dyDescent="0.3">
      <c r="A3621" t="s">
        <v>61</v>
      </c>
      <c r="B3621">
        <v>2021</v>
      </c>
      <c r="C3621" t="s">
        <v>15</v>
      </c>
      <c r="D3621" s="35">
        <v>2608890.42</v>
      </c>
      <c r="E3621" s="35">
        <v>73878</v>
      </c>
      <c r="F3621" s="35">
        <v>940356.40999999992</v>
      </c>
    </row>
    <row r="3622" spans="1:6" x14ac:dyDescent="0.3">
      <c r="A3622" t="s">
        <v>61</v>
      </c>
      <c r="B3622">
        <v>2021</v>
      </c>
      <c r="C3622" t="s">
        <v>18</v>
      </c>
      <c r="D3622" s="35">
        <v>635842.60000000009</v>
      </c>
      <c r="E3622" s="35">
        <v>6794</v>
      </c>
      <c r="F3622" s="35">
        <v>525640.91999999993</v>
      </c>
    </row>
    <row r="3623" spans="1:6" x14ac:dyDescent="0.3">
      <c r="A3623" t="s">
        <v>61</v>
      </c>
      <c r="B3623">
        <v>2022</v>
      </c>
      <c r="C3623" t="s">
        <v>10</v>
      </c>
      <c r="D3623" s="35">
        <v>9075494.3099999987</v>
      </c>
      <c r="E3623" s="35">
        <v>276720</v>
      </c>
      <c r="F3623" s="35">
        <v>6829774.96</v>
      </c>
    </row>
    <row r="3624" spans="1:6" x14ac:dyDescent="0.3">
      <c r="A3624" t="s">
        <v>61</v>
      </c>
      <c r="B3624">
        <v>2022</v>
      </c>
      <c r="C3624" t="s">
        <v>4</v>
      </c>
      <c r="D3624" s="35">
        <v>31946791.649999999</v>
      </c>
      <c r="E3624" s="35">
        <v>84552</v>
      </c>
      <c r="F3624" s="35">
        <v>31345457.030000001</v>
      </c>
    </row>
    <row r="3625" spans="1:6" x14ac:dyDescent="0.3">
      <c r="A3625" t="s">
        <v>61</v>
      </c>
      <c r="B3625">
        <v>2022</v>
      </c>
      <c r="C3625" t="s">
        <v>13</v>
      </c>
      <c r="D3625" s="35">
        <v>11123057.27</v>
      </c>
      <c r="E3625" s="35">
        <v>91839</v>
      </c>
      <c r="F3625" s="35">
        <v>8697682.8300000038</v>
      </c>
    </row>
    <row r="3626" spans="1:6" x14ac:dyDescent="0.3">
      <c r="A3626" t="s">
        <v>61</v>
      </c>
      <c r="B3626">
        <v>2022</v>
      </c>
      <c r="C3626" t="s">
        <v>16</v>
      </c>
      <c r="D3626" s="35">
        <v>1706033.71</v>
      </c>
      <c r="E3626" s="35">
        <v>8605</v>
      </c>
      <c r="F3626" s="35">
        <v>1380264.79</v>
      </c>
    </row>
    <row r="3627" spans="1:6" x14ac:dyDescent="0.3">
      <c r="A3627" t="s">
        <v>61</v>
      </c>
      <c r="B3627">
        <v>2022</v>
      </c>
      <c r="C3627" t="s">
        <v>14</v>
      </c>
      <c r="D3627" s="35">
        <v>5846852.2699999996</v>
      </c>
      <c r="E3627" s="35">
        <v>168626</v>
      </c>
      <c r="F3627" s="35">
        <v>3738551.94</v>
      </c>
    </row>
    <row r="3628" spans="1:6" x14ac:dyDescent="0.3">
      <c r="A3628" t="s">
        <v>61</v>
      </c>
      <c r="B3628">
        <v>2022</v>
      </c>
      <c r="C3628" t="s">
        <v>7</v>
      </c>
      <c r="D3628" s="35">
        <v>9199904.7000000011</v>
      </c>
      <c r="E3628" s="35">
        <v>3320</v>
      </c>
      <c r="F3628" s="35">
        <v>9004906.0200000014</v>
      </c>
    </row>
    <row r="3629" spans="1:6" x14ac:dyDescent="0.3">
      <c r="A3629" t="s">
        <v>61</v>
      </c>
      <c r="B3629">
        <v>2022</v>
      </c>
      <c r="C3629" t="s">
        <v>11</v>
      </c>
      <c r="D3629" s="35">
        <v>6790703.2400000002</v>
      </c>
      <c r="E3629" s="35">
        <v>9408</v>
      </c>
      <c r="F3629" s="35">
        <v>6628163.7200000007</v>
      </c>
    </row>
    <row r="3630" spans="1:6" x14ac:dyDescent="0.3">
      <c r="A3630" t="s">
        <v>61</v>
      </c>
      <c r="B3630">
        <v>2022</v>
      </c>
      <c r="C3630" t="s">
        <v>3</v>
      </c>
      <c r="D3630" s="35">
        <v>60633901.419999979</v>
      </c>
      <c r="E3630" s="35">
        <v>87920</v>
      </c>
      <c r="F3630" s="35">
        <v>59596358.270000018</v>
      </c>
    </row>
    <row r="3631" spans="1:6" x14ac:dyDescent="0.3">
      <c r="A3631" t="s">
        <v>61</v>
      </c>
      <c r="B3631">
        <v>2022</v>
      </c>
      <c r="C3631" t="s">
        <v>12</v>
      </c>
      <c r="D3631" s="35">
        <v>11376715.470000001</v>
      </c>
      <c r="E3631" s="35">
        <v>188944</v>
      </c>
      <c r="F3631" s="35">
        <v>8842092.6999999993</v>
      </c>
    </row>
    <row r="3632" spans="1:6" x14ac:dyDescent="0.3">
      <c r="A3632" t="s">
        <v>61</v>
      </c>
      <c r="B3632">
        <v>2022</v>
      </c>
      <c r="C3632" t="s">
        <v>2</v>
      </c>
      <c r="D3632" s="35">
        <v>54262404.780000001</v>
      </c>
      <c r="E3632" s="35">
        <v>787390</v>
      </c>
      <c r="F3632" s="35">
        <v>40207859.459999993</v>
      </c>
    </row>
    <row r="3633" spans="1:6" x14ac:dyDescent="0.3">
      <c r="A3633" t="s">
        <v>61</v>
      </c>
      <c r="B3633">
        <v>2022</v>
      </c>
      <c r="C3633" t="s">
        <v>5</v>
      </c>
      <c r="D3633" s="35">
        <v>13075093.779999999</v>
      </c>
      <c r="E3633" s="35">
        <v>7588</v>
      </c>
      <c r="F3633" s="35">
        <v>12603881.73</v>
      </c>
    </row>
    <row r="3634" spans="1:6" x14ac:dyDescent="0.3">
      <c r="A3634" t="s">
        <v>61</v>
      </c>
      <c r="B3634">
        <v>2022</v>
      </c>
      <c r="C3634" t="s">
        <v>17</v>
      </c>
      <c r="D3634" s="35">
        <v>1537402.18</v>
      </c>
      <c r="E3634" s="35">
        <v>67871</v>
      </c>
      <c r="F3634" s="35">
        <v>550156.52</v>
      </c>
    </row>
    <row r="3635" spans="1:6" x14ac:dyDescent="0.3">
      <c r="A3635" t="s">
        <v>61</v>
      </c>
      <c r="B3635">
        <v>2022</v>
      </c>
      <c r="C3635" t="s">
        <v>9</v>
      </c>
      <c r="D3635" s="35">
        <v>21016947.5</v>
      </c>
      <c r="E3635" s="35">
        <v>311668</v>
      </c>
      <c r="F3635" s="35">
        <v>11084880.57</v>
      </c>
    </row>
    <row r="3636" spans="1:6" x14ac:dyDescent="0.3">
      <c r="A3636" t="s">
        <v>61</v>
      </c>
      <c r="B3636">
        <v>2022</v>
      </c>
      <c r="C3636" t="s">
        <v>8</v>
      </c>
      <c r="D3636" s="35">
        <v>16133931.289999999</v>
      </c>
      <c r="E3636" s="35">
        <v>1143</v>
      </c>
      <c r="F3636" s="35">
        <v>16133931.289999999</v>
      </c>
    </row>
    <row r="3637" spans="1:6" x14ac:dyDescent="0.3">
      <c r="A3637" t="s">
        <v>61</v>
      </c>
      <c r="B3637">
        <v>2022</v>
      </c>
      <c r="C3637" t="s">
        <v>6</v>
      </c>
      <c r="D3637" s="35">
        <v>22524741.969999999</v>
      </c>
      <c r="E3637" s="35">
        <v>284573</v>
      </c>
      <c r="F3637" s="35">
        <v>18135287.580000009</v>
      </c>
    </row>
    <row r="3638" spans="1:6" x14ac:dyDescent="0.3">
      <c r="A3638" t="s">
        <v>61</v>
      </c>
      <c r="B3638">
        <v>2022</v>
      </c>
      <c r="C3638" t="s">
        <v>15</v>
      </c>
      <c r="D3638" s="35">
        <v>1757430.12</v>
      </c>
      <c r="E3638" s="35">
        <v>66923</v>
      </c>
      <c r="F3638" s="35">
        <v>658754.08000000007</v>
      </c>
    </row>
    <row r="3639" spans="1:6" x14ac:dyDescent="0.3">
      <c r="A3639" t="s">
        <v>61</v>
      </c>
      <c r="B3639">
        <v>2022</v>
      </c>
      <c r="C3639" t="s">
        <v>18</v>
      </c>
      <c r="D3639" s="35">
        <v>738030.1100000001</v>
      </c>
      <c r="E3639" s="35">
        <v>6395</v>
      </c>
      <c r="F3639" s="35">
        <v>612994.93999999994</v>
      </c>
    </row>
    <row r="3640" spans="1:6" x14ac:dyDescent="0.3">
      <c r="A3640" t="s">
        <v>61</v>
      </c>
      <c r="B3640">
        <v>2023</v>
      </c>
      <c r="C3640" t="s">
        <v>10</v>
      </c>
      <c r="D3640" s="35">
        <v>8847836.6100000013</v>
      </c>
      <c r="E3640" s="35">
        <v>249173</v>
      </c>
      <c r="F3640" s="35">
        <v>7050660.5600000015</v>
      </c>
    </row>
    <row r="3641" spans="1:6" x14ac:dyDescent="0.3">
      <c r="A3641" t="s">
        <v>61</v>
      </c>
      <c r="B3641">
        <v>2023</v>
      </c>
      <c r="C3641" t="s">
        <v>4</v>
      </c>
      <c r="D3641" s="35">
        <v>35096141.890000001</v>
      </c>
      <c r="E3641" s="35">
        <v>80343</v>
      </c>
      <c r="F3641" s="35">
        <v>34617142.509999998</v>
      </c>
    </row>
    <row r="3642" spans="1:6" x14ac:dyDescent="0.3">
      <c r="A3642" t="s">
        <v>61</v>
      </c>
      <c r="B3642">
        <v>2023</v>
      </c>
      <c r="C3642" t="s">
        <v>13</v>
      </c>
      <c r="D3642" s="35">
        <v>8982221.7400000002</v>
      </c>
      <c r="E3642" s="35">
        <v>78358</v>
      </c>
      <c r="F3642" s="35">
        <v>7133648.3299999991</v>
      </c>
    </row>
    <row r="3643" spans="1:6" x14ac:dyDescent="0.3">
      <c r="A3643" t="s">
        <v>61</v>
      </c>
      <c r="B3643">
        <v>2023</v>
      </c>
      <c r="C3643" t="s">
        <v>16</v>
      </c>
      <c r="D3643" s="35">
        <v>1660958.29</v>
      </c>
      <c r="E3643" s="35">
        <v>7346</v>
      </c>
      <c r="F3643" s="35">
        <v>1441622.87</v>
      </c>
    </row>
    <row r="3644" spans="1:6" x14ac:dyDescent="0.3">
      <c r="A3644" t="s">
        <v>61</v>
      </c>
      <c r="B3644">
        <v>2023</v>
      </c>
      <c r="C3644" t="s">
        <v>14</v>
      </c>
      <c r="D3644" s="35">
        <v>5261008.6400000025</v>
      </c>
      <c r="E3644" s="35">
        <v>157238</v>
      </c>
      <c r="F3644" s="35">
        <v>3230149.7400000021</v>
      </c>
    </row>
    <row r="3645" spans="1:6" x14ac:dyDescent="0.3">
      <c r="A3645" t="s">
        <v>61</v>
      </c>
      <c r="B3645">
        <v>2023</v>
      </c>
      <c r="C3645" t="s">
        <v>7</v>
      </c>
      <c r="D3645" s="35">
        <v>7885767.7799999993</v>
      </c>
      <c r="E3645" s="35">
        <v>2779</v>
      </c>
      <c r="F3645" s="35">
        <v>7733065.169999999</v>
      </c>
    </row>
    <row r="3646" spans="1:6" x14ac:dyDescent="0.3">
      <c r="A3646" t="s">
        <v>61</v>
      </c>
      <c r="B3646">
        <v>2023</v>
      </c>
      <c r="C3646" t="s">
        <v>11</v>
      </c>
      <c r="D3646" s="35">
        <v>6655970.0499999989</v>
      </c>
      <c r="E3646" s="35">
        <v>9565</v>
      </c>
      <c r="F3646" s="35">
        <v>6551593.419999999</v>
      </c>
    </row>
    <row r="3647" spans="1:6" x14ac:dyDescent="0.3">
      <c r="A3647" t="s">
        <v>61</v>
      </c>
      <c r="B3647">
        <v>2023</v>
      </c>
      <c r="C3647" t="s">
        <v>3</v>
      </c>
      <c r="D3647" s="35">
        <v>57486700.68</v>
      </c>
      <c r="E3647" s="35">
        <v>79063</v>
      </c>
      <c r="F3647" s="35">
        <v>56395929.430000007</v>
      </c>
    </row>
    <row r="3648" spans="1:6" x14ac:dyDescent="0.3">
      <c r="A3648" t="s">
        <v>61</v>
      </c>
      <c r="B3648">
        <v>2023</v>
      </c>
      <c r="C3648" t="s">
        <v>12</v>
      </c>
      <c r="D3648" s="35">
        <v>11577272.83</v>
      </c>
      <c r="E3648" s="35">
        <v>181947</v>
      </c>
      <c r="F3648" s="35">
        <v>9648279.1600000039</v>
      </c>
    </row>
    <row r="3649" spans="1:6" x14ac:dyDescent="0.3">
      <c r="A3649" t="s">
        <v>61</v>
      </c>
      <c r="B3649">
        <v>2023</v>
      </c>
      <c r="C3649" t="s">
        <v>2</v>
      </c>
      <c r="D3649" s="35">
        <v>48556516.279999986</v>
      </c>
      <c r="E3649" s="35">
        <v>705191</v>
      </c>
      <c r="F3649" s="35">
        <v>35418317.43</v>
      </c>
    </row>
    <row r="3650" spans="1:6" x14ac:dyDescent="0.3">
      <c r="A3650" t="s">
        <v>61</v>
      </c>
      <c r="B3650">
        <v>2023</v>
      </c>
      <c r="C3650" t="s">
        <v>5</v>
      </c>
      <c r="D3650" s="35">
        <v>14043538.869999999</v>
      </c>
      <c r="E3650" s="35">
        <v>6812</v>
      </c>
      <c r="F3650" s="35">
        <v>13678807.93</v>
      </c>
    </row>
    <row r="3651" spans="1:6" x14ac:dyDescent="0.3">
      <c r="A3651" t="s">
        <v>61</v>
      </c>
      <c r="B3651">
        <v>2023</v>
      </c>
      <c r="C3651" t="s">
        <v>17</v>
      </c>
      <c r="D3651" s="35">
        <v>1239902.3</v>
      </c>
      <c r="E3651" s="35">
        <v>68472</v>
      </c>
      <c r="F3651" s="35">
        <v>561327.34</v>
      </c>
    </row>
    <row r="3652" spans="1:6" x14ac:dyDescent="0.3">
      <c r="A3652" t="s">
        <v>61</v>
      </c>
      <c r="B3652">
        <v>2023</v>
      </c>
      <c r="C3652" t="s">
        <v>9</v>
      </c>
      <c r="D3652" s="35">
        <v>18397383.120000001</v>
      </c>
      <c r="E3652" s="35">
        <v>270765</v>
      </c>
      <c r="F3652" s="35">
        <v>10863927.42</v>
      </c>
    </row>
    <row r="3653" spans="1:6" x14ac:dyDescent="0.3">
      <c r="A3653" t="s">
        <v>61</v>
      </c>
      <c r="B3653">
        <v>2023</v>
      </c>
      <c r="C3653" t="s">
        <v>8</v>
      </c>
      <c r="D3653" s="35">
        <v>14182550.76</v>
      </c>
      <c r="E3653" s="35">
        <v>981</v>
      </c>
      <c r="F3653" s="35">
        <v>14169338.720000001</v>
      </c>
    </row>
    <row r="3654" spans="1:6" x14ac:dyDescent="0.3">
      <c r="A3654" t="s">
        <v>61</v>
      </c>
      <c r="B3654">
        <v>2023</v>
      </c>
      <c r="C3654" t="s">
        <v>6</v>
      </c>
      <c r="D3654" s="35">
        <v>19397255.600000001</v>
      </c>
      <c r="E3654" s="35">
        <v>260487</v>
      </c>
      <c r="F3654" s="35">
        <v>15146811.359999999</v>
      </c>
    </row>
    <row r="3655" spans="1:6" x14ac:dyDescent="0.3">
      <c r="A3655" t="s">
        <v>61</v>
      </c>
      <c r="B3655">
        <v>2023</v>
      </c>
      <c r="C3655" t="s">
        <v>15</v>
      </c>
      <c r="D3655" s="35">
        <v>1360933.33</v>
      </c>
      <c r="E3655" s="35">
        <v>51172</v>
      </c>
      <c r="F3655" s="35">
        <v>364578.29000000021</v>
      </c>
    </row>
    <row r="3656" spans="1:6" x14ac:dyDescent="0.3">
      <c r="A3656" t="s">
        <v>61</v>
      </c>
      <c r="B3656">
        <v>2023</v>
      </c>
      <c r="C3656" t="s">
        <v>18</v>
      </c>
      <c r="D3656" s="35">
        <v>701654.13</v>
      </c>
      <c r="E3656" s="35">
        <v>5561</v>
      </c>
      <c r="F3656" s="35">
        <v>598207.23</v>
      </c>
    </row>
    <row r="3657" spans="1:6" x14ac:dyDescent="0.3">
      <c r="A3657" t="s">
        <v>61</v>
      </c>
      <c r="B3657">
        <v>2024</v>
      </c>
      <c r="C3657" t="s">
        <v>10</v>
      </c>
      <c r="D3657" s="35">
        <v>8849383.8699999992</v>
      </c>
      <c r="E3657" s="35">
        <v>225812</v>
      </c>
      <c r="F3657" s="35">
        <v>7010531.3000000007</v>
      </c>
    </row>
    <row r="3658" spans="1:6" x14ac:dyDescent="0.3">
      <c r="A3658" t="s">
        <v>61</v>
      </c>
      <c r="B3658">
        <v>2024</v>
      </c>
      <c r="C3658" t="s">
        <v>4</v>
      </c>
      <c r="D3658" s="35">
        <v>34319450.329999991</v>
      </c>
      <c r="E3658" s="35">
        <v>77082</v>
      </c>
      <c r="F3658" s="35">
        <v>33956965.979999997</v>
      </c>
    </row>
    <row r="3659" spans="1:6" x14ac:dyDescent="0.3">
      <c r="A3659" t="s">
        <v>61</v>
      </c>
      <c r="B3659">
        <v>2024</v>
      </c>
      <c r="C3659" t="s">
        <v>13</v>
      </c>
      <c r="D3659" s="35">
        <v>8339537.9900000021</v>
      </c>
      <c r="E3659" s="35">
        <v>68626</v>
      </c>
      <c r="F3659" s="35">
        <v>6953349.9200000018</v>
      </c>
    </row>
    <row r="3660" spans="1:6" x14ac:dyDescent="0.3">
      <c r="A3660" t="s">
        <v>61</v>
      </c>
      <c r="B3660">
        <v>2024</v>
      </c>
      <c r="C3660" t="s">
        <v>16</v>
      </c>
      <c r="D3660" s="35">
        <v>1573075.49</v>
      </c>
      <c r="E3660" s="35">
        <v>6756</v>
      </c>
      <c r="F3660" s="35">
        <v>1410703.24</v>
      </c>
    </row>
    <row r="3661" spans="1:6" x14ac:dyDescent="0.3">
      <c r="A3661" t="s">
        <v>61</v>
      </c>
      <c r="B3661">
        <v>2024</v>
      </c>
      <c r="C3661" t="s">
        <v>14</v>
      </c>
      <c r="D3661" s="35">
        <v>4756248.83</v>
      </c>
      <c r="E3661" s="35">
        <v>147580</v>
      </c>
      <c r="F3661" s="35">
        <v>3167831.4200000009</v>
      </c>
    </row>
    <row r="3662" spans="1:6" x14ac:dyDescent="0.3">
      <c r="A3662" t="s">
        <v>61</v>
      </c>
      <c r="B3662">
        <v>2024</v>
      </c>
      <c r="C3662" t="s">
        <v>7</v>
      </c>
      <c r="D3662" s="35">
        <v>7367256.4199999999</v>
      </c>
      <c r="E3662" s="35">
        <v>2473</v>
      </c>
      <c r="F3662" s="35">
        <v>7283262</v>
      </c>
    </row>
    <row r="3663" spans="1:6" x14ac:dyDescent="0.3">
      <c r="A3663" t="s">
        <v>61</v>
      </c>
      <c r="B3663">
        <v>2024</v>
      </c>
      <c r="C3663" t="s">
        <v>11</v>
      </c>
      <c r="D3663" s="35">
        <v>6959658.3399999989</v>
      </c>
      <c r="E3663" s="35">
        <v>10089</v>
      </c>
      <c r="F3663" s="35">
        <v>6866970.29</v>
      </c>
    </row>
    <row r="3664" spans="1:6" x14ac:dyDescent="0.3">
      <c r="A3664" t="s">
        <v>61</v>
      </c>
      <c r="B3664">
        <v>2024</v>
      </c>
      <c r="C3664" t="s">
        <v>3</v>
      </c>
      <c r="D3664" s="35">
        <v>55175011.210000001</v>
      </c>
      <c r="E3664" s="35">
        <v>72523</v>
      </c>
      <c r="F3664" s="35">
        <v>54516554.739999987</v>
      </c>
    </row>
    <row r="3665" spans="1:6" x14ac:dyDescent="0.3">
      <c r="A3665" t="s">
        <v>61</v>
      </c>
      <c r="B3665">
        <v>2024</v>
      </c>
      <c r="C3665" t="s">
        <v>12</v>
      </c>
      <c r="D3665" s="35">
        <v>10048930.140000001</v>
      </c>
      <c r="E3665" s="35">
        <v>176497</v>
      </c>
      <c r="F3665" s="35">
        <v>8662527.129999999</v>
      </c>
    </row>
    <row r="3666" spans="1:6" x14ac:dyDescent="0.3">
      <c r="A3666" t="s">
        <v>61</v>
      </c>
      <c r="B3666">
        <v>2024</v>
      </c>
      <c r="C3666" t="s">
        <v>2</v>
      </c>
      <c r="D3666" s="35">
        <v>41643954.450000003</v>
      </c>
      <c r="E3666" s="35">
        <v>639911</v>
      </c>
      <c r="F3666" s="35">
        <v>31582885.469999991</v>
      </c>
    </row>
    <row r="3667" spans="1:6" x14ac:dyDescent="0.3">
      <c r="A3667" t="s">
        <v>61</v>
      </c>
      <c r="B3667">
        <v>2024</v>
      </c>
      <c r="C3667" t="s">
        <v>5</v>
      </c>
      <c r="D3667" s="35">
        <v>10266043.970000001</v>
      </c>
      <c r="E3667" s="35">
        <v>7138</v>
      </c>
      <c r="F3667" s="35">
        <v>10041632.689999999</v>
      </c>
    </row>
    <row r="3668" spans="1:6" x14ac:dyDescent="0.3">
      <c r="A3668" t="s">
        <v>61</v>
      </c>
      <c r="B3668">
        <v>2024</v>
      </c>
      <c r="C3668" t="s">
        <v>17</v>
      </c>
      <c r="D3668" s="35">
        <v>922424.71</v>
      </c>
      <c r="E3668" s="35">
        <v>64079</v>
      </c>
      <c r="F3668" s="35">
        <v>467956.15000000008</v>
      </c>
    </row>
    <row r="3669" spans="1:6" x14ac:dyDescent="0.3">
      <c r="A3669" t="s">
        <v>61</v>
      </c>
      <c r="B3669">
        <v>2024</v>
      </c>
      <c r="C3669" t="s">
        <v>9</v>
      </c>
      <c r="D3669" s="35">
        <v>15889236.17</v>
      </c>
      <c r="E3669" s="35">
        <v>249539</v>
      </c>
      <c r="F3669" s="35">
        <v>11530935.720000001</v>
      </c>
    </row>
    <row r="3670" spans="1:6" x14ac:dyDescent="0.3">
      <c r="A3670" t="s">
        <v>61</v>
      </c>
      <c r="B3670">
        <v>2024</v>
      </c>
      <c r="C3670" t="s">
        <v>8</v>
      </c>
      <c r="D3670" s="35">
        <v>15795824.279999999</v>
      </c>
      <c r="E3670" s="35">
        <v>1002</v>
      </c>
      <c r="F3670" s="35">
        <v>15557277.42</v>
      </c>
    </row>
    <row r="3671" spans="1:6" x14ac:dyDescent="0.3">
      <c r="A3671" t="s">
        <v>61</v>
      </c>
      <c r="B3671">
        <v>2024</v>
      </c>
      <c r="C3671" t="s">
        <v>6</v>
      </c>
      <c r="D3671" s="35">
        <v>16416686.91</v>
      </c>
      <c r="E3671" s="35">
        <v>234183</v>
      </c>
      <c r="F3671" s="35">
        <v>12332123.310000001</v>
      </c>
    </row>
    <row r="3672" spans="1:6" x14ac:dyDescent="0.3">
      <c r="A3672" t="s">
        <v>61</v>
      </c>
      <c r="B3672">
        <v>2024</v>
      </c>
      <c r="C3672" t="s">
        <v>15</v>
      </c>
      <c r="D3672" s="35">
        <v>1601751.55</v>
      </c>
      <c r="E3672" s="35">
        <v>40687</v>
      </c>
      <c r="F3672" s="35">
        <v>1110928.99</v>
      </c>
    </row>
    <row r="3673" spans="1:6" x14ac:dyDescent="0.3">
      <c r="A3673" t="s">
        <v>61</v>
      </c>
      <c r="B3673">
        <v>2024</v>
      </c>
      <c r="C3673" t="s">
        <v>18</v>
      </c>
      <c r="D3673" s="35">
        <v>586012.21999999986</v>
      </c>
      <c r="E3673" s="35">
        <v>4771</v>
      </c>
      <c r="F3673" s="35">
        <v>389674.11</v>
      </c>
    </row>
    <row r="3674" spans="1:6" x14ac:dyDescent="0.3">
      <c r="A3674" t="s">
        <v>61</v>
      </c>
      <c r="B3674">
        <v>2025</v>
      </c>
      <c r="C3674" t="s">
        <v>10</v>
      </c>
      <c r="D3674" s="35">
        <v>8632668.0199999996</v>
      </c>
      <c r="E3674" s="35">
        <v>221730</v>
      </c>
      <c r="F3674" s="35">
        <v>7172219.9500000002</v>
      </c>
    </row>
    <row r="3675" spans="1:6" x14ac:dyDescent="0.3">
      <c r="A3675" t="s">
        <v>61</v>
      </c>
      <c r="B3675">
        <v>2025</v>
      </c>
      <c r="C3675" t="s">
        <v>4</v>
      </c>
      <c r="D3675" s="35">
        <v>48921686.770000003</v>
      </c>
      <c r="E3675" s="35">
        <v>87560</v>
      </c>
      <c r="F3675" s="35">
        <v>48581275.18</v>
      </c>
    </row>
    <row r="3676" spans="1:6" x14ac:dyDescent="0.3">
      <c r="A3676" t="s">
        <v>61</v>
      </c>
      <c r="B3676">
        <v>2025</v>
      </c>
      <c r="C3676" t="s">
        <v>13</v>
      </c>
      <c r="D3676" s="35">
        <v>7588727.0299999984</v>
      </c>
      <c r="E3676" s="35">
        <v>68049</v>
      </c>
      <c r="F3676" s="35">
        <v>6348561.9300000006</v>
      </c>
    </row>
    <row r="3677" spans="1:6" x14ac:dyDescent="0.3">
      <c r="A3677" t="s">
        <v>61</v>
      </c>
      <c r="B3677">
        <v>2025</v>
      </c>
      <c r="C3677" t="s">
        <v>16</v>
      </c>
      <c r="D3677" s="35">
        <v>1272738.45</v>
      </c>
      <c r="E3677" s="35">
        <v>6693</v>
      </c>
      <c r="F3677" s="35">
        <v>1108737.98</v>
      </c>
    </row>
    <row r="3678" spans="1:6" x14ac:dyDescent="0.3">
      <c r="A3678" t="s">
        <v>61</v>
      </c>
      <c r="B3678">
        <v>2025</v>
      </c>
      <c r="C3678" t="s">
        <v>14</v>
      </c>
      <c r="D3678" s="35">
        <v>5161870.2900000019</v>
      </c>
      <c r="E3678" s="35">
        <v>148333</v>
      </c>
      <c r="F3678" s="35">
        <v>3855373.35</v>
      </c>
    </row>
    <row r="3679" spans="1:6" x14ac:dyDescent="0.3">
      <c r="A3679" t="s">
        <v>61</v>
      </c>
      <c r="B3679">
        <v>2025</v>
      </c>
      <c r="C3679" t="s">
        <v>7</v>
      </c>
      <c r="D3679" s="35">
        <v>8364857.2499999991</v>
      </c>
      <c r="E3679" s="35">
        <v>2481</v>
      </c>
      <c r="F3679" s="35">
        <v>8285119.9800000004</v>
      </c>
    </row>
    <row r="3680" spans="1:6" x14ac:dyDescent="0.3">
      <c r="A3680" t="s">
        <v>61</v>
      </c>
      <c r="B3680">
        <v>2025</v>
      </c>
      <c r="C3680" t="s">
        <v>11</v>
      </c>
      <c r="D3680" s="35">
        <v>7603679.9300000006</v>
      </c>
      <c r="E3680" s="35">
        <v>10718</v>
      </c>
      <c r="F3680" s="35">
        <v>7484441.9100000001</v>
      </c>
    </row>
    <row r="3681" spans="1:6" x14ac:dyDescent="0.3">
      <c r="A3681" t="s">
        <v>61</v>
      </c>
      <c r="B3681">
        <v>2025</v>
      </c>
      <c r="C3681" t="s">
        <v>3</v>
      </c>
      <c r="D3681" s="35">
        <v>63627566.860000007</v>
      </c>
      <c r="E3681" s="35">
        <v>71269</v>
      </c>
      <c r="F3681" s="35">
        <v>63117397.040000007</v>
      </c>
    </row>
    <row r="3682" spans="1:6" x14ac:dyDescent="0.3">
      <c r="A3682" t="s">
        <v>61</v>
      </c>
      <c r="B3682">
        <v>2025</v>
      </c>
      <c r="C3682" t="s">
        <v>12</v>
      </c>
      <c r="D3682" s="35">
        <v>8970876.1799999997</v>
      </c>
      <c r="E3682" s="35">
        <v>165868</v>
      </c>
      <c r="F3682" s="35">
        <v>7712383.0100000007</v>
      </c>
    </row>
    <row r="3683" spans="1:6" x14ac:dyDescent="0.3">
      <c r="A3683" t="s">
        <v>61</v>
      </c>
      <c r="B3683">
        <v>2025</v>
      </c>
      <c r="C3683" t="s">
        <v>2</v>
      </c>
      <c r="D3683" s="35">
        <v>46129911.040000007</v>
      </c>
      <c r="E3683" s="35">
        <v>662042</v>
      </c>
      <c r="F3683" s="35">
        <v>36951324.499999993</v>
      </c>
    </row>
    <row r="3684" spans="1:6" x14ac:dyDescent="0.3">
      <c r="A3684" t="s">
        <v>61</v>
      </c>
      <c r="B3684">
        <v>2025</v>
      </c>
      <c r="C3684" t="s">
        <v>5</v>
      </c>
      <c r="D3684" s="35">
        <v>10275341.550000001</v>
      </c>
      <c r="E3684" s="35">
        <v>6347</v>
      </c>
      <c r="F3684" s="35">
        <v>10075009.57</v>
      </c>
    </row>
    <row r="3685" spans="1:6" x14ac:dyDescent="0.3">
      <c r="A3685" t="s">
        <v>61</v>
      </c>
      <c r="B3685">
        <v>2025</v>
      </c>
      <c r="C3685" t="s">
        <v>17</v>
      </c>
      <c r="D3685" s="35">
        <v>916197.45000000019</v>
      </c>
      <c r="E3685" s="35">
        <v>63935</v>
      </c>
      <c r="F3685" s="35">
        <v>415940.16</v>
      </c>
    </row>
    <row r="3686" spans="1:6" x14ac:dyDescent="0.3">
      <c r="A3686" t="s">
        <v>61</v>
      </c>
      <c r="B3686">
        <v>2025</v>
      </c>
      <c r="C3686" t="s">
        <v>9</v>
      </c>
      <c r="D3686" s="35">
        <v>17788338.909999989</v>
      </c>
      <c r="E3686" s="35">
        <v>247393</v>
      </c>
      <c r="F3686" s="35">
        <v>13430282.82</v>
      </c>
    </row>
    <row r="3687" spans="1:6" x14ac:dyDescent="0.3">
      <c r="A3687" t="s">
        <v>61</v>
      </c>
      <c r="B3687">
        <v>2025</v>
      </c>
      <c r="C3687" t="s">
        <v>8</v>
      </c>
      <c r="D3687" s="35">
        <v>17814831.640000001</v>
      </c>
      <c r="E3687" s="35">
        <v>961</v>
      </c>
      <c r="F3687" s="35">
        <v>17745411.550000001</v>
      </c>
    </row>
    <row r="3688" spans="1:6" x14ac:dyDescent="0.3">
      <c r="A3688" t="s">
        <v>61</v>
      </c>
      <c r="B3688">
        <v>2025</v>
      </c>
      <c r="C3688" t="s">
        <v>6</v>
      </c>
      <c r="D3688" s="35">
        <v>16592210.58</v>
      </c>
      <c r="E3688" s="35">
        <v>226532</v>
      </c>
      <c r="F3688" s="35">
        <v>13215663.210000001</v>
      </c>
    </row>
    <row r="3689" spans="1:6" x14ac:dyDescent="0.3">
      <c r="A3689" t="s">
        <v>61</v>
      </c>
      <c r="B3689">
        <v>2025</v>
      </c>
      <c r="C3689" t="s">
        <v>15</v>
      </c>
      <c r="D3689" s="35">
        <v>1446316.02</v>
      </c>
      <c r="E3689" s="35">
        <v>35717</v>
      </c>
      <c r="F3689" s="35">
        <v>1081910.74</v>
      </c>
    </row>
    <row r="3690" spans="1:6" x14ac:dyDescent="0.3">
      <c r="A3690" t="s">
        <v>61</v>
      </c>
      <c r="B3690">
        <v>2025</v>
      </c>
      <c r="C3690" t="s">
        <v>18</v>
      </c>
      <c r="D3690" s="35">
        <v>675683.19</v>
      </c>
      <c r="E3690" s="35">
        <v>4587</v>
      </c>
      <c r="F3690" s="35">
        <v>384212.77999999991</v>
      </c>
    </row>
    <row r="3691" spans="1:6" x14ac:dyDescent="0.3">
      <c r="A3691" t="s">
        <v>62</v>
      </c>
      <c r="B3691">
        <v>2019</v>
      </c>
      <c r="C3691" t="s">
        <v>10</v>
      </c>
      <c r="D3691" s="35">
        <v>59383696.390000001</v>
      </c>
      <c r="E3691" s="35">
        <v>3203487</v>
      </c>
      <c r="F3691" s="35">
        <v>38987549.210000008</v>
      </c>
    </row>
    <row r="3692" spans="1:6" x14ac:dyDescent="0.3">
      <c r="A3692" t="s">
        <v>62</v>
      </c>
      <c r="B3692">
        <v>2019</v>
      </c>
      <c r="C3692" t="s">
        <v>4</v>
      </c>
      <c r="D3692" s="35">
        <v>162369826.07000011</v>
      </c>
      <c r="E3692" s="35">
        <v>939511</v>
      </c>
      <c r="F3692" s="35">
        <v>159192679.11000001</v>
      </c>
    </row>
    <row r="3693" spans="1:6" x14ac:dyDescent="0.3">
      <c r="A3693" t="s">
        <v>62</v>
      </c>
      <c r="B3693">
        <v>2019</v>
      </c>
      <c r="C3693" t="s">
        <v>13</v>
      </c>
      <c r="D3693" s="35">
        <v>56505891.659999996</v>
      </c>
      <c r="E3693" s="35">
        <v>1127687</v>
      </c>
      <c r="F3693" s="35">
        <v>41085426.359999999</v>
      </c>
    </row>
    <row r="3694" spans="1:6" x14ac:dyDescent="0.3">
      <c r="A3694" t="s">
        <v>62</v>
      </c>
      <c r="B3694">
        <v>2019</v>
      </c>
      <c r="C3694" t="s">
        <v>16</v>
      </c>
      <c r="D3694" s="35">
        <v>22114057.640000001</v>
      </c>
      <c r="E3694" s="35">
        <v>121845</v>
      </c>
      <c r="F3694" s="35">
        <v>20216800.739999998</v>
      </c>
    </row>
    <row r="3695" spans="1:6" x14ac:dyDescent="0.3">
      <c r="A3695" t="s">
        <v>62</v>
      </c>
      <c r="B3695">
        <v>2019</v>
      </c>
      <c r="C3695" t="s">
        <v>14</v>
      </c>
      <c r="D3695" s="35">
        <v>38379517.280000001</v>
      </c>
      <c r="E3695" s="35">
        <v>1219566</v>
      </c>
      <c r="F3695" s="35">
        <v>26343333.410000011</v>
      </c>
    </row>
    <row r="3696" spans="1:6" x14ac:dyDescent="0.3">
      <c r="A3696" t="s">
        <v>62</v>
      </c>
      <c r="B3696">
        <v>2019</v>
      </c>
      <c r="C3696" t="s">
        <v>7</v>
      </c>
      <c r="D3696" s="35">
        <v>174607689.44</v>
      </c>
      <c r="E3696" s="35">
        <v>90915</v>
      </c>
      <c r="F3696" s="35">
        <v>172277750.30000001</v>
      </c>
    </row>
    <row r="3697" spans="1:6" x14ac:dyDescent="0.3">
      <c r="A3697" t="s">
        <v>62</v>
      </c>
      <c r="B3697">
        <v>2019</v>
      </c>
      <c r="C3697" t="s">
        <v>11</v>
      </c>
      <c r="D3697" s="35">
        <v>69758278.280000001</v>
      </c>
      <c r="E3697" s="35">
        <v>93734</v>
      </c>
      <c r="F3697" s="35">
        <v>67400197.859999985</v>
      </c>
    </row>
    <row r="3698" spans="1:6" x14ac:dyDescent="0.3">
      <c r="A3698" t="s">
        <v>62</v>
      </c>
      <c r="B3698">
        <v>2019</v>
      </c>
      <c r="C3698" t="s">
        <v>3</v>
      </c>
      <c r="D3698" s="35">
        <v>170176788.19</v>
      </c>
      <c r="E3698" s="35">
        <v>877957</v>
      </c>
      <c r="F3698" s="35">
        <v>160135953.50999999</v>
      </c>
    </row>
    <row r="3699" spans="1:6" x14ac:dyDescent="0.3">
      <c r="A3699" t="s">
        <v>62</v>
      </c>
      <c r="B3699">
        <v>2019</v>
      </c>
      <c r="C3699" t="s">
        <v>12</v>
      </c>
      <c r="D3699" s="35">
        <v>97147784.779999986</v>
      </c>
      <c r="E3699" s="35">
        <v>2027212</v>
      </c>
      <c r="F3699" s="35">
        <v>63349838.369999997</v>
      </c>
    </row>
    <row r="3700" spans="1:6" x14ac:dyDescent="0.3">
      <c r="A3700" t="s">
        <v>62</v>
      </c>
      <c r="B3700">
        <v>2019</v>
      </c>
      <c r="C3700" t="s">
        <v>2</v>
      </c>
      <c r="D3700" s="35">
        <v>247051808.17999989</v>
      </c>
      <c r="E3700" s="35">
        <v>3638486</v>
      </c>
      <c r="F3700" s="35">
        <v>189425307.97999999</v>
      </c>
    </row>
    <row r="3701" spans="1:6" x14ac:dyDescent="0.3">
      <c r="A3701" t="s">
        <v>62</v>
      </c>
      <c r="B3701">
        <v>2019</v>
      </c>
      <c r="C3701" t="s">
        <v>5</v>
      </c>
      <c r="D3701" s="35">
        <v>136917671.80000001</v>
      </c>
      <c r="E3701" s="35">
        <v>80720</v>
      </c>
      <c r="F3701" s="35">
        <v>130459575.38</v>
      </c>
    </row>
    <row r="3702" spans="1:6" x14ac:dyDescent="0.3">
      <c r="A3702" t="s">
        <v>62</v>
      </c>
      <c r="B3702">
        <v>2019</v>
      </c>
      <c r="C3702" t="s">
        <v>17</v>
      </c>
      <c r="D3702" s="35">
        <v>4642929.26</v>
      </c>
      <c r="E3702" s="35">
        <v>462121</v>
      </c>
      <c r="F3702" s="35">
        <v>2033728.22</v>
      </c>
    </row>
    <row r="3703" spans="1:6" x14ac:dyDescent="0.3">
      <c r="A3703" t="s">
        <v>62</v>
      </c>
      <c r="B3703">
        <v>2019</v>
      </c>
      <c r="C3703" t="s">
        <v>9</v>
      </c>
      <c r="D3703" s="35">
        <v>71002500.840000004</v>
      </c>
      <c r="E3703" s="35">
        <v>2096763</v>
      </c>
      <c r="F3703" s="35">
        <v>45566393.989999987</v>
      </c>
    </row>
    <row r="3704" spans="1:6" x14ac:dyDescent="0.3">
      <c r="A3704" t="s">
        <v>62</v>
      </c>
      <c r="B3704">
        <v>2019</v>
      </c>
      <c r="C3704" t="s">
        <v>8</v>
      </c>
      <c r="D3704" s="35">
        <v>35337816.829999998</v>
      </c>
      <c r="E3704" s="35">
        <v>7849</v>
      </c>
      <c r="F3704" s="35">
        <v>35337816.829999998</v>
      </c>
    </row>
    <row r="3705" spans="1:6" x14ac:dyDescent="0.3">
      <c r="A3705" t="s">
        <v>62</v>
      </c>
      <c r="B3705">
        <v>2019</v>
      </c>
      <c r="C3705" t="s">
        <v>6</v>
      </c>
      <c r="D3705" s="35">
        <v>122406304.42</v>
      </c>
      <c r="E3705" s="35">
        <v>2561276</v>
      </c>
      <c r="F3705" s="35">
        <v>99695897.890000001</v>
      </c>
    </row>
    <row r="3706" spans="1:6" x14ac:dyDescent="0.3">
      <c r="A3706" t="s">
        <v>62</v>
      </c>
      <c r="B3706">
        <v>2019</v>
      </c>
      <c r="C3706" t="s">
        <v>15</v>
      </c>
      <c r="D3706" s="35">
        <v>45168189.109999999</v>
      </c>
      <c r="E3706" s="35">
        <v>1552475</v>
      </c>
      <c r="F3706" s="35">
        <v>22078039.039999999</v>
      </c>
    </row>
    <row r="3707" spans="1:6" x14ac:dyDescent="0.3">
      <c r="A3707" t="s">
        <v>62</v>
      </c>
      <c r="B3707">
        <v>2019</v>
      </c>
      <c r="C3707" t="s">
        <v>18</v>
      </c>
      <c r="D3707" s="35">
        <v>7015775.2699999996</v>
      </c>
      <c r="E3707" s="35">
        <v>74521</v>
      </c>
      <c r="F3707" s="35">
        <v>3165550.06</v>
      </c>
    </row>
    <row r="3708" spans="1:6" x14ac:dyDescent="0.3">
      <c r="A3708" t="s">
        <v>62</v>
      </c>
      <c r="B3708">
        <v>2020</v>
      </c>
      <c r="C3708" t="s">
        <v>10</v>
      </c>
      <c r="D3708" s="35">
        <v>65776036.31000001</v>
      </c>
      <c r="E3708" s="35">
        <v>3187230</v>
      </c>
      <c r="F3708" s="35">
        <v>44399205.810000002</v>
      </c>
    </row>
    <row r="3709" spans="1:6" x14ac:dyDescent="0.3">
      <c r="A3709" t="s">
        <v>62</v>
      </c>
      <c r="B3709">
        <v>2020</v>
      </c>
      <c r="C3709" t="s">
        <v>4</v>
      </c>
      <c r="D3709" s="35">
        <v>171466183.84999999</v>
      </c>
      <c r="E3709" s="35">
        <v>942114</v>
      </c>
      <c r="F3709" s="35">
        <v>168658388.33000001</v>
      </c>
    </row>
    <row r="3710" spans="1:6" x14ac:dyDescent="0.3">
      <c r="A3710" t="s">
        <v>62</v>
      </c>
      <c r="B3710">
        <v>2020</v>
      </c>
      <c r="C3710" t="s">
        <v>13</v>
      </c>
      <c r="D3710" s="35">
        <v>57099700.970000014</v>
      </c>
      <c r="E3710" s="35">
        <v>1131186</v>
      </c>
      <c r="F3710" s="35">
        <v>43441172.719999999</v>
      </c>
    </row>
    <row r="3711" spans="1:6" x14ac:dyDescent="0.3">
      <c r="A3711" t="s">
        <v>62</v>
      </c>
      <c r="B3711">
        <v>2020</v>
      </c>
      <c r="C3711" t="s">
        <v>16</v>
      </c>
      <c r="D3711" s="35">
        <v>21352046.50999999</v>
      </c>
      <c r="E3711" s="35">
        <v>115031</v>
      </c>
      <c r="F3711" s="35">
        <v>19713959.050000001</v>
      </c>
    </row>
    <row r="3712" spans="1:6" x14ac:dyDescent="0.3">
      <c r="A3712" t="s">
        <v>62</v>
      </c>
      <c r="B3712">
        <v>2020</v>
      </c>
      <c r="C3712" t="s">
        <v>14</v>
      </c>
      <c r="D3712" s="35">
        <v>38306324.989999987</v>
      </c>
      <c r="E3712" s="35">
        <v>1155779</v>
      </c>
      <c r="F3712" s="35">
        <v>24960522.829999998</v>
      </c>
    </row>
    <row r="3713" spans="1:6" x14ac:dyDescent="0.3">
      <c r="A3713" t="s">
        <v>62</v>
      </c>
      <c r="B3713">
        <v>2020</v>
      </c>
      <c r="C3713" t="s">
        <v>7</v>
      </c>
      <c r="D3713" s="35">
        <v>189431934.18000001</v>
      </c>
      <c r="E3713" s="35">
        <v>86327</v>
      </c>
      <c r="F3713" s="35">
        <v>185587721.75999999</v>
      </c>
    </row>
    <row r="3714" spans="1:6" x14ac:dyDescent="0.3">
      <c r="A3714" t="s">
        <v>62</v>
      </c>
      <c r="B3714">
        <v>2020</v>
      </c>
      <c r="C3714" t="s">
        <v>11</v>
      </c>
      <c r="D3714" s="35">
        <v>74044181.280000001</v>
      </c>
      <c r="E3714" s="35">
        <v>93241</v>
      </c>
      <c r="F3714" s="35">
        <v>71113813.440000013</v>
      </c>
    </row>
    <row r="3715" spans="1:6" x14ac:dyDescent="0.3">
      <c r="A3715" t="s">
        <v>62</v>
      </c>
      <c r="B3715">
        <v>2020</v>
      </c>
      <c r="C3715" t="s">
        <v>3</v>
      </c>
      <c r="D3715" s="35">
        <v>197155985.15000001</v>
      </c>
      <c r="E3715" s="35">
        <v>774188</v>
      </c>
      <c r="F3715" s="35">
        <v>188576788.63</v>
      </c>
    </row>
    <row r="3716" spans="1:6" x14ac:dyDescent="0.3">
      <c r="A3716" t="s">
        <v>62</v>
      </c>
      <c r="B3716">
        <v>2020</v>
      </c>
      <c r="C3716" t="s">
        <v>12</v>
      </c>
      <c r="D3716" s="35">
        <v>73950593.670000032</v>
      </c>
      <c r="E3716" s="35">
        <v>1677998</v>
      </c>
      <c r="F3716" s="35">
        <v>48256052.290000007</v>
      </c>
    </row>
    <row r="3717" spans="1:6" x14ac:dyDescent="0.3">
      <c r="A3717" t="s">
        <v>62</v>
      </c>
      <c r="B3717">
        <v>2020</v>
      </c>
      <c r="C3717" t="s">
        <v>2</v>
      </c>
      <c r="D3717" s="35">
        <v>253959341.41999999</v>
      </c>
      <c r="E3717" s="35">
        <v>3746734</v>
      </c>
      <c r="F3717" s="35">
        <v>194983639.58000001</v>
      </c>
    </row>
    <row r="3718" spans="1:6" x14ac:dyDescent="0.3">
      <c r="A3718" t="s">
        <v>62</v>
      </c>
      <c r="B3718">
        <v>2020</v>
      </c>
      <c r="C3718" t="s">
        <v>5</v>
      </c>
      <c r="D3718" s="35">
        <v>142066808.65000001</v>
      </c>
      <c r="E3718" s="35">
        <v>81075</v>
      </c>
      <c r="F3718" s="35">
        <v>135511914.41999999</v>
      </c>
    </row>
    <row r="3719" spans="1:6" x14ac:dyDescent="0.3">
      <c r="A3719" t="s">
        <v>62</v>
      </c>
      <c r="B3719">
        <v>2020</v>
      </c>
      <c r="C3719" t="s">
        <v>17</v>
      </c>
      <c r="D3719" s="35">
        <v>4361341.3099999996</v>
      </c>
      <c r="E3719" s="35">
        <v>434551</v>
      </c>
      <c r="F3719" s="35">
        <v>1805595.81</v>
      </c>
    </row>
    <row r="3720" spans="1:6" x14ac:dyDescent="0.3">
      <c r="A3720" t="s">
        <v>62</v>
      </c>
      <c r="B3720">
        <v>2020</v>
      </c>
      <c r="C3720" t="s">
        <v>9</v>
      </c>
      <c r="D3720" s="35">
        <v>70517284.109999999</v>
      </c>
      <c r="E3720" s="35">
        <v>1895435</v>
      </c>
      <c r="F3720" s="35">
        <v>39723415.700000003</v>
      </c>
    </row>
    <row r="3721" spans="1:6" x14ac:dyDescent="0.3">
      <c r="A3721" t="s">
        <v>62</v>
      </c>
      <c r="B3721">
        <v>2020</v>
      </c>
      <c r="C3721" t="s">
        <v>8</v>
      </c>
      <c r="D3721" s="35">
        <v>44295777.589999989</v>
      </c>
      <c r="E3721" s="35">
        <v>8664</v>
      </c>
      <c r="F3721" s="35">
        <v>44295777.589999989</v>
      </c>
    </row>
    <row r="3722" spans="1:6" x14ac:dyDescent="0.3">
      <c r="A3722" t="s">
        <v>62</v>
      </c>
      <c r="B3722">
        <v>2020</v>
      </c>
      <c r="C3722" t="s">
        <v>6</v>
      </c>
      <c r="D3722" s="35">
        <v>115026851.72</v>
      </c>
      <c r="E3722" s="35">
        <v>2408190</v>
      </c>
      <c r="F3722" s="35">
        <v>94063714.62000002</v>
      </c>
    </row>
    <row r="3723" spans="1:6" x14ac:dyDescent="0.3">
      <c r="A3723" t="s">
        <v>62</v>
      </c>
      <c r="B3723">
        <v>2020</v>
      </c>
      <c r="C3723" t="s">
        <v>15</v>
      </c>
      <c r="D3723" s="35">
        <v>33484371.829999998</v>
      </c>
      <c r="E3723" s="35">
        <v>1284515</v>
      </c>
      <c r="F3723" s="35">
        <v>14225913.529999999</v>
      </c>
    </row>
    <row r="3724" spans="1:6" x14ac:dyDescent="0.3">
      <c r="A3724" t="s">
        <v>62</v>
      </c>
      <c r="B3724">
        <v>2020</v>
      </c>
      <c r="C3724" t="s">
        <v>18</v>
      </c>
      <c r="D3724" s="35">
        <v>6167580.0700000003</v>
      </c>
      <c r="E3724" s="35">
        <v>73512</v>
      </c>
      <c r="F3724" s="35">
        <v>2918406.46</v>
      </c>
    </row>
    <row r="3725" spans="1:6" x14ac:dyDescent="0.3">
      <c r="A3725" t="s">
        <v>62</v>
      </c>
      <c r="B3725">
        <v>2021</v>
      </c>
      <c r="C3725" t="s">
        <v>10</v>
      </c>
      <c r="D3725" s="35">
        <v>80029685.459999993</v>
      </c>
      <c r="E3725" s="35">
        <v>3358498</v>
      </c>
      <c r="F3725" s="35">
        <v>56255473.739999987</v>
      </c>
    </row>
    <row r="3726" spans="1:6" x14ac:dyDescent="0.3">
      <c r="A3726" t="s">
        <v>62</v>
      </c>
      <c r="B3726">
        <v>2021</v>
      </c>
      <c r="C3726" t="s">
        <v>4</v>
      </c>
      <c r="D3726" s="35">
        <v>205718773.88999999</v>
      </c>
      <c r="E3726" s="35">
        <v>1010886</v>
      </c>
      <c r="F3726" s="35">
        <v>202156136.66999999</v>
      </c>
    </row>
    <row r="3727" spans="1:6" x14ac:dyDescent="0.3">
      <c r="A3727" t="s">
        <v>62</v>
      </c>
      <c r="B3727">
        <v>2021</v>
      </c>
      <c r="C3727" t="s">
        <v>13</v>
      </c>
      <c r="D3727" s="35">
        <v>65346011.539999999</v>
      </c>
      <c r="E3727" s="35">
        <v>1263580</v>
      </c>
      <c r="F3727" s="35">
        <v>50388668.869999997</v>
      </c>
    </row>
    <row r="3728" spans="1:6" x14ac:dyDescent="0.3">
      <c r="A3728" t="s">
        <v>62</v>
      </c>
      <c r="B3728">
        <v>2021</v>
      </c>
      <c r="C3728" t="s">
        <v>16</v>
      </c>
      <c r="D3728" s="35">
        <v>30084535.93</v>
      </c>
      <c r="E3728" s="35">
        <v>133521</v>
      </c>
      <c r="F3728" s="35">
        <v>27832085.110000011</v>
      </c>
    </row>
    <row r="3729" spans="1:6" x14ac:dyDescent="0.3">
      <c r="A3729" t="s">
        <v>62</v>
      </c>
      <c r="B3729">
        <v>2021</v>
      </c>
      <c r="C3729" t="s">
        <v>14</v>
      </c>
      <c r="D3729" s="35">
        <v>44575535.399999984</v>
      </c>
      <c r="E3729" s="35">
        <v>1287971</v>
      </c>
      <c r="F3729" s="35">
        <v>30719905.309999999</v>
      </c>
    </row>
    <row r="3730" spans="1:6" x14ac:dyDescent="0.3">
      <c r="A3730" t="s">
        <v>62</v>
      </c>
      <c r="B3730">
        <v>2021</v>
      </c>
      <c r="C3730" t="s">
        <v>7</v>
      </c>
      <c r="D3730" s="35">
        <v>193704203.28</v>
      </c>
      <c r="E3730" s="35">
        <v>84178</v>
      </c>
      <c r="F3730" s="35">
        <v>187837613.56</v>
      </c>
    </row>
    <row r="3731" spans="1:6" x14ac:dyDescent="0.3">
      <c r="A3731" t="s">
        <v>62</v>
      </c>
      <c r="B3731">
        <v>2021</v>
      </c>
      <c r="C3731" t="s">
        <v>11</v>
      </c>
      <c r="D3731" s="35">
        <v>83808129.209999979</v>
      </c>
      <c r="E3731" s="35">
        <v>102917</v>
      </c>
      <c r="F3731" s="35">
        <v>81193391.810000002</v>
      </c>
    </row>
    <row r="3732" spans="1:6" x14ac:dyDescent="0.3">
      <c r="A3732" t="s">
        <v>62</v>
      </c>
      <c r="B3732">
        <v>2021</v>
      </c>
      <c r="C3732" t="s">
        <v>3</v>
      </c>
      <c r="D3732" s="35">
        <v>272764521.61000001</v>
      </c>
      <c r="E3732" s="35">
        <v>887797</v>
      </c>
      <c r="F3732" s="35">
        <v>263418328.84999999</v>
      </c>
    </row>
    <row r="3733" spans="1:6" x14ac:dyDescent="0.3">
      <c r="A3733" t="s">
        <v>62</v>
      </c>
      <c r="B3733">
        <v>2021</v>
      </c>
      <c r="C3733" t="s">
        <v>12</v>
      </c>
      <c r="D3733" s="35">
        <v>72017695.039999992</v>
      </c>
      <c r="E3733" s="35">
        <v>1846858</v>
      </c>
      <c r="F3733" s="35">
        <v>44918916.659999996</v>
      </c>
    </row>
    <row r="3734" spans="1:6" x14ac:dyDescent="0.3">
      <c r="A3734" t="s">
        <v>62</v>
      </c>
      <c r="B3734">
        <v>2021</v>
      </c>
      <c r="C3734" t="s">
        <v>2</v>
      </c>
      <c r="D3734" s="35">
        <v>273869127.35000002</v>
      </c>
      <c r="E3734" s="35">
        <v>3987400</v>
      </c>
      <c r="F3734" s="35">
        <v>214222785.96000001</v>
      </c>
    </row>
    <row r="3735" spans="1:6" x14ac:dyDescent="0.3">
      <c r="A3735" t="s">
        <v>62</v>
      </c>
      <c r="B3735">
        <v>2021</v>
      </c>
      <c r="C3735" t="s">
        <v>5</v>
      </c>
      <c r="D3735" s="35">
        <v>152127857.06999999</v>
      </c>
      <c r="E3735" s="35">
        <v>85103</v>
      </c>
      <c r="F3735" s="35">
        <v>145814348.80000001</v>
      </c>
    </row>
    <row r="3736" spans="1:6" x14ac:dyDescent="0.3">
      <c r="A3736" t="s">
        <v>62</v>
      </c>
      <c r="B3736">
        <v>2021</v>
      </c>
      <c r="C3736" t="s">
        <v>17</v>
      </c>
      <c r="D3736" s="35">
        <v>4383919.7699999996</v>
      </c>
      <c r="E3736" s="35">
        <v>427726</v>
      </c>
      <c r="F3736" s="35">
        <v>1965469.41</v>
      </c>
    </row>
    <row r="3737" spans="1:6" x14ac:dyDescent="0.3">
      <c r="A3737" t="s">
        <v>62</v>
      </c>
      <c r="B3737">
        <v>2021</v>
      </c>
      <c r="C3737" t="s">
        <v>9</v>
      </c>
      <c r="D3737" s="35">
        <v>74370631.319999993</v>
      </c>
      <c r="E3737" s="35">
        <v>2018949</v>
      </c>
      <c r="F3737" s="35">
        <v>38755135.319999993</v>
      </c>
    </row>
    <row r="3738" spans="1:6" x14ac:dyDescent="0.3">
      <c r="A3738" t="s">
        <v>62</v>
      </c>
      <c r="B3738">
        <v>2021</v>
      </c>
      <c r="C3738" t="s">
        <v>8</v>
      </c>
      <c r="D3738" s="35">
        <v>56570751.940000013</v>
      </c>
      <c r="E3738" s="35">
        <v>4938</v>
      </c>
      <c r="F3738" s="35">
        <v>56570751.940000013</v>
      </c>
    </row>
    <row r="3739" spans="1:6" x14ac:dyDescent="0.3">
      <c r="A3739" t="s">
        <v>62</v>
      </c>
      <c r="B3739">
        <v>2021</v>
      </c>
      <c r="C3739" t="s">
        <v>6</v>
      </c>
      <c r="D3739" s="35">
        <v>123093780.83</v>
      </c>
      <c r="E3739" s="35">
        <v>2598037</v>
      </c>
      <c r="F3739" s="35">
        <v>97123826.780000031</v>
      </c>
    </row>
    <row r="3740" spans="1:6" x14ac:dyDescent="0.3">
      <c r="A3740" t="s">
        <v>62</v>
      </c>
      <c r="B3740">
        <v>2021</v>
      </c>
      <c r="C3740" t="s">
        <v>15</v>
      </c>
      <c r="D3740" s="35">
        <v>28304198.350000001</v>
      </c>
      <c r="E3740" s="35">
        <v>1196925</v>
      </c>
      <c r="F3740" s="35">
        <v>10389016.35</v>
      </c>
    </row>
    <row r="3741" spans="1:6" x14ac:dyDescent="0.3">
      <c r="A3741" t="s">
        <v>62</v>
      </c>
      <c r="B3741">
        <v>2021</v>
      </c>
      <c r="C3741" t="s">
        <v>18</v>
      </c>
      <c r="D3741" s="35">
        <v>6826738.2599999998</v>
      </c>
      <c r="E3741" s="35">
        <v>78258</v>
      </c>
      <c r="F3741" s="35">
        <v>4008899.84</v>
      </c>
    </row>
    <row r="3742" spans="1:6" x14ac:dyDescent="0.3">
      <c r="A3742" t="s">
        <v>62</v>
      </c>
      <c r="B3742">
        <v>2022</v>
      </c>
      <c r="C3742" t="s">
        <v>10</v>
      </c>
      <c r="D3742" s="35">
        <v>102672818.3</v>
      </c>
      <c r="E3742" s="35">
        <v>3682321</v>
      </c>
      <c r="F3742" s="35">
        <v>75938918.120000005</v>
      </c>
    </row>
    <row r="3743" spans="1:6" x14ac:dyDescent="0.3">
      <c r="A3743" t="s">
        <v>62</v>
      </c>
      <c r="B3743">
        <v>2022</v>
      </c>
      <c r="C3743" t="s">
        <v>4</v>
      </c>
      <c r="D3743" s="35">
        <v>241293670.69</v>
      </c>
      <c r="E3743" s="35">
        <v>1092334</v>
      </c>
      <c r="F3743" s="35">
        <v>237213560.51000011</v>
      </c>
    </row>
    <row r="3744" spans="1:6" x14ac:dyDescent="0.3">
      <c r="A3744" t="s">
        <v>62</v>
      </c>
      <c r="B3744">
        <v>2022</v>
      </c>
      <c r="C3744" t="s">
        <v>13</v>
      </c>
      <c r="D3744" s="35">
        <v>69085752.409999996</v>
      </c>
      <c r="E3744" s="35">
        <v>1285269</v>
      </c>
      <c r="F3744" s="35">
        <v>54954909.749999993</v>
      </c>
    </row>
    <row r="3745" spans="1:6" x14ac:dyDescent="0.3">
      <c r="A3745" t="s">
        <v>62</v>
      </c>
      <c r="B3745">
        <v>2022</v>
      </c>
      <c r="C3745" t="s">
        <v>16</v>
      </c>
      <c r="D3745" s="35">
        <v>31081918.809999999</v>
      </c>
      <c r="E3745" s="35">
        <v>133133</v>
      </c>
      <c r="F3745" s="35">
        <v>28900036.59</v>
      </c>
    </row>
    <row r="3746" spans="1:6" x14ac:dyDescent="0.3">
      <c r="A3746" t="s">
        <v>62</v>
      </c>
      <c r="B3746">
        <v>2022</v>
      </c>
      <c r="C3746" t="s">
        <v>14</v>
      </c>
      <c r="D3746" s="35">
        <v>52302407.840000004</v>
      </c>
      <c r="E3746" s="35">
        <v>1453548</v>
      </c>
      <c r="F3746" s="35">
        <v>37134874.25999999</v>
      </c>
    </row>
    <row r="3747" spans="1:6" x14ac:dyDescent="0.3">
      <c r="A3747" t="s">
        <v>62</v>
      </c>
      <c r="B3747">
        <v>2022</v>
      </c>
      <c r="C3747" t="s">
        <v>7</v>
      </c>
      <c r="D3747" s="35">
        <v>206224962.63999999</v>
      </c>
      <c r="E3747" s="35">
        <v>82443</v>
      </c>
      <c r="F3747" s="35">
        <v>203525221.25</v>
      </c>
    </row>
    <row r="3748" spans="1:6" x14ac:dyDescent="0.3">
      <c r="A3748" t="s">
        <v>62</v>
      </c>
      <c r="B3748">
        <v>2022</v>
      </c>
      <c r="C3748" t="s">
        <v>11</v>
      </c>
      <c r="D3748" s="35">
        <v>87218889.469999999</v>
      </c>
      <c r="E3748" s="35">
        <v>103700</v>
      </c>
      <c r="F3748" s="35">
        <v>85204496.570000008</v>
      </c>
    </row>
    <row r="3749" spans="1:6" x14ac:dyDescent="0.3">
      <c r="A3749" t="s">
        <v>62</v>
      </c>
      <c r="B3749">
        <v>2022</v>
      </c>
      <c r="C3749" t="s">
        <v>3</v>
      </c>
      <c r="D3749" s="35">
        <v>350317477.50999999</v>
      </c>
      <c r="E3749" s="35">
        <v>1012796</v>
      </c>
      <c r="F3749" s="35">
        <v>339783995.26999998</v>
      </c>
    </row>
    <row r="3750" spans="1:6" x14ac:dyDescent="0.3">
      <c r="A3750" t="s">
        <v>62</v>
      </c>
      <c r="B3750">
        <v>2022</v>
      </c>
      <c r="C3750" t="s">
        <v>12</v>
      </c>
      <c r="D3750" s="35">
        <v>73494919.520000011</v>
      </c>
      <c r="E3750" s="35">
        <v>2200304</v>
      </c>
      <c r="F3750" s="35">
        <v>42628286.539999999</v>
      </c>
    </row>
    <row r="3751" spans="1:6" x14ac:dyDescent="0.3">
      <c r="A3751" t="s">
        <v>62</v>
      </c>
      <c r="B3751">
        <v>2022</v>
      </c>
      <c r="C3751" t="s">
        <v>2</v>
      </c>
      <c r="D3751" s="35">
        <v>305759564.36999989</v>
      </c>
      <c r="E3751" s="35">
        <v>4244902</v>
      </c>
      <c r="F3751" s="35">
        <v>249111617.78999999</v>
      </c>
    </row>
    <row r="3752" spans="1:6" x14ac:dyDescent="0.3">
      <c r="A3752" t="s">
        <v>62</v>
      </c>
      <c r="B3752">
        <v>2022</v>
      </c>
      <c r="C3752" t="s">
        <v>5</v>
      </c>
      <c r="D3752" s="35">
        <v>169276154.99000001</v>
      </c>
      <c r="E3752" s="35">
        <v>92561</v>
      </c>
      <c r="F3752" s="35">
        <v>162314626.89999989</v>
      </c>
    </row>
    <row r="3753" spans="1:6" x14ac:dyDescent="0.3">
      <c r="A3753" t="s">
        <v>62</v>
      </c>
      <c r="B3753">
        <v>2022</v>
      </c>
      <c r="C3753" t="s">
        <v>17</v>
      </c>
      <c r="D3753" s="35">
        <v>4295609.8900000006</v>
      </c>
      <c r="E3753" s="35">
        <v>413628</v>
      </c>
      <c r="F3753" s="35">
        <v>2053388.38</v>
      </c>
    </row>
    <row r="3754" spans="1:6" x14ac:dyDescent="0.3">
      <c r="A3754" t="s">
        <v>62</v>
      </c>
      <c r="B3754">
        <v>2022</v>
      </c>
      <c r="C3754" t="s">
        <v>9</v>
      </c>
      <c r="D3754" s="35">
        <v>81268155.969999999</v>
      </c>
      <c r="E3754" s="35">
        <v>2221213</v>
      </c>
      <c r="F3754" s="35">
        <v>38870176.119999997</v>
      </c>
    </row>
    <row r="3755" spans="1:6" x14ac:dyDescent="0.3">
      <c r="A3755" t="s">
        <v>62</v>
      </c>
      <c r="B3755">
        <v>2022</v>
      </c>
      <c r="C3755" t="s">
        <v>8</v>
      </c>
      <c r="D3755" s="35">
        <v>77665250.670000017</v>
      </c>
      <c r="E3755" s="35">
        <v>4214</v>
      </c>
      <c r="F3755" s="35">
        <v>77518756.030000016</v>
      </c>
    </row>
    <row r="3756" spans="1:6" x14ac:dyDescent="0.3">
      <c r="A3756" t="s">
        <v>62</v>
      </c>
      <c r="B3756">
        <v>2022</v>
      </c>
      <c r="C3756" t="s">
        <v>6</v>
      </c>
      <c r="D3756" s="35">
        <v>138922580.52000001</v>
      </c>
      <c r="E3756" s="35">
        <v>2953013</v>
      </c>
      <c r="F3756" s="35">
        <v>105699232.23999999</v>
      </c>
    </row>
    <row r="3757" spans="1:6" x14ac:dyDescent="0.3">
      <c r="A3757" t="s">
        <v>62</v>
      </c>
      <c r="B3757">
        <v>2022</v>
      </c>
      <c r="C3757" t="s">
        <v>15</v>
      </c>
      <c r="D3757" s="35">
        <v>24266280.460000001</v>
      </c>
      <c r="E3757" s="35">
        <v>1088727</v>
      </c>
      <c r="F3757" s="35">
        <v>7151756.2699999996</v>
      </c>
    </row>
    <row r="3758" spans="1:6" x14ac:dyDescent="0.3">
      <c r="A3758" t="s">
        <v>62</v>
      </c>
      <c r="B3758">
        <v>2022</v>
      </c>
      <c r="C3758" t="s">
        <v>18</v>
      </c>
      <c r="D3758" s="35">
        <v>9084433.1599999983</v>
      </c>
      <c r="E3758" s="35">
        <v>80721</v>
      </c>
      <c r="F3758" s="35">
        <v>6524809.709999999</v>
      </c>
    </row>
    <row r="3759" spans="1:6" x14ac:dyDescent="0.3">
      <c r="A3759" t="s">
        <v>62</v>
      </c>
      <c r="B3759">
        <v>2023</v>
      </c>
      <c r="C3759" t="s">
        <v>10</v>
      </c>
      <c r="D3759" s="35">
        <v>110015535.73999999</v>
      </c>
      <c r="E3759" s="35">
        <v>3933719</v>
      </c>
      <c r="F3759" s="35">
        <v>85665234.159999982</v>
      </c>
    </row>
    <row r="3760" spans="1:6" x14ac:dyDescent="0.3">
      <c r="A3760" t="s">
        <v>62</v>
      </c>
      <c r="B3760">
        <v>2023</v>
      </c>
      <c r="C3760" t="s">
        <v>4</v>
      </c>
      <c r="D3760" s="35">
        <v>279666389.72000003</v>
      </c>
      <c r="E3760" s="35">
        <v>1153515</v>
      </c>
      <c r="F3760" s="35">
        <v>274895674.83999997</v>
      </c>
    </row>
    <row r="3761" spans="1:6" x14ac:dyDescent="0.3">
      <c r="A3761" t="s">
        <v>62</v>
      </c>
      <c r="B3761">
        <v>2023</v>
      </c>
      <c r="C3761" t="s">
        <v>13</v>
      </c>
      <c r="D3761" s="35">
        <v>67367233.730000004</v>
      </c>
      <c r="E3761" s="35">
        <v>1309803</v>
      </c>
      <c r="F3761" s="35">
        <v>52849798.350000001</v>
      </c>
    </row>
    <row r="3762" spans="1:6" x14ac:dyDescent="0.3">
      <c r="A3762" t="s">
        <v>62</v>
      </c>
      <c r="B3762">
        <v>2023</v>
      </c>
      <c r="C3762" t="s">
        <v>16</v>
      </c>
      <c r="D3762" s="35">
        <v>36198366.520000003</v>
      </c>
      <c r="E3762" s="35">
        <v>123175</v>
      </c>
      <c r="F3762" s="35">
        <v>34216840.32</v>
      </c>
    </row>
    <row r="3763" spans="1:6" x14ac:dyDescent="0.3">
      <c r="A3763" t="s">
        <v>62</v>
      </c>
      <c r="B3763">
        <v>2023</v>
      </c>
      <c r="C3763" t="s">
        <v>14</v>
      </c>
      <c r="D3763" s="35">
        <v>58809721.609999999</v>
      </c>
      <c r="E3763" s="35">
        <v>1500001</v>
      </c>
      <c r="F3763" s="35">
        <v>43732900.130000003</v>
      </c>
    </row>
    <row r="3764" spans="1:6" x14ac:dyDescent="0.3">
      <c r="A3764" t="s">
        <v>62</v>
      </c>
      <c r="B3764">
        <v>2023</v>
      </c>
      <c r="C3764" t="s">
        <v>7</v>
      </c>
      <c r="D3764" s="35">
        <v>218529058.25999999</v>
      </c>
      <c r="E3764" s="35">
        <v>80108</v>
      </c>
      <c r="F3764" s="35">
        <v>215579255.88</v>
      </c>
    </row>
    <row r="3765" spans="1:6" x14ac:dyDescent="0.3">
      <c r="A3765" t="s">
        <v>62</v>
      </c>
      <c r="B3765">
        <v>2023</v>
      </c>
      <c r="C3765" t="s">
        <v>11</v>
      </c>
      <c r="D3765" s="35">
        <v>86456015.219999984</v>
      </c>
      <c r="E3765" s="35">
        <v>101161</v>
      </c>
      <c r="F3765" s="35">
        <v>84631769.980000004</v>
      </c>
    </row>
    <row r="3766" spans="1:6" x14ac:dyDescent="0.3">
      <c r="A3766" t="s">
        <v>62</v>
      </c>
      <c r="B3766">
        <v>2023</v>
      </c>
      <c r="C3766" t="s">
        <v>3</v>
      </c>
      <c r="D3766" s="35">
        <v>420160697.88999999</v>
      </c>
      <c r="E3766" s="35">
        <v>1063906</v>
      </c>
      <c r="F3766" s="35">
        <v>409003998.59000009</v>
      </c>
    </row>
    <row r="3767" spans="1:6" x14ac:dyDescent="0.3">
      <c r="A3767" t="s">
        <v>62</v>
      </c>
      <c r="B3767">
        <v>2023</v>
      </c>
      <c r="C3767" t="s">
        <v>12</v>
      </c>
      <c r="D3767" s="35">
        <v>74772646.320000023</v>
      </c>
      <c r="E3767" s="35">
        <v>2371620</v>
      </c>
      <c r="F3767" s="35">
        <v>43453584.149999999</v>
      </c>
    </row>
    <row r="3768" spans="1:6" x14ac:dyDescent="0.3">
      <c r="A3768" t="s">
        <v>62</v>
      </c>
      <c r="B3768">
        <v>2023</v>
      </c>
      <c r="C3768" t="s">
        <v>2</v>
      </c>
      <c r="D3768" s="35">
        <v>322583055.06000012</v>
      </c>
      <c r="E3768" s="35">
        <v>4384725</v>
      </c>
      <c r="F3768" s="35">
        <v>269264675.98000002</v>
      </c>
    </row>
    <row r="3769" spans="1:6" x14ac:dyDescent="0.3">
      <c r="A3769" t="s">
        <v>62</v>
      </c>
      <c r="B3769">
        <v>2023</v>
      </c>
      <c r="C3769" t="s">
        <v>5</v>
      </c>
      <c r="D3769" s="35">
        <v>172652033</v>
      </c>
      <c r="E3769" s="35">
        <v>90808</v>
      </c>
      <c r="F3769" s="35">
        <v>166087290.80000001</v>
      </c>
    </row>
    <row r="3770" spans="1:6" x14ac:dyDescent="0.3">
      <c r="A3770" t="s">
        <v>62</v>
      </c>
      <c r="B3770">
        <v>2023</v>
      </c>
      <c r="C3770" t="s">
        <v>17</v>
      </c>
      <c r="D3770" s="35">
        <v>4850976.290000001</v>
      </c>
      <c r="E3770" s="35">
        <v>397065</v>
      </c>
      <c r="F3770" s="35">
        <v>2446278.0699999998</v>
      </c>
    </row>
    <row r="3771" spans="1:6" x14ac:dyDescent="0.3">
      <c r="A3771" t="s">
        <v>62</v>
      </c>
      <c r="B3771">
        <v>2023</v>
      </c>
      <c r="C3771" t="s">
        <v>9</v>
      </c>
      <c r="D3771" s="35">
        <v>88635226.699999973</v>
      </c>
      <c r="E3771" s="35">
        <v>2281557</v>
      </c>
      <c r="F3771" s="35">
        <v>46295711.610000007</v>
      </c>
    </row>
    <row r="3772" spans="1:6" x14ac:dyDescent="0.3">
      <c r="A3772" t="s">
        <v>62</v>
      </c>
      <c r="B3772">
        <v>2023</v>
      </c>
      <c r="C3772" t="s">
        <v>8</v>
      </c>
      <c r="D3772" s="35">
        <v>97202033.23999998</v>
      </c>
      <c r="E3772" s="35">
        <v>4817</v>
      </c>
      <c r="F3772" s="35">
        <v>97110578.23999998</v>
      </c>
    </row>
    <row r="3773" spans="1:6" x14ac:dyDescent="0.3">
      <c r="A3773" t="s">
        <v>62</v>
      </c>
      <c r="B3773">
        <v>2023</v>
      </c>
      <c r="C3773" t="s">
        <v>6</v>
      </c>
      <c r="D3773" s="35">
        <v>143856609.25</v>
      </c>
      <c r="E3773" s="35">
        <v>3091511</v>
      </c>
      <c r="F3773" s="35">
        <v>110108666.8</v>
      </c>
    </row>
    <row r="3774" spans="1:6" x14ac:dyDescent="0.3">
      <c r="A3774" t="s">
        <v>62</v>
      </c>
      <c r="B3774">
        <v>2023</v>
      </c>
      <c r="C3774" t="s">
        <v>15</v>
      </c>
      <c r="D3774" s="35">
        <v>24700440.620000001</v>
      </c>
      <c r="E3774" s="35">
        <v>858311</v>
      </c>
      <c r="F3774" s="35">
        <v>7525264.1900000013</v>
      </c>
    </row>
    <row r="3775" spans="1:6" x14ac:dyDescent="0.3">
      <c r="A3775" t="s">
        <v>62</v>
      </c>
      <c r="B3775">
        <v>2023</v>
      </c>
      <c r="C3775" t="s">
        <v>18</v>
      </c>
      <c r="D3775" s="35">
        <v>10225323.58</v>
      </c>
      <c r="E3775" s="35">
        <v>80781</v>
      </c>
      <c r="F3775" s="35">
        <v>7769342.8899999987</v>
      </c>
    </row>
    <row r="3776" spans="1:6" x14ac:dyDescent="0.3">
      <c r="A3776" t="s">
        <v>62</v>
      </c>
      <c r="B3776">
        <v>2024</v>
      </c>
      <c r="C3776" t="s">
        <v>10</v>
      </c>
      <c r="D3776" s="35">
        <v>100059272.63</v>
      </c>
      <c r="E3776" s="35">
        <v>3601871</v>
      </c>
      <c r="F3776" s="35">
        <v>79716606.879999995</v>
      </c>
    </row>
    <row r="3777" spans="1:6" x14ac:dyDescent="0.3">
      <c r="A3777" t="s">
        <v>62</v>
      </c>
      <c r="B3777">
        <v>2024</v>
      </c>
      <c r="C3777" t="s">
        <v>4</v>
      </c>
      <c r="D3777" s="35">
        <v>246925255.53999999</v>
      </c>
      <c r="E3777" s="35">
        <v>1058922</v>
      </c>
      <c r="F3777" s="35">
        <v>243803699.73999989</v>
      </c>
    </row>
    <row r="3778" spans="1:6" x14ac:dyDescent="0.3">
      <c r="A3778" t="s">
        <v>62</v>
      </c>
      <c r="B3778">
        <v>2024</v>
      </c>
      <c r="C3778" t="s">
        <v>13</v>
      </c>
      <c r="D3778" s="35">
        <v>66865135.420000002</v>
      </c>
      <c r="E3778" s="35">
        <v>1096091</v>
      </c>
      <c r="F3778" s="35">
        <v>55067453.510000013</v>
      </c>
    </row>
    <row r="3779" spans="1:6" x14ac:dyDescent="0.3">
      <c r="A3779" t="s">
        <v>62</v>
      </c>
      <c r="B3779">
        <v>2024</v>
      </c>
      <c r="C3779" t="s">
        <v>16</v>
      </c>
      <c r="D3779" s="35">
        <v>32312099.699999999</v>
      </c>
      <c r="E3779" s="35">
        <v>105386</v>
      </c>
      <c r="F3779" s="35">
        <v>30535520.309999999</v>
      </c>
    </row>
    <row r="3780" spans="1:6" x14ac:dyDescent="0.3">
      <c r="A3780" t="s">
        <v>62</v>
      </c>
      <c r="B3780">
        <v>2024</v>
      </c>
      <c r="C3780" t="s">
        <v>14</v>
      </c>
      <c r="D3780" s="35">
        <v>51233125.829999998</v>
      </c>
      <c r="E3780" s="35">
        <v>1380713</v>
      </c>
      <c r="F3780" s="35">
        <v>37003059.700000003</v>
      </c>
    </row>
    <row r="3781" spans="1:6" x14ac:dyDescent="0.3">
      <c r="A3781" t="s">
        <v>62</v>
      </c>
      <c r="B3781">
        <v>2024</v>
      </c>
      <c r="C3781" t="s">
        <v>7</v>
      </c>
      <c r="D3781" s="35">
        <v>189453682.43000001</v>
      </c>
      <c r="E3781" s="35">
        <v>64513</v>
      </c>
      <c r="F3781" s="35">
        <v>188186495.44000009</v>
      </c>
    </row>
    <row r="3782" spans="1:6" x14ac:dyDescent="0.3">
      <c r="A3782" t="s">
        <v>62</v>
      </c>
      <c r="B3782">
        <v>2024</v>
      </c>
      <c r="C3782" t="s">
        <v>11</v>
      </c>
      <c r="D3782" s="35">
        <v>83513622.099999979</v>
      </c>
      <c r="E3782" s="35">
        <v>95886</v>
      </c>
      <c r="F3782" s="35">
        <v>81649624.789999992</v>
      </c>
    </row>
    <row r="3783" spans="1:6" x14ac:dyDescent="0.3">
      <c r="A3783" t="s">
        <v>62</v>
      </c>
      <c r="B3783">
        <v>2024</v>
      </c>
      <c r="C3783" t="s">
        <v>3</v>
      </c>
      <c r="D3783" s="35">
        <v>394965858.87000012</v>
      </c>
      <c r="E3783" s="35">
        <v>957113</v>
      </c>
      <c r="F3783" s="35">
        <v>385567354.26999998</v>
      </c>
    </row>
    <row r="3784" spans="1:6" x14ac:dyDescent="0.3">
      <c r="A3784" t="s">
        <v>62</v>
      </c>
      <c r="B3784">
        <v>2024</v>
      </c>
      <c r="C3784" t="s">
        <v>12</v>
      </c>
      <c r="D3784" s="35">
        <v>73299119.400000006</v>
      </c>
      <c r="E3784" s="35">
        <v>2117874</v>
      </c>
      <c r="F3784" s="35">
        <v>43165896.090000004</v>
      </c>
    </row>
    <row r="3785" spans="1:6" x14ac:dyDescent="0.3">
      <c r="A3785" t="s">
        <v>62</v>
      </c>
      <c r="B3785">
        <v>2024</v>
      </c>
      <c r="C3785" t="s">
        <v>2</v>
      </c>
      <c r="D3785" s="35">
        <v>339744250.82999992</v>
      </c>
      <c r="E3785" s="35">
        <v>4057537</v>
      </c>
      <c r="F3785" s="35">
        <v>288697412.24000001</v>
      </c>
    </row>
    <row r="3786" spans="1:6" x14ac:dyDescent="0.3">
      <c r="A3786" t="s">
        <v>62</v>
      </c>
      <c r="B3786">
        <v>2024</v>
      </c>
      <c r="C3786" t="s">
        <v>5</v>
      </c>
      <c r="D3786" s="35">
        <v>180596445.33000001</v>
      </c>
      <c r="E3786" s="35">
        <v>85580</v>
      </c>
      <c r="F3786" s="35">
        <v>174088063.75999999</v>
      </c>
    </row>
    <row r="3787" spans="1:6" x14ac:dyDescent="0.3">
      <c r="A3787" t="s">
        <v>62</v>
      </c>
      <c r="B3787">
        <v>2024</v>
      </c>
      <c r="C3787" t="s">
        <v>17</v>
      </c>
      <c r="D3787" s="35">
        <v>6936011.3299999991</v>
      </c>
      <c r="E3787" s="35">
        <v>333054</v>
      </c>
      <c r="F3787" s="35">
        <v>2889242.93</v>
      </c>
    </row>
    <row r="3788" spans="1:6" x14ac:dyDescent="0.3">
      <c r="A3788" t="s">
        <v>62</v>
      </c>
      <c r="B3788">
        <v>2024</v>
      </c>
      <c r="C3788" t="s">
        <v>9</v>
      </c>
      <c r="D3788" s="35">
        <v>80234111.209999993</v>
      </c>
      <c r="E3788" s="35">
        <v>2059037</v>
      </c>
      <c r="F3788" s="35">
        <v>45699496.789999992</v>
      </c>
    </row>
    <row r="3789" spans="1:6" x14ac:dyDescent="0.3">
      <c r="A3789" t="s">
        <v>62</v>
      </c>
      <c r="B3789">
        <v>2024</v>
      </c>
      <c r="C3789" t="s">
        <v>8</v>
      </c>
      <c r="D3789" s="35">
        <v>91283868.140000001</v>
      </c>
      <c r="E3789" s="35">
        <v>4463</v>
      </c>
      <c r="F3789" s="35">
        <v>91186487.959999993</v>
      </c>
    </row>
    <row r="3790" spans="1:6" x14ac:dyDescent="0.3">
      <c r="A3790" t="s">
        <v>62</v>
      </c>
      <c r="B3790">
        <v>2024</v>
      </c>
      <c r="C3790" t="s">
        <v>6</v>
      </c>
      <c r="D3790" s="35">
        <v>129562276.12</v>
      </c>
      <c r="E3790" s="35">
        <v>2804206</v>
      </c>
      <c r="F3790" s="35">
        <v>94871783.420000002</v>
      </c>
    </row>
    <row r="3791" spans="1:6" x14ac:dyDescent="0.3">
      <c r="A3791" t="s">
        <v>62</v>
      </c>
      <c r="B3791">
        <v>2024</v>
      </c>
      <c r="C3791" t="s">
        <v>15</v>
      </c>
      <c r="D3791" s="35">
        <v>19148849.66</v>
      </c>
      <c r="E3791" s="35">
        <v>677710</v>
      </c>
      <c r="F3791" s="35">
        <v>8348771.8300000001</v>
      </c>
    </row>
    <row r="3792" spans="1:6" x14ac:dyDescent="0.3">
      <c r="A3792" t="s">
        <v>62</v>
      </c>
      <c r="B3792">
        <v>2024</v>
      </c>
      <c r="C3792" t="s">
        <v>18</v>
      </c>
      <c r="D3792" s="35">
        <v>8834647.0600000005</v>
      </c>
      <c r="E3792" s="35">
        <v>70704</v>
      </c>
      <c r="F3792" s="35">
        <v>7185327.6600000001</v>
      </c>
    </row>
    <row r="3793" spans="1:6" x14ac:dyDescent="0.3">
      <c r="A3793" t="s">
        <v>62</v>
      </c>
      <c r="B3793">
        <v>2025</v>
      </c>
      <c r="C3793" t="s">
        <v>10</v>
      </c>
      <c r="D3793" s="35">
        <v>93843048.370000005</v>
      </c>
      <c r="E3793" s="35">
        <v>3442048</v>
      </c>
      <c r="F3793" s="35">
        <v>74337307.170000017</v>
      </c>
    </row>
    <row r="3794" spans="1:6" x14ac:dyDescent="0.3">
      <c r="A3794" t="s">
        <v>62</v>
      </c>
      <c r="B3794">
        <v>2025</v>
      </c>
      <c r="C3794" t="s">
        <v>4</v>
      </c>
      <c r="D3794" s="35">
        <v>251326022.03</v>
      </c>
      <c r="E3794" s="35">
        <v>1022285</v>
      </c>
      <c r="F3794" s="35">
        <v>242169334.25999999</v>
      </c>
    </row>
    <row r="3795" spans="1:6" x14ac:dyDescent="0.3">
      <c r="A3795" t="s">
        <v>62</v>
      </c>
      <c r="B3795">
        <v>2025</v>
      </c>
      <c r="C3795" t="s">
        <v>13</v>
      </c>
      <c r="D3795" s="35">
        <v>69425436.13000001</v>
      </c>
      <c r="E3795" s="35">
        <v>1041510</v>
      </c>
      <c r="F3795" s="35">
        <v>58505695.860000022</v>
      </c>
    </row>
    <row r="3796" spans="1:6" x14ac:dyDescent="0.3">
      <c r="A3796" t="s">
        <v>62</v>
      </c>
      <c r="B3796">
        <v>2025</v>
      </c>
      <c r="C3796" t="s">
        <v>16</v>
      </c>
      <c r="D3796" s="35">
        <v>32574924.149999999</v>
      </c>
      <c r="E3796" s="35">
        <v>103962</v>
      </c>
      <c r="F3796" s="35">
        <v>30722742.359999999</v>
      </c>
    </row>
    <row r="3797" spans="1:6" x14ac:dyDescent="0.3">
      <c r="A3797" t="s">
        <v>62</v>
      </c>
      <c r="B3797">
        <v>2025</v>
      </c>
      <c r="C3797" t="s">
        <v>14</v>
      </c>
      <c r="D3797" s="35">
        <v>45338644.909999996</v>
      </c>
      <c r="E3797" s="35">
        <v>1369509</v>
      </c>
      <c r="F3797" s="35">
        <v>33784734.609999999</v>
      </c>
    </row>
    <row r="3798" spans="1:6" x14ac:dyDescent="0.3">
      <c r="A3798" t="s">
        <v>62</v>
      </c>
      <c r="B3798">
        <v>2025</v>
      </c>
      <c r="C3798" t="s">
        <v>7</v>
      </c>
      <c r="D3798" s="35">
        <v>183683902.21000001</v>
      </c>
      <c r="E3798" s="35">
        <v>57614</v>
      </c>
      <c r="F3798" s="35">
        <v>182355915.59999999</v>
      </c>
    </row>
    <row r="3799" spans="1:6" x14ac:dyDescent="0.3">
      <c r="A3799" t="s">
        <v>62</v>
      </c>
      <c r="B3799">
        <v>2025</v>
      </c>
      <c r="C3799" t="s">
        <v>11</v>
      </c>
      <c r="D3799" s="35">
        <v>84618296.139999986</v>
      </c>
      <c r="E3799" s="35">
        <v>100168</v>
      </c>
      <c r="F3799" s="35">
        <v>80103647.640000015</v>
      </c>
    </row>
    <row r="3800" spans="1:6" x14ac:dyDescent="0.3">
      <c r="A3800" t="s">
        <v>62</v>
      </c>
      <c r="B3800">
        <v>2025</v>
      </c>
      <c r="C3800" t="s">
        <v>3</v>
      </c>
      <c r="D3800" s="35">
        <v>384148473.05000001</v>
      </c>
      <c r="E3800" s="35">
        <v>926341</v>
      </c>
      <c r="F3800" s="35">
        <v>375698581.18000013</v>
      </c>
    </row>
    <row r="3801" spans="1:6" x14ac:dyDescent="0.3">
      <c r="A3801" t="s">
        <v>62</v>
      </c>
      <c r="B3801">
        <v>2025</v>
      </c>
      <c r="C3801" t="s">
        <v>12</v>
      </c>
      <c r="D3801" s="35">
        <v>64455111.789999977</v>
      </c>
      <c r="E3801" s="35">
        <v>1989236</v>
      </c>
      <c r="F3801" s="35">
        <v>36644126.149999999</v>
      </c>
    </row>
    <row r="3802" spans="1:6" x14ac:dyDescent="0.3">
      <c r="A3802" t="s">
        <v>62</v>
      </c>
      <c r="B3802">
        <v>2025</v>
      </c>
      <c r="C3802" t="s">
        <v>2</v>
      </c>
      <c r="D3802" s="35">
        <v>342417431.14999998</v>
      </c>
      <c r="E3802" s="35">
        <v>4060336</v>
      </c>
      <c r="F3802" s="35">
        <v>293816663.38</v>
      </c>
    </row>
    <row r="3803" spans="1:6" x14ac:dyDescent="0.3">
      <c r="A3803" t="s">
        <v>62</v>
      </c>
      <c r="B3803">
        <v>2025</v>
      </c>
      <c r="C3803" t="s">
        <v>5</v>
      </c>
      <c r="D3803" s="35">
        <v>162239220.59</v>
      </c>
      <c r="E3803" s="35">
        <v>81343</v>
      </c>
      <c r="F3803" s="35">
        <v>153329142.05000001</v>
      </c>
    </row>
    <row r="3804" spans="1:6" x14ac:dyDescent="0.3">
      <c r="A3804" t="s">
        <v>62</v>
      </c>
      <c r="B3804">
        <v>2025</v>
      </c>
      <c r="C3804" t="s">
        <v>17</v>
      </c>
      <c r="D3804" s="35">
        <v>4728670.2499999991</v>
      </c>
      <c r="E3804" s="35">
        <v>314570</v>
      </c>
      <c r="F3804" s="35">
        <v>3124286.7999999989</v>
      </c>
    </row>
    <row r="3805" spans="1:6" x14ac:dyDescent="0.3">
      <c r="A3805" t="s">
        <v>62</v>
      </c>
      <c r="B3805">
        <v>2025</v>
      </c>
      <c r="C3805" t="s">
        <v>9</v>
      </c>
      <c r="D3805" s="35">
        <v>73468634.359999985</v>
      </c>
      <c r="E3805" s="35">
        <v>2040859</v>
      </c>
      <c r="F3805" s="35">
        <v>42714532.920000002</v>
      </c>
    </row>
    <row r="3806" spans="1:6" x14ac:dyDescent="0.3">
      <c r="A3806" t="s">
        <v>62</v>
      </c>
      <c r="B3806">
        <v>2025</v>
      </c>
      <c r="C3806" t="s">
        <v>8</v>
      </c>
      <c r="D3806" s="35">
        <v>90863133.770000011</v>
      </c>
      <c r="E3806" s="35">
        <v>4263</v>
      </c>
      <c r="F3806" s="35">
        <v>90243416.670000017</v>
      </c>
    </row>
    <row r="3807" spans="1:6" x14ac:dyDescent="0.3">
      <c r="A3807" t="s">
        <v>62</v>
      </c>
      <c r="B3807">
        <v>2025</v>
      </c>
      <c r="C3807" t="s">
        <v>6</v>
      </c>
      <c r="D3807" s="35">
        <v>125037471.66</v>
      </c>
      <c r="E3807" s="35">
        <v>2670773</v>
      </c>
      <c r="F3807" s="35">
        <v>91842058.150000006</v>
      </c>
    </row>
    <row r="3808" spans="1:6" x14ac:dyDescent="0.3">
      <c r="A3808" t="s">
        <v>62</v>
      </c>
      <c r="B3808">
        <v>2025</v>
      </c>
      <c r="C3808" t="s">
        <v>15</v>
      </c>
      <c r="D3808" s="35">
        <v>24354637.399999991</v>
      </c>
      <c r="E3808" s="35">
        <v>563887</v>
      </c>
      <c r="F3808" s="35">
        <v>12306719.310000001</v>
      </c>
    </row>
    <row r="3809" spans="1:6" x14ac:dyDescent="0.3">
      <c r="A3809" t="s">
        <v>62</v>
      </c>
      <c r="B3809">
        <v>2025</v>
      </c>
      <c r="C3809" t="s">
        <v>18</v>
      </c>
      <c r="D3809" s="35">
        <v>6401744.8800000008</v>
      </c>
      <c r="E3809" s="35">
        <v>64093</v>
      </c>
      <c r="F3809" s="35">
        <v>4501611.4400000004</v>
      </c>
    </row>
    <row r="3810" spans="1:6" x14ac:dyDescent="0.3">
      <c r="A3810" t="s">
        <v>63</v>
      </c>
      <c r="B3810">
        <v>2019</v>
      </c>
      <c r="C3810" t="s">
        <v>10</v>
      </c>
      <c r="D3810" s="35">
        <v>15085676.68</v>
      </c>
      <c r="E3810" s="35">
        <v>656966</v>
      </c>
      <c r="F3810" s="35">
        <v>6750514.0199999996</v>
      </c>
    </row>
    <row r="3811" spans="1:6" x14ac:dyDescent="0.3">
      <c r="A3811" t="s">
        <v>63</v>
      </c>
      <c r="B3811">
        <v>2019</v>
      </c>
      <c r="C3811" t="s">
        <v>4</v>
      </c>
      <c r="D3811" s="35">
        <v>62486051.649999999</v>
      </c>
      <c r="E3811" s="35">
        <v>263394</v>
      </c>
      <c r="F3811" s="35">
        <v>60978028.32</v>
      </c>
    </row>
    <row r="3812" spans="1:6" x14ac:dyDescent="0.3">
      <c r="A3812" t="s">
        <v>63</v>
      </c>
      <c r="B3812">
        <v>2019</v>
      </c>
      <c r="C3812" t="s">
        <v>13</v>
      </c>
      <c r="D3812" s="35">
        <v>17242110.02</v>
      </c>
      <c r="E3812" s="35">
        <v>305416</v>
      </c>
      <c r="F3812" s="35">
        <v>11338925.07</v>
      </c>
    </row>
    <row r="3813" spans="1:6" x14ac:dyDescent="0.3">
      <c r="A3813" t="s">
        <v>63</v>
      </c>
      <c r="B3813">
        <v>2019</v>
      </c>
      <c r="C3813" t="s">
        <v>16</v>
      </c>
      <c r="D3813" s="35">
        <v>4896333.4500000011</v>
      </c>
      <c r="E3813" s="35">
        <v>18091</v>
      </c>
      <c r="F3813" s="35">
        <v>4247404.419999999</v>
      </c>
    </row>
    <row r="3814" spans="1:6" x14ac:dyDescent="0.3">
      <c r="A3814" t="s">
        <v>63</v>
      </c>
      <c r="B3814">
        <v>2019</v>
      </c>
      <c r="C3814" t="s">
        <v>14</v>
      </c>
      <c r="D3814" s="35">
        <v>7901683.0399999991</v>
      </c>
      <c r="E3814" s="35">
        <v>283799</v>
      </c>
      <c r="F3814" s="35">
        <v>3708306.88</v>
      </c>
    </row>
    <row r="3815" spans="1:6" x14ac:dyDescent="0.3">
      <c r="A3815" t="s">
        <v>63</v>
      </c>
      <c r="B3815">
        <v>2019</v>
      </c>
      <c r="C3815" t="s">
        <v>7</v>
      </c>
      <c r="D3815" s="35">
        <v>24318319.690000001</v>
      </c>
      <c r="E3815" s="35">
        <v>10520</v>
      </c>
      <c r="F3815" s="35">
        <v>24302718.34</v>
      </c>
    </row>
    <row r="3816" spans="1:6" x14ac:dyDescent="0.3">
      <c r="A3816" t="s">
        <v>63</v>
      </c>
      <c r="B3816">
        <v>2019</v>
      </c>
      <c r="C3816" t="s">
        <v>11</v>
      </c>
      <c r="D3816" s="35">
        <v>12089449.84</v>
      </c>
      <c r="E3816" s="35">
        <v>63820</v>
      </c>
      <c r="F3816" s="35">
        <v>11312559.32</v>
      </c>
    </row>
    <row r="3817" spans="1:6" x14ac:dyDescent="0.3">
      <c r="A3817" t="s">
        <v>63</v>
      </c>
      <c r="B3817">
        <v>2019</v>
      </c>
      <c r="C3817" t="s">
        <v>3</v>
      </c>
      <c r="D3817" s="35">
        <v>45190865.100000001</v>
      </c>
      <c r="E3817" s="35">
        <v>227783</v>
      </c>
      <c r="F3817" s="35">
        <v>41653811.259999998</v>
      </c>
    </row>
    <row r="3818" spans="1:6" x14ac:dyDescent="0.3">
      <c r="A3818" t="s">
        <v>63</v>
      </c>
      <c r="B3818">
        <v>2019</v>
      </c>
      <c r="C3818" t="s">
        <v>12</v>
      </c>
      <c r="D3818" s="35">
        <v>47180714.07</v>
      </c>
      <c r="E3818" s="35">
        <v>581688</v>
      </c>
      <c r="F3818" s="35">
        <v>34651253.009999998</v>
      </c>
    </row>
    <row r="3819" spans="1:6" x14ac:dyDescent="0.3">
      <c r="A3819" t="s">
        <v>63</v>
      </c>
      <c r="B3819">
        <v>2019</v>
      </c>
      <c r="C3819" t="s">
        <v>2</v>
      </c>
      <c r="D3819" s="35">
        <v>52002994.919999987</v>
      </c>
      <c r="E3819" s="35">
        <v>1052991</v>
      </c>
      <c r="F3819" s="35">
        <v>29750199.07</v>
      </c>
    </row>
    <row r="3820" spans="1:6" x14ac:dyDescent="0.3">
      <c r="A3820" t="s">
        <v>63</v>
      </c>
      <c r="B3820">
        <v>2019</v>
      </c>
      <c r="C3820" t="s">
        <v>5</v>
      </c>
      <c r="D3820" s="35">
        <v>20059604.969999999</v>
      </c>
      <c r="E3820" s="35">
        <v>16015</v>
      </c>
      <c r="F3820" s="35">
        <v>18918406.780000001</v>
      </c>
    </row>
    <row r="3821" spans="1:6" x14ac:dyDescent="0.3">
      <c r="A3821" t="s">
        <v>63</v>
      </c>
      <c r="B3821">
        <v>2019</v>
      </c>
      <c r="C3821" t="s">
        <v>17</v>
      </c>
      <c r="D3821" s="35">
        <v>1657497.92</v>
      </c>
      <c r="E3821" s="35">
        <v>70495</v>
      </c>
      <c r="F3821" s="35">
        <v>531642.51</v>
      </c>
    </row>
    <row r="3822" spans="1:6" x14ac:dyDescent="0.3">
      <c r="A3822" t="s">
        <v>63</v>
      </c>
      <c r="B3822">
        <v>2019</v>
      </c>
      <c r="C3822" t="s">
        <v>9</v>
      </c>
      <c r="D3822" s="35">
        <v>29747626.75</v>
      </c>
      <c r="E3822" s="35">
        <v>710533</v>
      </c>
      <c r="F3822" s="35">
        <v>14577970.34</v>
      </c>
    </row>
    <row r="3823" spans="1:6" x14ac:dyDescent="0.3">
      <c r="A3823" t="s">
        <v>63</v>
      </c>
      <c r="B3823">
        <v>2019</v>
      </c>
      <c r="C3823" t="s">
        <v>8</v>
      </c>
      <c r="D3823" s="35">
        <v>5328928.0499999989</v>
      </c>
      <c r="E3823" s="35">
        <v>813</v>
      </c>
      <c r="F3823" s="35">
        <v>5328928.0499999989</v>
      </c>
    </row>
    <row r="3824" spans="1:6" x14ac:dyDescent="0.3">
      <c r="A3824" t="s">
        <v>63</v>
      </c>
      <c r="B3824">
        <v>2019</v>
      </c>
      <c r="C3824" t="s">
        <v>6</v>
      </c>
      <c r="D3824" s="35">
        <v>40075949.310000002</v>
      </c>
      <c r="E3824" s="35">
        <v>657163</v>
      </c>
      <c r="F3824" s="35">
        <v>33260591.760000002</v>
      </c>
    </row>
    <row r="3825" spans="1:6" x14ac:dyDescent="0.3">
      <c r="A3825" t="s">
        <v>63</v>
      </c>
      <c r="B3825">
        <v>2019</v>
      </c>
      <c r="C3825" t="s">
        <v>15</v>
      </c>
      <c r="D3825" s="35">
        <v>8405724.5899999999</v>
      </c>
      <c r="E3825" s="35">
        <v>288554</v>
      </c>
      <c r="F3825" s="35">
        <v>3081734.26</v>
      </c>
    </row>
    <row r="3826" spans="1:6" x14ac:dyDescent="0.3">
      <c r="A3826" t="s">
        <v>63</v>
      </c>
      <c r="B3826">
        <v>2019</v>
      </c>
      <c r="C3826" t="s">
        <v>18</v>
      </c>
      <c r="D3826" s="35">
        <v>1381775.06</v>
      </c>
      <c r="E3826" s="35">
        <v>43489</v>
      </c>
      <c r="F3826" s="35">
        <v>748408.57</v>
      </c>
    </row>
    <row r="3827" spans="1:6" x14ac:dyDescent="0.3">
      <c r="A3827" t="s">
        <v>63</v>
      </c>
      <c r="B3827">
        <v>2020</v>
      </c>
      <c r="C3827" t="s">
        <v>10</v>
      </c>
      <c r="D3827" s="35">
        <v>15149228.26</v>
      </c>
      <c r="E3827" s="35">
        <v>636826</v>
      </c>
      <c r="F3827" s="35">
        <v>9338119.3000000007</v>
      </c>
    </row>
    <row r="3828" spans="1:6" x14ac:dyDescent="0.3">
      <c r="A3828" t="s">
        <v>63</v>
      </c>
      <c r="B3828">
        <v>2020</v>
      </c>
      <c r="C3828" t="s">
        <v>4</v>
      </c>
      <c r="D3828" s="35">
        <v>70161975.35999997</v>
      </c>
      <c r="E3828" s="35">
        <v>260762</v>
      </c>
      <c r="F3828" s="35">
        <v>69191844.339999989</v>
      </c>
    </row>
    <row r="3829" spans="1:6" x14ac:dyDescent="0.3">
      <c r="A3829" t="s">
        <v>63</v>
      </c>
      <c r="B3829">
        <v>2020</v>
      </c>
      <c r="C3829" t="s">
        <v>13</v>
      </c>
      <c r="D3829" s="35">
        <v>16041534.68</v>
      </c>
      <c r="E3829" s="35">
        <v>295675</v>
      </c>
      <c r="F3829" s="35">
        <v>10288797.199999999</v>
      </c>
    </row>
    <row r="3830" spans="1:6" x14ac:dyDescent="0.3">
      <c r="A3830" t="s">
        <v>63</v>
      </c>
      <c r="B3830">
        <v>2020</v>
      </c>
      <c r="C3830" t="s">
        <v>16</v>
      </c>
      <c r="D3830" s="35">
        <v>5523780.169999999</v>
      </c>
      <c r="E3830" s="35">
        <v>18487</v>
      </c>
      <c r="F3830" s="35">
        <v>4835971.4899999993</v>
      </c>
    </row>
    <row r="3831" spans="1:6" x14ac:dyDescent="0.3">
      <c r="A3831" t="s">
        <v>63</v>
      </c>
      <c r="B3831">
        <v>2020</v>
      </c>
      <c r="C3831" t="s">
        <v>14</v>
      </c>
      <c r="D3831" s="35">
        <v>6685554.9500000002</v>
      </c>
      <c r="E3831" s="35">
        <v>272353</v>
      </c>
      <c r="F3831" s="35">
        <v>3218763.12</v>
      </c>
    </row>
    <row r="3832" spans="1:6" x14ac:dyDescent="0.3">
      <c r="A3832" t="s">
        <v>63</v>
      </c>
      <c r="B3832">
        <v>2020</v>
      </c>
      <c r="C3832" t="s">
        <v>7</v>
      </c>
      <c r="D3832" s="35">
        <v>27186315.93</v>
      </c>
      <c r="E3832" s="35">
        <v>10852</v>
      </c>
      <c r="F3832" s="35">
        <v>26849368.399999999</v>
      </c>
    </row>
    <row r="3833" spans="1:6" x14ac:dyDescent="0.3">
      <c r="A3833" t="s">
        <v>63</v>
      </c>
      <c r="B3833">
        <v>2020</v>
      </c>
      <c r="C3833" t="s">
        <v>11</v>
      </c>
      <c r="D3833" s="35">
        <v>14181153.140000001</v>
      </c>
      <c r="E3833" s="35">
        <v>92697</v>
      </c>
      <c r="F3833" s="35">
        <v>13630254.57</v>
      </c>
    </row>
    <row r="3834" spans="1:6" x14ac:dyDescent="0.3">
      <c r="A3834" t="s">
        <v>63</v>
      </c>
      <c r="B3834">
        <v>2020</v>
      </c>
      <c r="C3834" t="s">
        <v>3</v>
      </c>
      <c r="D3834" s="35">
        <v>56762590.669999979</v>
      </c>
      <c r="E3834" s="35">
        <v>195588</v>
      </c>
      <c r="F3834" s="35">
        <v>54315059.140000001</v>
      </c>
    </row>
    <row r="3835" spans="1:6" x14ac:dyDescent="0.3">
      <c r="A3835" t="s">
        <v>63</v>
      </c>
      <c r="B3835">
        <v>2020</v>
      </c>
      <c r="C3835" t="s">
        <v>12</v>
      </c>
      <c r="D3835" s="35">
        <v>31829937.52999999</v>
      </c>
      <c r="E3835" s="35">
        <v>440133</v>
      </c>
      <c r="F3835" s="35">
        <v>24956567.920000002</v>
      </c>
    </row>
    <row r="3836" spans="1:6" x14ac:dyDescent="0.3">
      <c r="A3836" t="s">
        <v>63</v>
      </c>
      <c r="B3836">
        <v>2020</v>
      </c>
      <c r="C3836" t="s">
        <v>2</v>
      </c>
      <c r="D3836" s="35">
        <v>49899364.280000024</v>
      </c>
      <c r="E3836" s="35">
        <v>1041924</v>
      </c>
      <c r="F3836" s="35">
        <v>34951088.049999997</v>
      </c>
    </row>
    <row r="3837" spans="1:6" x14ac:dyDescent="0.3">
      <c r="A3837" t="s">
        <v>63</v>
      </c>
      <c r="B3837">
        <v>2020</v>
      </c>
      <c r="C3837" t="s">
        <v>5</v>
      </c>
      <c r="D3837" s="35">
        <v>22579218.52999999</v>
      </c>
      <c r="E3837" s="35">
        <v>18388</v>
      </c>
      <c r="F3837" s="35">
        <v>21638560.960000001</v>
      </c>
    </row>
    <row r="3838" spans="1:6" x14ac:dyDescent="0.3">
      <c r="A3838" t="s">
        <v>63</v>
      </c>
      <c r="B3838">
        <v>2020</v>
      </c>
      <c r="C3838" t="s">
        <v>17</v>
      </c>
      <c r="D3838" s="35">
        <v>1431061.53</v>
      </c>
      <c r="E3838" s="35">
        <v>70451</v>
      </c>
      <c r="F3838" s="35">
        <v>584516.86</v>
      </c>
    </row>
    <row r="3839" spans="1:6" x14ac:dyDescent="0.3">
      <c r="A3839" t="s">
        <v>63</v>
      </c>
      <c r="B3839">
        <v>2020</v>
      </c>
      <c r="C3839" t="s">
        <v>9</v>
      </c>
      <c r="D3839" s="35">
        <v>27279148.969999999</v>
      </c>
      <c r="E3839" s="35">
        <v>632968</v>
      </c>
      <c r="F3839" s="35">
        <v>10712953.07</v>
      </c>
    </row>
    <row r="3840" spans="1:6" x14ac:dyDescent="0.3">
      <c r="A3840" t="s">
        <v>63</v>
      </c>
      <c r="B3840">
        <v>2020</v>
      </c>
      <c r="C3840" t="s">
        <v>8</v>
      </c>
      <c r="D3840" s="35">
        <v>9255068.0500000007</v>
      </c>
      <c r="E3840" s="35">
        <v>955</v>
      </c>
      <c r="F3840" s="35">
        <v>9255068.0500000007</v>
      </c>
    </row>
    <row r="3841" spans="1:6" x14ac:dyDescent="0.3">
      <c r="A3841" t="s">
        <v>63</v>
      </c>
      <c r="B3841">
        <v>2020</v>
      </c>
      <c r="C3841" t="s">
        <v>6</v>
      </c>
      <c r="D3841" s="35">
        <v>36265637.580000013</v>
      </c>
      <c r="E3841" s="35">
        <v>616409</v>
      </c>
      <c r="F3841" s="35">
        <v>31026448.030000001</v>
      </c>
    </row>
    <row r="3842" spans="1:6" x14ac:dyDescent="0.3">
      <c r="A3842" t="s">
        <v>63</v>
      </c>
      <c r="B3842">
        <v>2020</v>
      </c>
      <c r="C3842" t="s">
        <v>15</v>
      </c>
      <c r="D3842" s="35">
        <v>4328351.6900000004</v>
      </c>
      <c r="E3842" s="35">
        <v>193019</v>
      </c>
      <c r="F3842" s="35">
        <v>1432433.49</v>
      </c>
    </row>
    <row r="3843" spans="1:6" x14ac:dyDescent="0.3">
      <c r="A3843" t="s">
        <v>63</v>
      </c>
      <c r="B3843">
        <v>2020</v>
      </c>
      <c r="C3843" t="s">
        <v>18</v>
      </c>
      <c r="D3843" s="35">
        <v>1307798.1000000001</v>
      </c>
      <c r="E3843" s="35">
        <v>53673</v>
      </c>
      <c r="F3843" s="35">
        <v>756498.37</v>
      </c>
    </row>
    <row r="3844" spans="1:6" x14ac:dyDescent="0.3">
      <c r="A3844" t="s">
        <v>63</v>
      </c>
      <c r="B3844">
        <v>2021</v>
      </c>
      <c r="C3844" t="s">
        <v>10</v>
      </c>
      <c r="D3844" s="35">
        <v>26418929.710000001</v>
      </c>
      <c r="E3844" s="35">
        <v>603416</v>
      </c>
      <c r="F3844" s="35">
        <v>12790248.119999999</v>
      </c>
    </row>
    <row r="3845" spans="1:6" x14ac:dyDescent="0.3">
      <c r="A3845" t="s">
        <v>63</v>
      </c>
      <c r="B3845">
        <v>2021</v>
      </c>
      <c r="C3845" t="s">
        <v>4</v>
      </c>
      <c r="D3845" s="35">
        <v>68613846.410000011</v>
      </c>
      <c r="E3845" s="35">
        <v>241034</v>
      </c>
      <c r="F3845" s="35">
        <v>64043662.54999999</v>
      </c>
    </row>
    <row r="3846" spans="1:6" x14ac:dyDescent="0.3">
      <c r="A3846" t="s">
        <v>63</v>
      </c>
      <c r="B3846">
        <v>2021</v>
      </c>
      <c r="C3846" t="s">
        <v>13</v>
      </c>
      <c r="D3846" s="35">
        <v>17395520.289999999</v>
      </c>
      <c r="E3846" s="35">
        <v>268863</v>
      </c>
      <c r="F3846" s="35">
        <v>9642040.2899999991</v>
      </c>
    </row>
    <row r="3847" spans="1:6" x14ac:dyDescent="0.3">
      <c r="A3847" t="s">
        <v>63</v>
      </c>
      <c r="B3847">
        <v>2021</v>
      </c>
      <c r="C3847" t="s">
        <v>16</v>
      </c>
      <c r="D3847" s="35">
        <v>7171185.1799999997</v>
      </c>
      <c r="E3847" s="35">
        <v>22780</v>
      </c>
      <c r="F3847" s="35">
        <v>5990252.0199999996</v>
      </c>
    </row>
    <row r="3848" spans="1:6" x14ac:dyDescent="0.3">
      <c r="A3848" t="s">
        <v>63</v>
      </c>
      <c r="B3848">
        <v>2021</v>
      </c>
      <c r="C3848" t="s">
        <v>14</v>
      </c>
      <c r="D3848" s="35">
        <v>11403501.630000001</v>
      </c>
      <c r="E3848" s="35">
        <v>299328</v>
      </c>
      <c r="F3848" s="35">
        <v>3844001.54</v>
      </c>
    </row>
    <row r="3849" spans="1:6" x14ac:dyDescent="0.3">
      <c r="A3849" t="s">
        <v>63</v>
      </c>
      <c r="B3849">
        <v>2021</v>
      </c>
      <c r="C3849" t="s">
        <v>7</v>
      </c>
      <c r="D3849" s="35">
        <v>21118955.210000001</v>
      </c>
      <c r="E3849" s="35">
        <v>8948</v>
      </c>
      <c r="F3849" s="35">
        <v>20641978.550000001</v>
      </c>
    </row>
    <row r="3850" spans="1:6" x14ac:dyDescent="0.3">
      <c r="A3850" t="s">
        <v>63</v>
      </c>
      <c r="B3850">
        <v>2021</v>
      </c>
      <c r="C3850" t="s">
        <v>11</v>
      </c>
      <c r="D3850" s="35">
        <v>14904819.49</v>
      </c>
      <c r="E3850" s="35">
        <v>97801</v>
      </c>
      <c r="F3850" s="35">
        <v>14316546.59</v>
      </c>
    </row>
    <row r="3851" spans="1:6" x14ac:dyDescent="0.3">
      <c r="A3851" t="s">
        <v>63</v>
      </c>
      <c r="B3851">
        <v>2021</v>
      </c>
      <c r="C3851" t="s">
        <v>3</v>
      </c>
      <c r="D3851" s="35">
        <v>64015767.030000009</v>
      </c>
      <c r="E3851" s="35">
        <v>220457</v>
      </c>
      <c r="F3851" s="35">
        <v>59830430.289999999</v>
      </c>
    </row>
    <row r="3852" spans="1:6" x14ac:dyDescent="0.3">
      <c r="A3852" t="s">
        <v>63</v>
      </c>
      <c r="B3852">
        <v>2021</v>
      </c>
      <c r="C3852" t="s">
        <v>12</v>
      </c>
      <c r="D3852" s="35">
        <v>30996309.669999991</v>
      </c>
      <c r="E3852" s="35">
        <v>478149</v>
      </c>
      <c r="F3852" s="35">
        <v>19905596</v>
      </c>
    </row>
    <row r="3853" spans="1:6" x14ac:dyDescent="0.3">
      <c r="A3853" t="s">
        <v>63</v>
      </c>
      <c r="B3853">
        <v>2021</v>
      </c>
      <c r="C3853" t="s">
        <v>2</v>
      </c>
      <c r="D3853" s="35">
        <v>56540852.270000003</v>
      </c>
      <c r="E3853" s="35">
        <v>1053084</v>
      </c>
      <c r="F3853" s="35">
        <v>37100202.159999996</v>
      </c>
    </row>
    <row r="3854" spans="1:6" x14ac:dyDescent="0.3">
      <c r="A3854" t="s">
        <v>63</v>
      </c>
      <c r="B3854">
        <v>2021</v>
      </c>
      <c r="C3854" t="s">
        <v>5</v>
      </c>
      <c r="D3854" s="35">
        <v>23492282.43</v>
      </c>
      <c r="E3854" s="35">
        <v>18603</v>
      </c>
      <c r="F3854" s="35">
        <v>22447698.100000001</v>
      </c>
    </row>
    <row r="3855" spans="1:6" x14ac:dyDescent="0.3">
      <c r="A3855" t="s">
        <v>63</v>
      </c>
      <c r="B3855">
        <v>2021</v>
      </c>
      <c r="C3855" t="s">
        <v>17</v>
      </c>
      <c r="D3855" s="35">
        <v>3321770.879999999</v>
      </c>
      <c r="E3855" s="35">
        <v>76212</v>
      </c>
      <c r="F3855" s="35">
        <v>777013.75</v>
      </c>
    </row>
    <row r="3856" spans="1:6" x14ac:dyDescent="0.3">
      <c r="A3856" t="s">
        <v>63</v>
      </c>
      <c r="B3856">
        <v>2021</v>
      </c>
      <c r="C3856" t="s">
        <v>9</v>
      </c>
      <c r="D3856" s="35">
        <v>31547068.07</v>
      </c>
      <c r="E3856" s="35">
        <v>599481</v>
      </c>
      <c r="F3856" s="35">
        <v>9648649.1899999995</v>
      </c>
    </row>
    <row r="3857" spans="1:6" x14ac:dyDescent="0.3">
      <c r="A3857" t="s">
        <v>63</v>
      </c>
      <c r="B3857">
        <v>2021</v>
      </c>
      <c r="C3857" t="s">
        <v>8</v>
      </c>
      <c r="D3857" s="35">
        <v>10845180.91</v>
      </c>
      <c r="E3857" s="35">
        <v>976</v>
      </c>
      <c r="F3857" s="35">
        <v>10845180.91</v>
      </c>
    </row>
    <row r="3858" spans="1:6" x14ac:dyDescent="0.3">
      <c r="A3858" t="s">
        <v>63</v>
      </c>
      <c r="B3858">
        <v>2021</v>
      </c>
      <c r="C3858" t="s">
        <v>6</v>
      </c>
      <c r="D3858" s="35">
        <v>39184048.000000007</v>
      </c>
      <c r="E3858" s="35">
        <v>597164</v>
      </c>
      <c r="F3858" s="35">
        <v>28240587.469999999</v>
      </c>
    </row>
    <row r="3859" spans="1:6" x14ac:dyDescent="0.3">
      <c r="A3859" t="s">
        <v>63</v>
      </c>
      <c r="B3859">
        <v>2021</v>
      </c>
      <c r="C3859" t="s">
        <v>15</v>
      </c>
      <c r="D3859" s="35">
        <v>10423984.57</v>
      </c>
      <c r="E3859" s="35">
        <v>189736</v>
      </c>
      <c r="F3859" s="35">
        <v>3662201.74</v>
      </c>
    </row>
    <row r="3860" spans="1:6" x14ac:dyDescent="0.3">
      <c r="A3860" t="s">
        <v>63</v>
      </c>
      <c r="B3860">
        <v>2021</v>
      </c>
      <c r="C3860" t="s">
        <v>18</v>
      </c>
      <c r="D3860" s="35">
        <v>1479044.35</v>
      </c>
      <c r="E3860" s="35">
        <v>38497</v>
      </c>
      <c r="F3860" s="35">
        <v>604936.68999999994</v>
      </c>
    </row>
    <row r="3861" spans="1:6" x14ac:dyDescent="0.3">
      <c r="A3861" t="s">
        <v>63</v>
      </c>
      <c r="B3861">
        <v>2022</v>
      </c>
      <c r="C3861" t="s">
        <v>10</v>
      </c>
      <c r="D3861" s="35">
        <v>34821476.130000003</v>
      </c>
      <c r="E3861" s="35">
        <v>668649</v>
      </c>
      <c r="F3861" s="35">
        <v>16863880.77</v>
      </c>
    </row>
    <row r="3862" spans="1:6" x14ac:dyDescent="0.3">
      <c r="A3862" t="s">
        <v>63</v>
      </c>
      <c r="B3862">
        <v>2022</v>
      </c>
      <c r="C3862" t="s">
        <v>4</v>
      </c>
      <c r="D3862" s="35">
        <v>80839232.979999989</v>
      </c>
      <c r="E3862" s="35">
        <v>280646</v>
      </c>
      <c r="F3862" s="35">
        <v>74748525.310000002</v>
      </c>
    </row>
    <row r="3863" spans="1:6" x14ac:dyDescent="0.3">
      <c r="A3863" t="s">
        <v>63</v>
      </c>
      <c r="B3863">
        <v>2022</v>
      </c>
      <c r="C3863" t="s">
        <v>13</v>
      </c>
      <c r="D3863" s="35">
        <v>18813994.890000001</v>
      </c>
      <c r="E3863" s="35">
        <v>290738</v>
      </c>
      <c r="F3863" s="35">
        <v>10215258.800000001</v>
      </c>
    </row>
    <row r="3864" spans="1:6" x14ac:dyDescent="0.3">
      <c r="A3864" t="s">
        <v>63</v>
      </c>
      <c r="B3864">
        <v>2022</v>
      </c>
      <c r="C3864" t="s">
        <v>16</v>
      </c>
      <c r="D3864" s="35">
        <v>7803104.1900000004</v>
      </c>
      <c r="E3864" s="35">
        <v>24557</v>
      </c>
      <c r="F3864" s="35">
        <v>6638186.0099999998</v>
      </c>
    </row>
    <row r="3865" spans="1:6" x14ac:dyDescent="0.3">
      <c r="A3865" t="s">
        <v>63</v>
      </c>
      <c r="B3865">
        <v>2022</v>
      </c>
      <c r="C3865" t="s">
        <v>14</v>
      </c>
      <c r="D3865" s="35">
        <v>14564150.1</v>
      </c>
      <c r="E3865" s="35">
        <v>366167</v>
      </c>
      <c r="F3865" s="35">
        <v>4699754.2799999993</v>
      </c>
    </row>
    <row r="3866" spans="1:6" x14ac:dyDescent="0.3">
      <c r="A3866" t="s">
        <v>63</v>
      </c>
      <c r="B3866">
        <v>2022</v>
      </c>
      <c r="C3866" t="s">
        <v>7</v>
      </c>
      <c r="D3866" s="35">
        <v>20400557.73</v>
      </c>
      <c r="E3866" s="35">
        <v>8581</v>
      </c>
      <c r="F3866" s="35">
        <v>20231931.670000002</v>
      </c>
    </row>
    <row r="3867" spans="1:6" x14ac:dyDescent="0.3">
      <c r="A3867" t="s">
        <v>63</v>
      </c>
      <c r="B3867">
        <v>2022</v>
      </c>
      <c r="C3867" t="s">
        <v>11</v>
      </c>
      <c r="D3867" s="35">
        <v>19094776.010000002</v>
      </c>
      <c r="E3867" s="35">
        <v>86783</v>
      </c>
      <c r="F3867" s="35">
        <v>18229412.989999998</v>
      </c>
    </row>
    <row r="3868" spans="1:6" x14ac:dyDescent="0.3">
      <c r="A3868" t="s">
        <v>63</v>
      </c>
      <c r="B3868">
        <v>2022</v>
      </c>
      <c r="C3868" t="s">
        <v>3</v>
      </c>
      <c r="D3868" s="35">
        <v>89502459.189999998</v>
      </c>
      <c r="E3868" s="35">
        <v>280990</v>
      </c>
      <c r="F3868" s="35">
        <v>84180719.940000013</v>
      </c>
    </row>
    <row r="3869" spans="1:6" x14ac:dyDescent="0.3">
      <c r="A3869" t="s">
        <v>63</v>
      </c>
      <c r="B3869">
        <v>2022</v>
      </c>
      <c r="C3869" t="s">
        <v>12</v>
      </c>
      <c r="D3869" s="35">
        <v>36558175.189999998</v>
      </c>
      <c r="E3869" s="35">
        <v>659958</v>
      </c>
      <c r="F3869" s="35">
        <v>21616381</v>
      </c>
    </row>
    <row r="3870" spans="1:6" x14ac:dyDescent="0.3">
      <c r="A3870" t="s">
        <v>63</v>
      </c>
      <c r="B3870">
        <v>2022</v>
      </c>
      <c r="C3870" t="s">
        <v>2</v>
      </c>
      <c r="D3870" s="35">
        <v>70693933.25999999</v>
      </c>
      <c r="E3870" s="35">
        <v>1167191</v>
      </c>
      <c r="F3870" s="35">
        <v>48732608.609999999</v>
      </c>
    </row>
    <row r="3871" spans="1:6" x14ac:dyDescent="0.3">
      <c r="A3871" t="s">
        <v>63</v>
      </c>
      <c r="B3871">
        <v>2022</v>
      </c>
      <c r="C3871" t="s">
        <v>5</v>
      </c>
      <c r="D3871" s="35">
        <v>26764791.219999999</v>
      </c>
      <c r="E3871" s="35">
        <v>21700</v>
      </c>
      <c r="F3871" s="35">
        <v>25900807.719999999</v>
      </c>
    </row>
    <row r="3872" spans="1:6" x14ac:dyDescent="0.3">
      <c r="A3872" t="s">
        <v>63</v>
      </c>
      <c r="B3872">
        <v>2022</v>
      </c>
      <c r="C3872" t="s">
        <v>17</v>
      </c>
      <c r="D3872" s="35">
        <v>3906677.4499999988</v>
      </c>
      <c r="E3872" s="35">
        <v>103905</v>
      </c>
      <c r="F3872" s="35">
        <v>886603.75999999989</v>
      </c>
    </row>
    <row r="3873" spans="1:6" x14ac:dyDescent="0.3">
      <c r="A3873" t="s">
        <v>63</v>
      </c>
      <c r="B3873">
        <v>2022</v>
      </c>
      <c r="C3873" t="s">
        <v>9</v>
      </c>
      <c r="D3873" s="35">
        <v>36958196.479999997</v>
      </c>
      <c r="E3873" s="35">
        <v>717742</v>
      </c>
      <c r="F3873" s="35">
        <v>9542607.2299999986</v>
      </c>
    </row>
    <row r="3874" spans="1:6" x14ac:dyDescent="0.3">
      <c r="A3874" t="s">
        <v>63</v>
      </c>
      <c r="B3874">
        <v>2022</v>
      </c>
      <c r="C3874" t="s">
        <v>8</v>
      </c>
      <c r="D3874" s="35">
        <v>13198460.279999999</v>
      </c>
      <c r="E3874" s="35">
        <v>1175</v>
      </c>
      <c r="F3874" s="35">
        <v>13198460.279999999</v>
      </c>
    </row>
    <row r="3875" spans="1:6" x14ac:dyDescent="0.3">
      <c r="A3875" t="s">
        <v>63</v>
      </c>
      <c r="B3875">
        <v>2022</v>
      </c>
      <c r="C3875" t="s">
        <v>6</v>
      </c>
      <c r="D3875" s="35">
        <v>48350442.640000001</v>
      </c>
      <c r="E3875" s="35">
        <v>747104</v>
      </c>
      <c r="F3875" s="35">
        <v>31625548.210000001</v>
      </c>
    </row>
    <row r="3876" spans="1:6" x14ac:dyDescent="0.3">
      <c r="A3876" t="s">
        <v>63</v>
      </c>
      <c r="B3876">
        <v>2022</v>
      </c>
      <c r="C3876" t="s">
        <v>15</v>
      </c>
      <c r="D3876" s="35">
        <v>10218761.220000001</v>
      </c>
      <c r="E3876" s="35">
        <v>189583</v>
      </c>
      <c r="F3876" s="35">
        <v>1508851.76</v>
      </c>
    </row>
    <row r="3877" spans="1:6" x14ac:dyDescent="0.3">
      <c r="A3877" t="s">
        <v>63</v>
      </c>
      <c r="B3877">
        <v>2022</v>
      </c>
      <c r="C3877" t="s">
        <v>18</v>
      </c>
      <c r="D3877" s="35">
        <v>2517112.34</v>
      </c>
      <c r="E3877" s="35">
        <v>33264</v>
      </c>
      <c r="F3877" s="35">
        <v>1427493.12</v>
      </c>
    </row>
    <row r="3878" spans="1:6" x14ac:dyDescent="0.3">
      <c r="A3878" t="s">
        <v>63</v>
      </c>
      <c r="B3878">
        <v>2023</v>
      </c>
      <c r="C3878" t="s">
        <v>10</v>
      </c>
      <c r="D3878" s="35">
        <v>39028377.459999993</v>
      </c>
      <c r="E3878" s="35">
        <v>633877</v>
      </c>
      <c r="F3878" s="35">
        <v>18980344.50999999</v>
      </c>
    </row>
    <row r="3879" spans="1:6" x14ac:dyDescent="0.3">
      <c r="A3879" t="s">
        <v>63</v>
      </c>
      <c r="B3879">
        <v>2023</v>
      </c>
      <c r="C3879" t="s">
        <v>4</v>
      </c>
      <c r="D3879" s="35">
        <v>94147696.020000011</v>
      </c>
      <c r="E3879" s="35">
        <v>281968</v>
      </c>
      <c r="F3879" s="35">
        <v>87783734.12000002</v>
      </c>
    </row>
    <row r="3880" spans="1:6" x14ac:dyDescent="0.3">
      <c r="A3880" t="s">
        <v>63</v>
      </c>
      <c r="B3880">
        <v>2023</v>
      </c>
      <c r="C3880" t="s">
        <v>13</v>
      </c>
      <c r="D3880" s="35">
        <v>19948506.170000002</v>
      </c>
      <c r="E3880" s="35">
        <v>289021</v>
      </c>
      <c r="F3880" s="35">
        <v>10807132.85</v>
      </c>
    </row>
    <row r="3881" spans="1:6" x14ac:dyDescent="0.3">
      <c r="A3881" t="s">
        <v>63</v>
      </c>
      <c r="B3881">
        <v>2023</v>
      </c>
      <c r="C3881" t="s">
        <v>16</v>
      </c>
      <c r="D3881" s="35">
        <v>9025837.9100000001</v>
      </c>
      <c r="E3881" s="35">
        <v>24719</v>
      </c>
      <c r="F3881" s="35">
        <v>7694575.5899999999</v>
      </c>
    </row>
    <row r="3882" spans="1:6" x14ac:dyDescent="0.3">
      <c r="A3882" t="s">
        <v>63</v>
      </c>
      <c r="B3882">
        <v>2023</v>
      </c>
      <c r="C3882" t="s">
        <v>14</v>
      </c>
      <c r="D3882" s="35">
        <v>15711270.640000001</v>
      </c>
      <c r="E3882" s="35">
        <v>368769</v>
      </c>
      <c r="F3882" s="35">
        <v>5027743.5999999996</v>
      </c>
    </row>
    <row r="3883" spans="1:6" x14ac:dyDescent="0.3">
      <c r="A3883" t="s">
        <v>63</v>
      </c>
      <c r="B3883">
        <v>2023</v>
      </c>
      <c r="C3883" t="s">
        <v>7</v>
      </c>
      <c r="D3883" s="35">
        <v>20404120.48</v>
      </c>
      <c r="E3883" s="35">
        <v>8268</v>
      </c>
      <c r="F3883" s="35">
        <v>20251931.91</v>
      </c>
    </row>
    <row r="3884" spans="1:6" x14ac:dyDescent="0.3">
      <c r="A3884" t="s">
        <v>63</v>
      </c>
      <c r="B3884">
        <v>2023</v>
      </c>
      <c r="C3884" t="s">
        <v>11</v>
      </c>
      <c r="D3884" s="35">
        <v>16488621.029999999</v>
      </c>
      <c r="E3884" s="35">
        <v>79703</v>
      </c>
      <c r="F3884" s="35">
        <v>15674733.189999999</v>
      </c>
    </row>
    <row r="3885" spans="1:6" x14ac:dyDescent="0.3">
      <c r="A3885" t="s">
        <v>63</v>
      </c>
      <c r="B3885">
        <v>2023</v>
      </c>
      <c r="C3885" t="s">
        <v>3</v>
      </c>
      <c r="D3885" s="35">
        <v>102632927.34999999</v>
      </c>
      <c r="E3885" s="35">
        <v>271174</v>
      </c>
      <c r="F3885" s="35">
        <v>96489818.220000014</v>
      </c>
    </row>
    <row r="3886" spans="1:6" x14ac:dyDescent="0.3">
      <c r="A3886" t="s">
        <v>63</v>
      </c>
      <c r="B3886">
        <v>2023</v>
      </c>
      <c r="C3886" t="s">
        <v>12</v>
      </c>
      <c r="D3886" s="35">
        <v>40086734.109999999</v>
      </c>
      <c r="E3886" s="35">
        <v>651327</v>
      </c>
      <c r="F3886" s="35">
        <v>22999074.66</v>
      </c>
    </row>
    <row r="3887" spans="1:6" x14ac:dyDescent="0.3">
      <c r="A3887" t="s">
        <v>63</v>
      </c>
      <c r="B3887">
        <v>2023</v>
      </c>
      <c r="C3887" t="s">
        <v>2</v>
      </c>
      <c r="D3887" s="35">
        <v>71700424.339999989</v>
      </c>
      <c r="E3887" s="35">
        <v>1137042</v>
      </c>
      <c r="F3887" s="35">
        <v>46624672.179999977</v>
      </c>
    </row>
    <row r="3888" spans="1:6" x14ac:dyDescent="0.3">
      <c r="A3888" t="s">
        <v>63</v>
      </c>
      <c r="B3888">
        <v>2023</v>
      </c>
      <c r="C3888" t="s">
        <v>5</v>
      </c>
      <c r="D3888" s="35">
        <v>31285804.25</v>
      </c>
      <c r="E3888" s="35">
        <v>22237</v>
      </c>
      <c r="F3888" s="35">
        <v>30436854.940000001</v>
      </c>
    </row>
    <row r="3889" spans="1:6" x14ac:dyDescent="0.3">
      <c r="A3889" t="s">
        <v>63</v>
      </c>
      <c r="B3889">
        <v>2023</v>
      </c>
      <c r="C3889" t="s">
        <v>17</v>
      </c>
      <c r="D3889" s="35">
        <v>3870231.399999999</v>
      </c>
      <c r="E3889" s="35">
        <v>107862</v>
      </c>
      <c r="F3889" s="35">
        <v>853127.74</v>
      </c>
    </row>
    <row r="3890" spans="1:6" x14ac:dyDescent="0.3">
      <c r="A3890" t="s">
        <v>63</v>
      </c>
      <c r="B3890">
        <v>2023</v>
      </c>
      <c r="C3890" t="s">
        <v>9</v>
      </c>
      <c r="D3890" s="35">
        <v>43145918.329999998</v>
      </c>
      <c r="E3890" s="35">
        <v>696033</v>
      </c>
      <c r="F3890" s="35">
        <v>11794106.640000001</v>
      </c>
    </row>
    <row r="3891" spans="1:6" x14ac:dyDescent="0.3">
      <c r="A3891" t="s">
        <v>63</v>
      </c>
      <c r="B3891">
        <v>2023</v>
      </c>
      <c r="C3891" t="s">
        <v>8</v>
      </c>
      <c r="D3891" s="35">
        <v>12955393.07</v>
      </c>
      <c r="E3891" s="35">
        <v>1030</v>
      </c>
      <c r="F3891" s="35">
        <v>12955393.07</v>
      </c>
    </row>
    <row r="3892" spans="1:6" x14ac:dyDescent="0.3">
      <c r="A3892" t="s">
        <v>63</v>
      </c>
      <c r="B3892">
        <v>2023</v>
      </c>
      <c r="C3892" t="s">
        <v>6</v>
      </c>
      <c r="D3892" s="35">
        <v>49368567.350000001</v>
      </c>
      <c r="E3892" s="35">
        <v>693684</v>
      </c>
      <c r="F3892" s="35">
        <v>30748423.039999999</v>
      </c>
    </row>
    <row r="3893" spans="1:6" x14ac:dyDescent="0.3">
      <c r="A3893" t="s">
        <v>63</v>
      </c>
      <c r="B3893">
        <v>2023</v>
      </c>
      <c r="C3893" t="s">
        <v>15</v>
      </c>
      <c r="D3893" s="35">
        <v>9498968.0500000007</v>
      </c>
      <c r="E3893" s="35">
        <v>145011</v>
      </c>
      <c r="F3893" s="35">
        <v>1647539.21</v>
      </c>
    </row>
    <row r="3894" spans="1:6" x14ac:dyDescent="0.3">
      <c r="A3894" t="s">
        <v>63</v>
      </c>
      <c r="B3894">
        <v>2023</v>
      </c>
      <c r="C3894" t="s">
        <v>18</v>
      </c>
      <c r="D3894" s="35">
        <v>3224747.77</v>
      </c>
      <c r="E3894" s="35">
        <v>23365</v>
      </c>
      <c r="F3894" s="35">
        <v>2132199.83</v>
      </c>
    </row>
    <row r="3895" spans="1:6" x14ac:dyDescent="0.3">
      <c r="A3895" t="s">
        <v>63</v>
      </c>
      <c r="B3895">
        <v>2024</v>
      </c>
      <c r="C3895" t="s">
        <v>10</v>
      </c>
      <c r="D3895" s="35">
        <v>41906596.950000003</v>
      </c>
      <c r="E3895" s="35">
        <v>596944</v>
      </c>
      <c r="F3895" s="35">
        <v>22005803.510000002</v>
      </c>
    </row>
    <row r="3896" spans="1:6" x14ac:dyDescent="0.3">
      <c r="A3896" t="s">
        <v>63</v>
      </c>
      <c r="B3896">
        <v>2024</v>
      </c>
      <c r="C3896" t="s">
        <v>4</v>
      </c>
      <c r="D3896" s="35">
        <v>98389156.500000015</v>
      </c>
      <c r="E3896" s="35">
        <v>273230</v>
      </c>
      <c r="F3896" s="35">
        <v>92572768.659999996</v>
      </c>
    </row>
    <row r="3897" spans="1:6" x14ac:dyDescent="0.3">
      <c r="A3897" t="s">
        <v>63</v>
      </c>
      <c r="B3897">
        <v>2024</v>
      </c>
      <c r="C3897" t="s">
        <v>13</v>
      </c>
      <c r="D3897" s="35">
        <v>20195098.780000001</v>
      </c>
      <c r="E3897" s="35">
        <v>260635</v>
      </c>
      <c r="F3897" s="35">
        <v>11203250.039999999</v>
      </c>
    </row>
    <row r="3898" spans="1:6" x14ac:dyDescent="0.3">
      <c r="A3898" t="s">
        <v>63</v>
      </c>
      <c r="B3898">
        <v>2024</v>
      </c>
      <c r="C3898" t="s">
        <v>16</v>
      </c>
      <c r="D3898" s="35">
        <v>9146018.540000001</v>
      </c>
      <c r="E3898" s="35">
        <v>24552</v>
      </c>
      <c r="F3898" s="35">
        <v>7877501.8999999994</v>
      </c>
    </row>
    <row r="3899" spans="1:6" x14ac:dyDescent="0.3">
      <c r="A3899" t="s">
        <v>63</v>
      </c>
      <c r="B3899">
        <v>2024</v>
      </c>
      <c r="C3899" t="s">
        <v>14</v>
      </c>
      <c r="D3899" s="35">
        <v>15777374.890000001</v>
      </c>
      <c r="E3899" s="35">
        <v>360179</v>
      </c>
      <c r="F3899" s="35">
        <v>4890507.45</v>
      </c>
    </row>
    <row r="3900" spans="1:6" x14ac:dyDescent="0.3">
      <c r="A3900" t="s">
        <v>63</v>
      </c>
      <c r="B3900">
        <v>2024</v>
      </c>
      <c r="C3900" t="s">
        <v>7</v>
      </c>
      <c r="D3900" s="35">
        <v>19337343.390000001</v>
      </c>
      <c r="E3900" s="35">
        <v>6460</v>
      </c>
      <c r="F3900" s="35">
        <v>19276350.219999999</v>
      </c>
    </row>
    <row r="3901" spans="1:6" x14ac:dyDescent="0.3">
      <c r="A3901" t="s">
        <v>63</v>
      </c>
      <c r="B3901">
        <v>2024</v>
      </c>
      <c r="C3901" t="s">
        <v>11</v>
      </c>
      <c r="D3901" s="35">
        <v>14422410.289999999</v>
      </c>
      <c r="E3901" s="35">
        <v>89844</v>
      </c>
      <c r="F3901" s="35">
        <v>13731716.99</v>
      </c>
    </row>
    <row r="3902" spans="1:6" x14ac:dyDescent="0.3">
      <c r="A3902" t="s">
        <v>63</v>
      </c>
      <c r="B3902">
        <v>2024</v>
      </c>
      <c r="C3902" t="s">
        <v>3</v>
      </c>
      <c r="D3902" s="35">
        <v>105357924.06999999</v>
      </c>
      <c r="E3902" s="35">
        <v>269288</v>
      </c>
      <c r="F3902" s="35">
        <v>99180443.960000008</v>
      </c>
    </row>
    <row r="3903" spans="1:6" x14ac:dyDescent="0.3">
      <c r="A3903" t="s">
        <v>63</v>
      </c>
      <c r="B3903">
        <v>2024</v>
      </c>
      <c r="C3903" t="s">
        <v>12</v>
      </c>
      <c r="D3903" s="35">
        <v>51001205.569999993</v>
      </c>
      <c r="E3903" s="35">
        <v>655435</v>
      </c>
      <c r="F3903" s="35">
        <v>30503853.74000001</v>
      </c>
    </row>
    <row r="3904" spans="1:6" x14ac:dyDescent="0.3">
      <c r="A3904" t="s">
        <v>63</v>
      </c>
      <c r="B3904">
        <v>2024</v>
      </c>
      <c r="C3904" t="s">
        <v>2</v>
      </c>
      <c r="D3904" s="35">
        <v>84405786.089999989</v>
      </c>
      <c r="E3904" s="35">
        <v>1121868</v>
      </c>
      <c r="F3904" s="35">
        <v>56020192.009999998</v>
      </c>
    </row>
    <row r="3905" spans="1:6" x14ac:dyDescent="0.3">
      <c r="A3905" t="s">
        <v>63</v>
      </c>
      <c r="B3905">
        <v>2024</v>
      </c>
      <c r="C3905" t="s">
        <v>5</v>
      </c>
      <c r="D3905" s="35">
        <v>35374168.979999997</v>
      </c>
      <c r="E3905" s="35">
        <v>21456</v>
      </c>
      <c r="F3905" s="35">
        <v>34666164.309999987</v>
      </c>
    </row>
    <row r="3906" spans="1:6" x14ac:dyDescent="0.3">
      <c r="A3906" t="s">
        <v>63</v>
      </c>
      <c r="B3906">
        <v>2024</v>
      </c>
      <c r="C3906" t="s">
        <v>17</v>
      </c>
      <c r="D3906" s="35">
        <v>4747754.8900000006</v>
      </c>
      <c r="E3906" s="35">
        <v>91982</v>
      </c>
      <c r="F3906" s="35">
        <v>1072172.97</v>
      </c>
    </row>
    <row r="3907" spans="1:6" x14ac:dyDescent="0.3">
      <c r="A3907" t="s">
        <v>63</v>
      </c>
      <c r="B3907">
        <v>2024</v>
      </c>
      <c r="C3907" t="s">
        <v>9</v>
      </c>
      <c r="D3907" s="35">
        <v>44468891.229999982</v>
      </c>
      <c r="E3907" s="35">
        <v>666490</v>
      </c>
      <c r="F3907" s="35">
        <v>13811621.70000001</v>
      </c>
    </row>
    <row r="3908" spans="1:6" x14ac:dyDescent="0.3">
      <c r="A3908" t="s">
        <v>63</v>
      </c>
      <c r="B3908">
        <v>2024</v>
      </c>
      <c r="C3908" t="s">
        <v>8</v>
      </c>
      <c r="D3908" s="35">
        <v>16257665.560000001</v>
      </c>
      <c r="E3908" s="35">
        <v>1143</v>
      </c>
      <c r="F3908" s="35">
        <v>16257665.560000001</v>
      </c>
    </row>
    <row r="3909" spans="1:6" x14ac:dyDescent="0.3">
      <c r="A3909" t="s">
        <v>63</v>
      </c>
      <c r="B3909">
        <v>2024</v>
      </c>
      <c r="C3909" t="s">
        <v>6</v>
      </c>
      <c r="D3909" s="35">
        <v>49057773.970000014</v>
      </c>
      <c r="E3909" s="35">
        <v>669653</v>
      </c>
      <c r="F3909" s="35">
        <v>26941558.699999999</v>
      </c>
    </row>
    <row r="3910" spans="1:6" x14ac:dyDescent="0.3">
      <c r="A3910" t="s">
        <v>63</v>
      </c>
      <c r="B3910">
        <v>2024</v>
      </c>
      <c r="C3910" t="s">
        <v>15</v>
      </c>
      <c r="D3910" s="35">
        <v>8811377.8199999984</v>
      </c>
      <c r="E3910" s="35">
        <v>117510</v>
      </c>
      <c r="F3910" s="35">
        <v>1954716.78</v>
      </c>
    </row>
    <row r="3911" spans="1:6" x14ac:dyDescent="0.3">
      <c r="A3911" t="s">
        <v>63</v>
      </c>
      <c r="B3911">
        <v>2024</v>
      </c>
      <c r="C3911" t="s">
        <v>18</v>
      </c>
      <c r="D3911" s="35">
        <v>3375756.67</v>
      </c>
      <c r="E3911" s="35">
        <v>21014</v>
      </c>
      <c r="F3911" s="35">
        <v>2615030.2599999998</v>
      </c>
    </row>
    <row r="3912" spans="1:6" x14ac:dyDescent="0.3">
      <c r="A3912" t="s">
        <v>63</v>
      </c>
      <c r="B3912">
        <v>2025</v>
      </c>
      <c r="C3912" t="s">
        <v>10</v>
      </c>
      <c r="D3912" s="35">
        <v>44706927.759999998</v>
      </c>
      <c r="E3912" s="35">
        <v>608844</v>
      </c>
      <c r="F3912" s="35">
        <v>24825973.66</v>
      </c>
    </row>
    <row r="3913" spans="1:6" x14ac:dyDescent="0.3">
      <c r="A3913" t="s">
        <v>63</v>
      </c>
      <c r="B3913">
        <v>2025</v>
      </c>
      <c r="C3913" t="s">
        <v>4</v>
      </c>
      <c r="D3913" s="35">
        <v>106527425.28</v>
      </c>
      <c r="E3913" s="35">
        <v>278941</v>
      </c>
      <c r="F3913" s="35">
        <v>100839751.70999999</v>
      </c>
    </row>
    <row r="3914" spans="1:6" x14ac:dyDescent="0.3">
      <c r="A3914" t="s">
        <v>63</v>
      </c>
      <c r="B3914">
        <v>2025</v>
      </c>
      <c r="C3914" t="s">
        <v>13</v>
      </c>
      <c r="D3914" s="35">
        <v>19788236.649999999</v>
      </c>
      <c r="E3914" s="35">
        <v>258569</v>
      </c>
      <c r="F3914" s="35">
        <v>11517961.560000001</v>
      </c>
    </row>
    <row r="3915" spans="1:6" x14ac:dyDescent="0.3">
      <c r="A3915" t="s">
        <v>63</v>
      </c>
      <c r="B3915">
        <v>2025</v>
      </c>
      <c r="C3915" t="s">
        <v>16</v>
      </c>
      <c r="D3915" s="35">
        <v>10889238.140000001</v>
      </c>
      <c r="E3915" s="35">
        <v>25514</v>
      </c>
      <c r="F3915" s="35">
        <v>9682596.4100000001</v>
      </c>
    </row>
    <row r="3916" spans="1:6" x14ac:dyDescent="0.3">
      <c r="A3916" t="s">
        <v>63</v>
      </c>
      <c r="B3916">
        <v>2025</v>
      </c>
      <c r="C3916" t="s">
        <v>14</v>
      </c>
      <c r="D3916" s="35">
        <v>16659311.1</v>
      </c>
      <c r="E3916" s="35">
        <v>362642</v>
      </c>
      <c r="F3916" s="35">
        <v>5500957.870000001</v>
      </c>
    </row>
    <row r="3917" spans="1:6" x14ac:dyDescent="0.3">
      <c r="A3917" t="s">
        <v>63</v>
      </c>
      <c r="B3917">
        <v>2025</v>
      </c>
      <c r="C3917" t="s">
        <v>7</v>
      </c>
      <c r="D3917" s="35">
        <v>21466497.620000001</v>
      </c>
      <c r="E3917" s="35">
        <v>6864</v>
      </c>
      <c r="F3917" s="35">
        <v>21331756.68</v>
      </c>
    </row>
    <row r="3918" spans="1:6" x14ac:dyDescent="0.3">
      <c r="A3918" t="s">
        <v>63</v>
      </c>
      <c r="B3918">
        <v>2025</v>
      </c>
      <c r="C3918" t="s">
        <v>11</v>
      </c>
      <c r="D3918" s="35">
        <v>15501567.939999999</v>
      </c>
      <c r="E3918" s="35">
        <v>103991</v>
      </c>
      <c r="F3918" s="35">
        <v>14792746.35</v>
      </c>
    </row>
    <row r="3919" spans="1:6" x14ac:dyDescent="0.3">
      <c r="A3919" t="s">
        <v>63</v>
      </c>
      <c r="B3919">
        <v>2025</v>
      </c>
      <c r="C3919" t="s">
        <v>3</v>
      </c>
      <c r="D3919" s="35">
        <v>119356777.16</v>
      </c>
      <c r="E3919" s="35">
        <v>278447</v>
      </c>
      <c r="F3919" s="35">
        <v>113395565.73</v>
      </c>
    </row>
    <row r="3920" spans="1:6" x14ac:dyDescent="0.3">
      <c r="A3920" t="s">
        <v>63</v>
      </c>
      <c r="B3920">
        <v>2025</v>
      </c>
      <c r="C3920" t="s">
        <v>12</v>
      </c>
      <c r="D3920" s="35">
        <v>48331996.150000013</v>
      </c>
      <c r="E3920" s="35">
        <v>652731</v>
      </c>
      <c r="F3920" s="35">
        <v>29170495.210000001</v>
      </c>
    </row>
    <row r="3921" spans="1:6" x14ac:dyDescent="0.3">
      <c r="A3921" t="s">
        <v>63</v>
      </c>
      <c r="B3921">
        <v>2025</v>
      </c>
      <c r="C3921" t="s">
        <v>2</v>
      </c>
      <c r="D3921" s="35">
        <v>100879433.59</v>
      </c>
      <c r="E3921" s="35">
        <v>1160756</v>
      </c>
      <c r="F3921" s="35">
        <v>71858432.25</v>
      </c>
    </row>
    <row r="3922" spans="1:6" x14ac:dyDescent="0.3">
      <c r="A3922" t="s">
        <v>63</v>
      </c>
      <c r="B3922">
        <v>2025</v>
      </c>
      <c r="C3922" t="s">
        <v>5</v>
      </c>
      <c r="D3922" s="35">
        <v>41304432.210000001</v>
      </c>
      <c r="E3922" s="35">
        <v>21669</v>
      </c>
      <c r="F3922" s="35">
        <v>39803114.300000012</v>
      </c>
    </row>
    <row r="3923" spans="1:6" x14ac:dyDescent="0.3">
      <c r="A3923" t="s">
        <v>63</v>
      </c>
      <c r="B3923">
        <v>2025</v>
      </c>
      <c r="C3923" t="s">
        <v>17</v>
      </c>
      <c r="D3923" s="35">
        <v>4471398.5599999996</v>
      </c>
      <c r="E3923" s="35">
        <v>89287</v>
      </c>
      <c r="F3923" s="35">
        <v>1100751.23</v>
      </c>
    </row>
    <row r="3924" spans="1:6" x14ac:dyDescent="0.3">
      <c r="A3924" t="s">
        <v>63</v>
      </c>
      <c r="B3924">
        <v>2025</v>
      </c>
      <c r="C3924" t="s">
        <v>9</v>
      </c>
      <c r="D3924" s="35">
        <v>49188267.079999998</v>
      </c>
      <c r="E3924" s="35">
        <v>673133</v>
      </c>
      <c r="F3924" s="35">
        <v>19232461.300000001</v>
      </c>
    </row>
    <row r="3925" spans="1:6" x14ac:dyDescent="0.3">
      <c r="A3925" t="s">
        <v>63</v>
      </c>
      <c r="B3925">
        <v>2025</v>
      </c>
      <c r="C3925" t="s">
        <v>8</v>
      </c>
      <c r="D3925" s="35">
        <v>15727291.85</v>
      </c>
      <c r="E3925" s="35">
        <v>1081</v>
      </c>
      <c r="F3925" s="35">
        <v>15727291.85</v>
      </c>
    </row>
    <row r="3926" spans="1:6" x14ac:dyDescent="0.3">
      <c r="A3926" t="s">
        <v>63</v>
      </c>
      <c r="B3926">
        <v>2025</v>
      </c>
      <c r="C3926" t="s">
        <v>6</v>
      </c>
      <c r="D3926" s="35">
        <v>47115941.390000001</v>
      </c>
      <c r="E3926" s="35">
        <v>673639</v>
      </c>
      <c r="F3926" s="35">
        <v>25584775.77</v>
      </c>
    </row>
    <row r="3927" spans="1:6" x14ac:dyDescent="0.3">
      <c r="A3927" t="s">
        <v>63</v>
      </c>
      <c r="B3927">
        <v>2025</v>
      </c>
      <c r="C3927" t="s">
        <v>15</v>
      </c>
      <c r="D3927" s="35">
        <v>8353196.0500000007</v>
      </c>
      <c r="E3927" s="35">
        <v>97219</v>
      </c>
      <c r="F3927" s="35">
        <v>2520836.19</v>
      </c>
    </row>
    <row r="3928" spans="1:6" x14ac:dyDescent="0.3">
      <c r="A3928" t="s">
        <v>63</v>
      </c>
      <c r="B3928">
        <v>2025</v>
      </c>
      <c r="C3928" t="s">
        <v>18</v>
      </c>
      <c r="D3928" s="35">
        <v>3629555.2299999991</v>
      </c>
      <c r="E3928" s="35">
        <v>22976</v>
      </c>
      <c r="F3928" s="35">
        <v>2878757.01</v>
      </c>
    </row>
    <row r="3929" spans="1:6" x14ac:dyDescent="0.3">
      <c r="A3929" t="s">
        <v>64</v>
      </c>
      <c r="B3929">
        <v>2019</v>
      </c>
      <c r="C3929" t="s">
        <v>10</v>
      </c>
      <c r="D3929" s="35">
        <v>23421848.890000001</v>
      </c>
      <c r="E3929" s="35">
        <v>861608</v>
      </c>
      <c r="F3929" s="35">
        <v>14737610.01</v>
      </c>
    </row>
    <row r="3930" spans="1:6" x14ac:dyDescent="0.3">
      <c r="A3930" t="s">
        <v>64</v>
      </c>
      <c r="B3930">
        <v>2019</v>
      </c>
      <c r="C3930" t="s">
        <v>4</v>
      </c>
      <c r="D3930" s="35">
        <v>57049367.75</v>
      </c>
      <c r="E3930" s="35">
        <v>233560</v>
      </c>
      <c r="F3930" s="35">
        <v>55971936.780000009</v>
      </c>
    </row>
    <row r="3931" spans="1:6" x14ac:dyDescent="0.3">
      <c r="A3931" t="s">
        <v>64</v>
      </c>
      <c r="B3931">
        <v>2019</v>
      </c>
      <c r="C3931" t="s">
        <v>13</v>
      </c>
      <c r="D3931" s="35">
        <v>13195660.67</v>
      </c>
      <c r="E3931" s="35">
        <v>221977</v>
      </c>
      <c r="F3931" s="35">
        <v>9137483.459999999</v>
      </c>
    </row>
    <row r="3932" spans="1:6" x14ac:dyDescent="0.3">
      <c r="A3932" t="s">
        <v>64</v>
      </c>
      <c r="B3932">
        <v>2019</v>
      </c>
      <c r="C3932" t="s">
        <v>16</v>
      </c>
      <c r="D3932" s="35">
        <v>3729652.71</v>
      </c>
      <c r="E3932" s="35">
        <v>16731</v>
      </c>
      <c r="F3932" s="35">
        <v>3202169.810000001</v>
      </c>
    </row>
    <row r="3933" spans="1:6" x14ac:dyDescent="0.3">
      <c r="A3933" t="s">
        <v>64</v>
      </c>
      <c r="B3933">
        <v>2019</v>
      </c>
      <c r="C3933" t="s">
        <v>14</v>
      </c>
      <c r="D3933" s="35">
        <v>10723180.74</v>
      </c>
      <c r="E3933" s="35">
        <v>342727</v>
      </c>
      <c r="F3933" s="35">
        <v>6763077.0299999993</v>
      </c>
    </row>
    <row r="3934" spans="1:6" x14ac:dyDescent="0.3">
      <c r="A3934" t="s">
        <v>64</v>
      </c>
      <c r="B3934">
        <v>2019</v>
      </c>
      <c r="C3934" t="s">
        <v>7</v>
      </c>
      <c r="D3934" s="35">
        <v>40816292.630000003</v>
      </c>
      <c r="E3934" s="35">
        <v>17424</v>
      </c>
      <c r="F3934" s="35">
        <v>40716244.460000001</v>
      </c>
    </row>
    <row r="3935" spans="1:6" x14ac:dyDescent="0.3">
      <c r="A3935" t="s">
        <v>64</v>
      </c>
      <c r="B3935">
        <v>2019</v>
      </c>
      <c r="C3935" t="s">
        <v>11</v>
      </c>
      <c r="D3935" s="35">
        <v>28835160.45999999</v>
      </c>
      <c r="E3935" s="35">
        <v>36415</v>
      </c>
      <c r="F3935" s="35">
        <v>28574696.780000001</v>
      </c>
    </row>
    <row r="3936" spans="1:6" x14ac:dyDescent="0.3">
      <c r="A3936" t="s">
        <v>64</v>
      </c>
      <c r="B3936">
        <v>2019</v>
      </c>
      <c r="C3936" t="s">
        <v>3</v>
      </c>
      <c r="D3936" s="35">
        <v>20836893.719999999</v>
      </c>
      <c r="E3936" s="35">
        <v>237636</v>
      </c>
      <c r="F3936" s="35">
        <v>18111456.670000009</v>
      </c>
    </row>
    <row r="3937" spans="1:6" x14ac:dyDescent="0.3">
      <c r="A3937" t="s">
        <v>64</v>
      </c>
      <c r="B3937">
        <v>2019</v>
      </c>
      <c r="C3937" t="s">
        <v>12</v>
      </c>
      <c r="D3937" s="35">
        <v>29157627.050000001</v>
      </c>
      <c r="E3937" s="35">
        <v>547543</v>
      </c>
      <c r="F3937" s="35">
        <v>17022656.52</v>
      </c>
    </row>
    <row r="3938" spans="1:6" x14ac:dyDescent="0.3">
      <c r="A3938" t="s">
        <v>64</v>
      </c>
      <c r="B3938">
        <v>2019</v>
      </c>
      <c r="C3938" t="s">
        <v>2</v>
      </c>
      <c r="D3938" s="35">
        <v>95658964.559999987</v>
      </c>
      <c r="E3938" s="35">
        <v>1207361</v>
      </c>
      <c r="F3938" s="35">
        <v>73658774.410000026</v>
      </c>
    </row>
    <row r="3939" spans="1:6" x14ac:dyDescent="0.3">
      <c r="A3939" t="s">
        <v>64</v>
      </c>
      <c r="B3939">
        <v>2019</v>
      </c>
      <c r="C3939" t="s">
        <v>5</v>
      </c>
      <c r="D3939" s="35">
        <v>20133674.54999999</v>
      </c>
      <c r="E3939" s="35">
        <v>22461</v>
      </c>
      <c r="F3939" s="35">
        <v>18552882.390000001</v>
      </c>
    </row>
    <row r="3940" spans="1:6" x14ac:dyDescent="0.3">
      <c r="A3940" t="s">
        <v>64</v>
      </c>
      <c r="B3940">
        <v>2019</v>
      </c>
      <c r="C3940" t="s">
        <v>17</v>
      </c>
      <c r="D3940" s="35">
        <v>1217778.23</v>
      </c>
      <c r="E3940" s="35">
        <v>121321</v>
      </c>
      <c r="F3940" s="35">
        <v>248411.01</v>
      </c>
    </row>
    <row r="3941" spans="1:6" x14ac:dyDescent="0.3">
      <c r="A3941" t="s">
        <v>64</v>
      </c>
      <c r="B3941">
        <v>2019</v>
      </c>
      <c r="C3941" t="s">
        <v>9</v>
      </c>
      <c r="D3941" s="35">
        <v>23077857.879999999</v>
      </c>
      <c r="E3941" s="35">
        <v>802928</v>
      </c>
      <c r="F3941" s="35">
        <v>11566413.630000001</v>
      </c>
    </row>
    <row r="3942" spans="1:6" x14ac:dyDescent="0.3">
      <c r="A3942" t="s">
        <v>64</v>
      </c>
      <c r="B3942">
        <v>2019</v>
      </c>
      <c r="C3942" t="s">
        <v>8</v>
      </c>
      <c r="D3942" s="35">
        <v>7615391.3399999999</v>
      </c>
      <c r="E3942" s="35">
        <v>1560</v>
      </c>
      <c r="F3942" s="35">
        <v>7615391.3399999999</v>
      </c>
    </row>
    <row r="3943" spans="1:6" x14ac:dyDescent="0.3">
      <c r="A3943" t="s">
        <v>64</v>
      </c>
      <c r="B3943">
        <v>2019</v>
      </c>
      <c r="C3943" t="s">
        <v>6</v>
      </c>
      <c r="D3943" s="35">
        <v>44015924.220000014</v>
      </c>
      <c r="E3943" s="35">
        <v>696713</v>
      </c>
      <c r="F3943" s="35">
        <v>36512656.439999998</v>
      </c>
    </row>
    <row r="3944" spans="1:6" x14ac:dyDescent="0.3">
      <c r="A3944" t="s">
        <v>64</v>
      </c>
      <c r="B3944">
        <v>2019</v>
      </c>
      <c r="C3944" t="s">
        <v>15</v>
      </c>
      <c r="D3944" s="35">
        <v>29330093.84999999</v>
      </c>
      <c r="E3944" s="35">
        <v>318273</v>
      </c>
      <c r="F3944" s="35">
        <v>14528121.369999999</v>
      </c>
    </row>
    <row r="3945" spans="1:6" x14ac:dyDescent="0.3">
      <c r="A3945" t="s">
        <v>64</v>
      </c>
      <c r="B3945">
        <v>2019</v>
      </c>
      <c r="C3945" t="s">
        <v>18</v>
      </c>
      <c r="D3945" s="35">
        <v>2941184.92</v>
      </c>
      <c r="E3945" s="35">
        <v>22820</v>
      </c>
      <c r="F3945" s="35">
        <v>1717310.95</v>
      </c>
    </row>
    <row r="3946" spans="1:6" x14ac:dyDescent="0.3">
      <c r="A3946" t="s">
        <v>64</v>
      </c>
      <c r="B3946">
        <v>2020</v>
      </c>
      <c r="C3946" t="s">
        <v>10</v>
      </c>
      <c r="D3946" s="35">
        <v>21679858.800000001</v>
      </c>
      <c r="E3946" s="35">
        <v>889181</v>
      </c>
      <c r="F3946" s="35">
        <v>14777092.23</v>
      </c>
    </row>
    <row r="3947" spans="1:6" x14ac:dyDescent="0.3">
      <c r="A3947" t="s">
        <v>64</v>
      </c>
      <c r="B3947">
        <v>2020</v>
      </c>
      <c r="C3947" t="s">
        <v>4</v>
      </c>
      <c r="D3947" s="35">
        <v>61848916.919999987</v>
      </c>
      <c r="E3947" s="35">
        <v>250584</v>
      </c>
      <c r="F3947" s="35">
        <v>60994315.479999989</v>
      </c>
    </row>
    <row r="3948" spans="1:6" x14ac:dyDescent="0.3">
      <c r="A3948" t="s">
        <v>64</v>
      </c>
      <c r="B3948">
        <v>2020</v>
      </c>
      <c r="C3948" t="s">
        <v>13</v>
      </c>
      <c r="D3948" s="35">
        <v>14330444.539999999</v>
      </c>
      <c r="E3948" s="35">
        <v>234638</v>
      </c>
      <c r="F3948" s="35">
        <v>9393416.1000000015</v>
      </c>
    </row>
    <row r="3949" spans="1:6" x14ac:dyDescent="0.3">
      <c r="A3949" t="s">
        <v>64</v>
      </c>
      <c r="B3949">
        <v>2020</v>
      </c>
      <c r="C3949" t="s">
        <v>16</v>
      </c>
      <c r="D3949" s="35">
        <v>3866160.290000001</v>
      </c>
      <c r="E3949" s="35">
        <v>18513</v>
      </c>
      <c r="F3949" s="35">
        <v>3448715.31</v>
      </c>
    </row>
    <row r="3950" spans="1:6" x14ac:dyDescent="0.3">
      <c r="A3950" t="s">
        <v>64</v>
      </c>
      <c r="B3950">
        <v>2020</v>
      </c>
      <c r="C3950" t="s">
        <v>14</v>
      </c>
      <c r="D3950" s="35">
        <v>9440110.5</v>
      </c>
      <c r="E3950" s="35">
        <v>341188</v>
      </c>
      <c r="F3950" s="35">
        <v>5161442.38</v>
      </c>
    </row>
    <row r="3951" spans="1:6" x14ac:dyDescent="0.3">
      <c r="A3951" t="s">
        <v>64</v>
      </c>
      <c r="B3951">
        <v>2020</v>
      </c>
      <c r="C3951" t="s">
        <v>7</v>
      </c>
      <c r="D3951" s="35">
        <v>46503413.720000014</v>
      </c>
      <c r="E3951" s="35">
        <v>20268</v>
      </c>
      <c r="F3951" s="35">
        <v>46305192.039999999</v>
      </c>
    </row>
    <row r="3952" spans="1:6" x14ac:dyDescent="0.3">
      <c r="A3952" t="s">
        <v>64</v>
      </c>
      <c r="B3952">
        <v>2020</v>
      </c>
      <c r="C3952" t="s">
        <v>11</v>
      </c>
      <c r="D3952" s="35">
        <v>22629834.789999999</v>
      </c>
      <c r="E3952" s="35">
        <v>49447</v>
      </c>
      <c r="F3952" s="35">
        <v>22327450.81000001</v>
      </c>
    </row>
    <row r="3953" spans="1:6" x14ac:dyDescent="0.3">
      <c r="A3953" t="s">
        <v>64</v>
      </c>
      <c r="B3953">
        <v>2020</v>
      </c>
      <c r="C3953" t="s">
        <v>3</v>
      </c>
      <c r="D3953" s="35">
        <v>29155088.760000002</v>
      </c>
      <c r="E3953" s="35">
        <v>221896</v>
      </c>
      <c r="F3953" s="35">
        <v>25508207.52</v>
      </c>
    </row>
    <row r="3954" spans="1:6" x14ac:dyDescent="0.3">
      <c r="A3954" t="s">
        <v>64</v>
      </c>
      <c r="B3954">
        <v>2020</v>
      </c>
      <c r="C3954" t="s">
        <v>12</v>
      </c>
      <c r="D3954" s="35">
        <v>20305339.149999999</v>
      </c>
      <c r="E3954" s="35">
        <v>472855</v>
      </c>
      <c r="F3954" s="35">
        <v>10906978.390000001</v>
      </c>
    </row>
    <row r="3955" spans="1:6" x14ac:dyDescent="0.3">
      <c r="A3955" t="s">
        <v>64</v>
      </c>
      <c r="B3955">
        <v>2020</v>
      </c>
      <c r="C3955" t="s">
        <v>2</v>
      </c>
      <c r="D3955" s="35">
        <v>101449368.7</v>
      </c>
      <c r="E3955" s="35">
        <v>1275574</v>
      </c>
      <c r="F3955" s="35">
        <v>83564347.920000017</v>
      </c>
    </row>
    <row r="3956" spans="1:6" x14ac:dyDescent="0.3">
      <c r="A3956" t="s">
        <v>64</v>
      </c>
      <c r="B3956">
        <v>2020</v>
      </c>
      <c r="C3956" t="s">
        <v>5</v>
      </c>
      <c r="D3956" s="35">
        <v>28632675.969999999</v>
      </c>
      <c r="E3956" s="35">
        <v>25656</v>
      </c>
      <c r="F3956" s="35">
        <v>27523965.52</v>
      </c>
    </row>
    <row r="3957" spans="1:6" x14ac:dyDescent="0.3">
      <c r="A3957" t="s">
        <v>64</v>
      </c>
      <c r="B3957">
        <v>2020</v>
      </c>
      <c r="C3957" t="s">
        <v>17</v>
      </c>
      <c r="D3957" s="35">
        <v>2452572.35</v>
      </c>
      <c r="E3957" s="35">
        <v>105408</v>
      </c>
      <c r="F3957" s="35">
        <v>426159.03</v>
      </c>
    </row>
    <row r="3958" spans="1:6" x14ac:dyDescent="0.3">
      <c r="A3958" t="s">
        <v>64</v>
      </c>
      <c r="B3958">
        <v>2020</v>
      </c>
      <c r="C3958" t="s">
        <v>9</v>
      </c>
      <c r="D3958" s="35">
        <v>24784244.129999992</v>
      </c>
      <c r="E3958" s="35">
        <v>747771</v>
      </c>
      <c r="F3958" s="35">
        <v>11895175.52</v>
      </c>
    </row>
    <row r="3959" spans="1:6" x14ac:dyDescent="0.3">
      <c r="A3959" t="s">
        <v>64</v>
      </c>
      <c r="B3959">
        <v>2020</v>
      </c>
      <c r="C3959" t="s">
        <v>8</v>
      </c>
      <c r="D3959" s="35">
        <v>13549535.51</v>
      </c>
      <c r="E3959" s="35">
        <v>2002</v>
      </c>
      <c r="F3959" s="35">
        <v>13549535.51</v>
      </c>
    </row>
    <row r="3960" spans="1:6" x14ac:dyDescent="0.3">
      <c r="A3960" t="s">
        <v>64</v>
      </c>
      <c r="B3960">
        <v>2020</v>
      </c>
      <c r="C3960" t="s">
        <v>6</v>
      </c>
      <c r="D3960" s="35">
        <v>39325460.330000013</v>
      </c>
      <c r="E3960" s="35">
        <v>677463</v>
      </c>
      <c r="F3960" s="35">
        <v>33181014.109999999</v>
      </c>
    </row>
    <row r="3961" spans="1:6" x14ac:dyDescent="0.3">
      <c r="A3961" t="s">
        <v>64</v>
      </c>
      <c r="B3961">
        <v>2020</v>
      </c>
      <c r="C3961" t="s">
        <v>15</v>
      </c>
      <c r="D3961" s="35">
        <v>24208616.229999989</v>
      </c>
      <c r="E3961" s="35">
        <v>260562</v>
      </c>
      <c r="F3961" s="35">
        <v>6682121.6800000006</v>
      </c>
    </row>
    <row r="3962" spans="1:6" x14ac:dyDescent="0.3">
      <c r="A3962" t="s">
        <v>64</v>
      </c>
      <c r="B3962">
        <v>2020</v>
      </c>
      <c r="C3962" t="s">
        <v>18</v>
      </c>
      <c r="D3962" s="35">
        <v>2084011.4</v>
      </c>
      <c r="E3962" s="35">
        <v>21359</v>
      </c>
      <c r="F3962" s="35">
        <v>1589370.22</v>
      </c>
    </row>
    <row r="3963" spans="1:6" x14ac:dyDescent="0.3">
      <c r="A3963" t="s">
        <v>64</v>
      </c>
      <c r="B3963">
        <v>2021</v>
      </c>
      <c r="C3963" t="s">
        <v>10</v>
      </c>
      <c r="D3963" s="35">
        <v>30730292.68</v>
      </c>
      <c r="E3963" s="35">
        <v>1006016</v>
      </c>
      <c r="F3963" s="35">
        <v>21827854.210000001</v>
      </c>
    </row>
    <row r="3964" spans="1:6" x14ac:dyDescent="0.3">
      <c r="A3964" t="s">
        <v>64</v>
      </c>
      <c r="B3964">
        <v>2021</v>
      </c>
      <c r="C3964" t="s">
        <v>4</v>
      </c>
      <c r="D3964" s="35">
        <v>82007389.890000001</v>
      </c>
      <c r="E3964" s="35">
        <v>283116</v>
      </c>
      <c r="F3964" s="35">
        <v>80455830.379999995</v>
      </c>
    </row>
    <row r="3965" spans="1:6" x14ac:dyDescent="0.3">
      <c r="A3965" t="s">
        <v>64</v>
      </c>
      <c r="B3965">
        <v>2021</v>
      </c>
      <c r="C3965" t="s">
        <v>13</v>
      </c>
      <c r="D3965" s="35">
        <v>15176123.630000001</v>
      </c>
      <c r="E3965" s="35">
        <v>262222</v>
      </c>
      <c r="F3965" s="35">
        <v>10223822.93</v>
      </c>
    </row>
    <row r="3966" spans="1:6" x14ac:dyDescent="0.3">
      <c r="A3966" t="s">
        <v>64</v>
      </c>
      <c r="B3966">
        <v>2021</v>
      </c>
      <c r="C3966" t="s">
        <v>16</v>
      </c>
      <c r="D3966" s="35">
        <v>4852059.3999999994</v>
      </c>
      <c r="E3966" s="35">
        <v>20000</v>
      </c>
      <c r="F3966" s="35">
        <v>4338254.8400000008</v>
      </c>
    </row>
    <row r="3967" spans="1:6" x14ac:dyDescent="0.3">
      <c r="A3967" t="s">
        <v>64</v>
      </c>
      <c r="B3967">
        <v>2021</v>
      </c>
      <c r="C3967" t="s">
        <v>14</v>
      </c>
      <c r="D3967" s="35">
        <v>11852884.369999999</v>
      </c>
      <c r="E3967" s="35">
        <v>393745</v>
      </c>
      <c r="F3967" s="35">
        <v>6537589.4400000013</v>
      </c>
    </row>
    <row r="3968" spans="1:6" x14ac:dyDescent="0.3">
      <c r="A3968" t="s">
        <v>64</v>
      </c>
      <c r="B3968">
        <v>2021</v>
      </c>
      <c r="C3968" t="s">
        <v>7</v>
      </c>
      <c r="D3968" s="35">
        <v>63332445.789999999</v>
      </c>
      <c r="E3968" s="35">
        <v>24343</v>
      </c>
      <c r="F3968" s="35">
        <v>62251883.369999997</v>
      </c>
    </row>
    <row r="3969" spans="1:6" x14ac:dyDescent="0.3">
      <c r="A3969" t="s">
        <v>64</v>
      </c>
      <c r="B3969">
        <v>2021</v>
      </c>
      <c r="C3969" t="s">
        <v>11</v>
      </c>
      <c r="D3969" s="35">
        <v>41284979.890000001</v>
      </c>
      <c r="E3969" s="35">
        <v>47089</v>
      </c>
      <c r="F3969" s="35">
        <v>40944747.799999997</v>
      </c>
    </row>
    <row r="3970" spans="1:6" x14ac:dyDescent="0.3">
      <c r="A3970" t="s">
        <v>64</v>
      </c>
      <c r="B3970">
        <v>2021</v>
      </c>
      <c r="C3970" t="s">
        <v>3</v>
      </c>
      <c r="D3970" s="35">
        <v>45970480.299999997</v>
      </c>
      <c r="E3970" s="35">
        <v>245722</v>
      </c>
      <c r="F3970" s="35">
        <v>42968087.799999997</v>
      </c>
    </row>
    <row r="3971" spans="1:6" x14ac:dyDescent="0.3">
      <c r="A3971" t="s">
        <v>64</v>
      </c>
      <c r="B3971">
        <v>2021</v>
      </c>
      <c r="C3971" t="s">
        <v>12</v>
      </c>
      <c r="D3971" s="35">
        <v>21318535.75999999</v>
      </c>
      <c r="E3971" s="35">
        <v>498780</v>
      </c>
      <c r="F3971" s="35">
        <v>11826753.25</v>
      </c>
    </row>
    <row r="3972" spans="1:6" x14ac:dyDescent="0.3">
      <c r="A3972" t="s">
        <v>64</v>
      </c>
      <c r="B3972">
        <v>2021</v>
      </c>
      <c r="C3972" t="s">
        <v>2</v>
      </c>
      <c r="D3972" s="35">
        <v>109840221.12</v>
      </c>
      <c r="E3972" s="35">
        <v>1366613</v>
      </c>
      <c r="F3972" s="35">
        <v>88863960.329999998</v>
      </c>
    </row>
    <row r="3973" spans="1:6" x14ac:dyDescent="0.3">
      <c r="A3973" t="s">
        <v>64</v>
      </c>
      <c r="B3973">
        <v>2021</v>
      </c>
      <c r="C3973" t="s">
        <v>5</v>
      </c>
      <c r="D3973" s="35">
        <v>35815083.729999989</v>
      </c>
      <c r="E3973" s="35">
        <v>29692</v>
      </c>
      <c r="F3973" s="35">
        <v>34671528.310000002</v>
      </c>
    </row>
    <row r="3974" spans="1:6" x14ac:dyDescent="0.3">
      <c r="A3974" t="s">
        <v>64</v>
      </c>
      <c r="B3974">
        <v>2021</v>
      </c>
      <c r="C3974" t="s">
        <v>17</v>
      </c>
      <c r="D3974" s="35">
        <v>9616088.2300000023</v>
      </c>
      <c r="E3974" s="35">
        <v>116403</v>
      </c>
      <c r="F3974" s="35">
        <v>423568.84000000008</v>
      </c>
    </row>
    <row r="3975" spans="1:6" x14ac:dyDescent="0.3">
      <c r="A3975" t="s">
        <v>64</v>
      </c>
      <c r="B3975">
        <v>2021</v>
      </c>
      <c r="C3975" t="s">
        <v>9</v>
      </c>
      <c r="D3975" s="35">
        <v>36625558.18</v>
      </c>
      <c r="E3975" s="35">
        <v>821898</v>
      </c>
      <c r="F3975" s="35">
        <v>14757803.77</v>
      </c>
    </row>
    <row r="3976" spans="1:6" x14ac:dyDescent="0.3">
      <c r="A3976" t="s">
        <v>64</v>
      </c>
      <c r="B3976">
        <v>2021</v>
      </c>
      <c r="C3976" t="s">
        <v>8</v>
      </c>
      <c r="D3976" s="35">
        <v>24647933.120000001</v>
      </c>
      <c r="E3976" s="35">
        <v>1733</v>
      </c>
      <c r="F3976" s="35">
        <v>24647933.120000001</v>
      </c>
    </row>
    <row r="3977" spans="1:6" x14ac:dyDescent="0.3">
      <c r="A3977" t="s">
        <v>64</v>
      </c>
      <c r="B3977">
        <v>2021</v>
      </c>
      <c r="C3977" t="s">
        <v>6</v>
      </c>
      <c r="D3977" s="35">
        <v>44858011.329999991</v>
      </c>
      <c r="E3977" s="35">
        <v>656510</v>
      </c>
      <c r="F3977" s="35">
        <v>36539682.260000013</v>
      </c>
    </row>
    <row r="3978" spans="1:6" x14ac:dyDescent="0.3">
      <c r="A3978" t="s">
        <v>64</v>
      </c>
      <c r="B3978">
        <v>2021</v>
      </c>
      <c r="C3978" t="s">
        <v>15</v>
      </c>
      <c r="D3978" s="35">
        <v>13633966.02</v>
      </c>
      <c r="E3978" s="35">
        <v>255368</v>
      </c>
      <c r="F3978" s="35">
        <v>4463301.49</v>
      </c>
    </row>
    <row r="3979" spans="1:6" x14ac:dyDescent="0.3">
      <c r="A3979" t="s">
        <v>64</v>
      </c>
      <c r="B3979">
        <v>2021</v>
      </c>
      <c r="C3979" t="s">
        <v>18</v>
      </c>
      <c r="D3979" s="35">
        <v>1763232.79</v>
      </c>
      <c r="E3979" s="35">
        <v>23476</v>
      </c>
      <c r="F3979" s="35">
        <v>1295298.05</v>
      </c>
    </row>
    <row r="3980" spans="1:6" x14ac:dyDescent="0.3">
      <c r="A3980" t="s">
        <v>64</v>
      </c>
      <c r="B3980">
        <v>2022</v>
      </c>
      <c r="C3980" t="s">
        <v>10</v>
      </c>
      <c r="D3980" s="35">
        <v>35181509.080000013</v>
      </c>
      <c r="E3980" s="35">
        <v>1052333</v>
      </c>
      <c r="F3980" s="35">
        <v>26446774.889999989</v>
      </c>
    </row>
    <row r="3981" spans="1:6" x14ac:dyDescent="0.3">
      <c r="A3981" t="s">
        <v>64</v>
      </c>
      <c r="B3981">
        <v>2022</v>
      </c>
      <c r="C3981" t="s">
        <v>4</v>
      </c>
      <c r="D3981" s="35">
        <v>101657698.73</v>
      </c>
      <c r="E3981" s="35">
        <v>304197</v>
      </c>
      <c r="F3981" s="35">
        <v>100036235.39</v>
      </c>
    </row>
    <row r="3982" spans="1:6" x14ac:dyDescent="0.3">
      <c r="A3982" t="s">
        <v>64</v>
      </c>
      <c r="B3982">
        <v>2022</v>
      </c>
      <c r="C3982" t="s">
        <v>13</v>
      </c>
      <c r="D3982" s="35">
        <v>16445600.199999999</v>
      </c>
      <c r="E3982" s="35">
        <v>267722</v>
      </c>
      <c r="F3982" s="35">
        <v>11816778.82</v>
      </c>
    </row>
    <row r="3983" spans="1:6" x14ac:dyDescent="0.3">
      <c r="A3983" t="s">
        <v>64</v>
      </c>
      <c r="B3983">
        <v>2022</v>
      </c>
      <c r="C3983" t="s">
        <v>16</v>
      </c>
      <c r="D3983" s="35">
        <v>4759501.01</v>
      </c>
      <c r="E3983" s="35">
        <v>22787</v>
      </c>
      <c r="F3983" s="35">
        <v>4230954.42</v>
      </c>
    </row>
    <row r="3984" spans="1:6" x14ac:dyDescent="0.3">
      <c r="A3984" t="s">
        <v>64</v>
      </c>
      <c r="B3984">
        <v>2022</v>
      </c>
      <c r="C3984" t="s">
        <v>14</v>
      </c>
      <c r="D3984" s="35">
        <v>14566970.82</v>
      </c>
      <c r="E3984" s="35">
        <v>437886</v>
      </c>
      <c r="F3984" s="35">
        <v>7041821.3899999978</v>
      </c>
    </row>
    <row r="3985" spans="1:6" x14ac:dyDescent="0.3">
      <c r="A3985" t="s">
        <v>64</v>
      </c>
      <c r="B3985">
        <v>2022</v>
      </c>
      <c r="C3985" t="s">
        <v>7</v>
      </c>
      <c r="D3985" s="35">
        <v>76137495.609999999</v>
      </c>
      <c r="E3985" s="35">
        <v>29532</v>
      </c>
      <c r="F3985" s="35">
        <v>75101869.940000013</v>
      </c>
    </row>
    <row r="3986" spans="1:6" x14ac:dyDescent="0.3">
      <c r="A3986" t="s">
        <v>64</v>
      </c>
      <c r="B3986">
        <v>2022</v>
      </c>
      <c r="C3986" t="s">
        <v>11</v>
      </c>
      <c r="D3986" s="35">
        <v>27551264.43</v>
      </c>
      <c r="E3986" s="35">
        <v>42299</v>
      </c>
      <c r="F3986" s="35">
        <v>26742169.829999991</v>
      </c>
    </row>
    <row r="3987" spans="1:6" x14ac:dyDescent="0.3">
      <c r="A3987" t="s">
        <v>64</v>
      </c>
      <c r="B3987">
        <v>2022</v>
      </c>
      <c r="C3987" t="s">
        <v>3</v>
      </c>
      <c r="D3987" s="35">
        <v>98440307.800000012</v>
      </c>
      <c r="E3987" s="35">
        <v>325120</v>
      </c>
      <c r="F3987" s="35">
        <v>94988309.530000031</v>
      </c>
    </row>
    <row r="3988" spans="1:6" x14ac:dyDescent="0.3">
      <c r="A3988" t="s">
        <v>64</v>
      </c>
      <c r="B3988">
        <v>2022</v>
      </c>
      <c r="C3988" t="s">
        <v>12</v>
      </c>
      <c r="D3988" s="35">
        <v>25715185.530000001</v>
      </c>
      <c r="E3988" s="35">
        <v>624153</v>
      </c>
      <c r="F3988" s="35">
        <v>14330266.119999999</v>
      </c>
    </row>
    <row r="3989" spans="1:6" x14ac:dyDescent="0.3">
      <c r="A3989" t="s">
        <v>64</v>
      </c>
      <c r="B3989">
        <v>2022</v>
      </c>
      <c r="C3989" t="s">
        <v>2</v>
      </c>
      <c r="D3989" s="35">
        <v>129466355.8</v>
      </c>
      <c r="E3989" s="35">
        <v>1423673</v>
      </c>
      <c r="F3989" s="35">
        <v>110105918.63</v>
      </c>
    </row>
    <row r="3990" spans="1:6" x14ac:dyDescent="0.3">
      <c r="A3990" t="s">
        <v>64</v>
      </c>
      <c r="B3990">
        <v>2022</v>
      </c>
      <c r="C3990" t="s">
        <v>5</v>
      </c>
      <c r="D3990" s="35">
        <v>43957149.579999991</v>
      </c>
      <c r="E3990" s="35">
        <v>30242</v>
      </c>
      <c r="F3990" s="35">
        <v>42823669.380000003</v>
      </c>
    </row>
    <row r="3991" spans="1:6" x14ac:dyDescent="0.3">
      <c r="A3991" t="s">
        <v>64</v>
      </c>
      <c r="B3991">
        <v>2022</v>
      </c>
      <c r="C3991" t="s">
        <v>17</v>
      </c>
      <c r="D3991" s="35">
        <v>2123364.94</v>
      </c>
      <c r="E3991" s="35">
        <v>101722</v>
      </c>
      <c r="F3991" s="35">
        <v>478014.09999999992</v>
      </c>
    </row>
    <row r="3992" spans="1:6" x14ac:dyDescent="0.3">
      <c r="A3992" t="s">
        <v>64</v>
      </c>
      <c r="B3992">
        <v>2022</v>
      </c>
      <c r="C3992" t="s">
        <v>9</v>
      </c>
      <c r="D3992" s="35">
        <v>32824652.41</v>
      </c>
      <c r="E3992" s="35">
        <v>816678</v>
      </c>
      <c r="F3992" s="35">
        <v>13591104.15</v>
      </c>
    </row>
    <row r="3993" spans="1:6" x14ac:dyDescent="0.3">
      <c r="A3993" t="s">
        <v>64</v>
      </c>
      <c r="B3993">
        <v>2022</v>
      </c>
      <c r="C3993" t="s">
        <v>8</v>
      </c>
      <c r="D3993" s="35">
        <v>27174605.620000001</v>
      </c>
      <c r="E3993" s="35">
        <v>1832</v>
      </c>
      <c r="F3993" s="35">
        <v>27103315.379999999</v>
      </c>
    </row>
    <row r="3994" spans="1:6" x14ac:dyDescent="0.3">
      <c r="A3994" t="s">
        <v>64</v>
      </c>
      <c r="B3994">
        <v>2022</v>
      </c>
      <c r="C3994" t="s">
        <v>6</v>
      </c>
      <c r="D3994" s="35">
        <v>55463489.789999999</v>
      </c>
      <c r="E3994" s="35">
        <v>905190</v>
      </c>
      <c r="F3994" s="35">
        <v>43988504.079999991</v>
      </c>
    </row>
    <row r="3995" spans="1:6" x14ac:dyDescent="0.3">
      <c r="A3995" t="s">
        <v>64</v>
      </c>
      <c r="B3995">
        <v>2022</v>
      </c>
      <c r="C3995" t="s">
        <v>15</v>
      </c>
      <c r="D3995" s="35">
        <v>12590638.99</v>
      </c>
      <c r="E3995" s="35">
        <v>261830</v>
      </c>
      <c r="F3995" s="35">
        <v>2515636.6</v>
      </c>
    </row>
    <row r="3996" spans="1:6" x14ac:dyDescent="0.3">
      <c r="A3996" t="s">
        <v>64</v>
      </c>
      <c r="B3996">
        <v>2022</v>
      </c>
      <c r="C3996" t="s">
        <v>18</v>
      </c>
      <c r="D3996" s="35">
        <v>2597838.19</v>
      </c>
      <c r="E3996" s="35">
        <v>27518</v>
      </c>
      <c r="F3996" s="35">
        <v>2178173.3199999998</v>
      </c>
    </row>
    <row r="3997" spans="1:6" x14ac:dyDescent="0.3">
      <c r="A3997" t="s">
        <v>64</v>
      </c>
      <c r="B3997">
        <v>2023</v>
      </c>
      <c r="C3997" t="s">
        <v>10</v>
      </c>
      <c r="D3997" s="35">
        <v>31631531.88000001</v>
      </c>
      <c r="E3997" s="35">
        <v>676111</v>
      </c>
      <c r="F3997" s="35">
        <v>24889757.07</v>
      </c>
    </row>
    <row r="3998" spans="1:6" x14ac:dyDescent="0.3">
      <c r="A3998" t="s">
        <v>64</v>
      </c>
      <c r="B3998">
        <v>2023</v>
      </c>
      <c r="C3998" t="s">
        <v>4</v>
      </c>
      <c r="D3998" s="35">
        <v>98770261.390000001</v>
      </c>
      <c r="E3998" s="35">
        <v>201478</v>
      </c>
      <c r="F3998" s="35">
        <v>97923589.889999986</v>
      </c>
    </row>
    <row r="3999" spans="1:6" x14ac:dyDescent="0.3">
      <c r="A3999" t="s">
        <v>64</v>
      </c>
      <c r="B3999">
        <v>2023</v>
      </c>
      <c r="C3999" t="s">
        <v>13</v>
      </c>
      <c r="D3999" s="35">
        <v>14761069.970000001</v>
      </c>
      <c r="E3999" s="35">
        <v>162979</v>
      </c>
      <c r="F3999" s="35">
        <v>11723029.210000001</v>
      </c>
    </row>
    <row r="4000" spans="1:6" x14ac:dyDescent="0.3">
      <c r="A4000" t="s">
        <v>64</v>
      </c>
      <c r="B4000">
        <v>2023</v>
      </c>
      <c r="C4000" t="s">
        <v>16</v>
      </c>
      <c r="D4000" s="35">
        <v>5346913.5600000015</v>
      </c>
      <c r="E4000" s="35">
        <v>16737</v>
      </c>
      <c r="F4000" s="35">
        <v>5065756.4800000004</v>
      </c>
    </row>
    <row r="4001" spans="1:6" x14ac:dyDescent="0.3">
      <c r="A4001" t="s">
        <v>64</v>
      </c>
      <c r="B4001">
        <v>2023</v>
      </c>
      <c r="C4001" t="s">
        <v>14</v>
      </c>
      <c r="D4001" s="35">
        <v>12136219.130000001</v>
      </c>
      <c r="E4001" s="35">
        <v>295338</v>
      </c>
      <c r="F4001" s="35">
        <v>8421909.8199999984</v>
      </c>
    </row>
    <row r="4002" spans="1:6" x14ac:dyDescent="0.3">
      <c r="A4002" t="s">
        <v>64</v>
      </c>
      <c r="B4002">
        <v>2023</v>
      </c>
      <c r="C4002" t="s">
        <v>7</v>
      </c>
      <c r="D4002" s="35">
        <v>50808431.640000001</v>
      </c>
      <c r="E4002" s="35">
        <v>17147</v>
      </c>
      <c r="F4002" s="35">
        <v>50652994.920000002</v>
      </c>
    </row>
    <row r="4003" spans="1:6" x14ac:dyDescent="0.3">
      <c r="A4003" t="s">
        <v>64</v>
      </c>
      <c r="B4003">
        <v>2023</v>
      </c>
      <c r="C4003" t="s">
        <v>11</v>
      </c>
      <c r="D4003" s="35">
        <v>35443702.649999999</v>
      </c>
      <c r="E4003" s="35">
        <v>25943</v>
      </c>
      <c r="F4003" s="35">
        <v>35013980.840000004</v>
      </c>
    </row>
    <row r="4004" spans="1:6" x14ac:dyDescent="0.3">
      <c r="A4004" t="s">
        <v>64</v>
      </c>
      <c r="B4004">
        <v>2023</v>
      </c>
      <c r="C4004" t="s">
        <v>3</v>
      </c>
      <c r="D4004" s="35">
        <v>93409911.969999984</v>
      </c>
      <c r="E4004" s="35">
        <v>198346</v>
      </c>
      <c r="F4004" s="35">
        <v>91354497.790000007</v>
      </c>
    </row>
    <row r="4005" spans="1:6" x14ac:dyDescent="0.3">
      <c r="A4005" t="s">
        <v>64</v>
      </c>
      <c r="B4005">
        <v>2023</v>
      </c>
      <c r="C4005" t="s">
        <v>12</v>
      </c>
      <c r="D4005" s="35">
        <v>18693802.91</v>
      </c>
      <c r="E4005" s="35">
        <v>383649</v>
      </c>
      <c r="F4005" s="35">
        <v>12093707.779999999</v>
      </c>
    </row>
    <row r="4006" spans="1:6" x14ac:dyDescent="0.3">
      <c r="A4006" t="s">
        <v>64</v>
      </c>
      <c r="B4006">
        <v>2023</v>
      </c>
      <c r="C4006" t="s">
        <v>2</v>
      </c>
      <c r="D4006" s="35">
        <v>120683663.52</v>
      </c>
      <c r="E4006" s="35">
        <v>957236</v>
      </c>
      <c r="F4006" s="35">
        <v>106484686.45999999</v>
      </c>
    </row>
    <row r="4007" spans="1:6" x14ac:dyDescent="0.3">
      <c r="A4007" t="s">
        <v>64</v>
      </c>
      <c r="B4007">
        <v>2023</v>
      </c>
      <c r="C4007" t="s">
        <v>5</v>
      </c>
      <c r="D4007" s="35">
        <v>44605191.119999997</v>
      </c>
      <c r="E4007" s="35">
        <v>23192</v>
      </c>
      <c r="F4007" s="35">
        <v>43850335.520000003</v>
      </c>
    </row>
    <row r="4008" spans="1:6" x14ac:dyDescent="0.3">
      <c r="A4008" t="s">
        <v>64</v>
      </c>
      <c r="B4008">
        <v>2023</v>
      </c>
      <c r="C4008" t="s">
        <v>17</v>
      </c>
      <c r="D4008" s="35">
        <v>1188374.78</v>
      </c>
      <c r="E4008" s="35">
        <v>90934</v>
      </c>
      <c r="F4008" s="35">
        <v>422637.62999999989</v>
      </c>
    </row>
    <row r="4009" spans="1:6" x14ac:dyDescent="0.3">
      <c r="A4009" t="s">
        <v>64</v>
      </c>
      <c r="B4009">
        <v>2023</v>
      </c>
      <c r="C4009" t="s">
        <v>9</v>
      </c>
      <c r="D4009" s="35">
        <v>36333990.020000003</v>
      </c>
      <c r="E4009" s="35">
        <v>537494</v>
      </c>
      <c r="F4009" s="35">
        <v>26089673.420000002</v>
      </c>
    </row>
    <row r="4010" spans="1:6" x14ac:dyDescent="0.3">
      <c r="A4010" t="s">
        <v>64</v>
      </c>
      <c r="B4010">
        <v>2023</v>
      </c>
      <c r="C4010" t="s">
        <v>8</v>
      </c>
      <c r="D4010" s="35">
        <v>26532644.260000002</v>
      </c>
      <c r="E4010" s="35">
        <v>1824</v>
      </c>
      <c r="F4010" s="35">
        <v>26532644.260000002</v>
      </c>
    </row>
    <row r="4011" spans="1:6" x14ac:dyDescent="0.3">
      <c r="A4011" t="s">
        <v>64</v>
      </c>
      <c r="B4011">
        <v>2023</v>
      </c>
      <c r="C4011" t="s">
        <v>6</v>
      </c>
      <c r="D4011" s="35">
        <v>48856857.880000003</v>
      </c>
      <c r="E4011" s="35">
        <v>605108</v>
      </c>
      <c r="F4011" s="35">
        <v>35526690.959999993</v>
      </c>
    </row>
    <row r="4012" spans="1:6" x14ac:dyDescent="0.3">
      <c r="A4012" t="s">
        <v>64</v>
      </c>
      <c r="B4012">
        <v>2023</v>
      </c>
      <c r="C4012" t="s">
        <v>15</v>
      </c>
      <c r="D4012" s="35">
        <v>6265710.6499999994</v>
      </c>
      <c r="E4012" s="35">
        <v>162174</v>
      </c>
      <c r="F4012" s="35">
        <v>2407097.35</v>
      </c>
    </row>
    <row r="4013" spans="1:6" x14ac:dyDescent="0.3">
      <c r="A4013" t="s">
        <v>64</v>
      </c>
      <c r="B4013">
        <v>2023</v>
      </c>
      <c r="C4013" t="s">
        <v>18</v>
      </c>
      <c r="D4013" s="35">
        <v>2721291.3000000012</v>
      </c>
      <c r="E4013" s="35">
        <v>15181</v>
      </c>
      <c r="F4013" s="35">
        <v>2501608.67</v>
      </c>
    </row>
    <row r="4014" spans="1:6" x14ac:dyDescent="0.3">
      <c r="A4014" t="s">
        <v>64</v>
      </c>
      <c r="B4014">
        <v>2024</v>
      </c>
      <c r="C4014" t="s">
        <v>10</v>
      </c>
      <c r="D4014" s="35">
        <v>40827760.57</v>
      </c>
      <c r="E4014" s="35">
        <v>800670</v>
      </c>
      <c r="F4014" s="35">
        <v>33330894.580000009</v>
      </c>
    </row>
    <row r="4015" spans="1:6" x14ac:dyDescent="0.3">
      <c r="A4015" t="s">
        <v>64</v>
      </c>
      <c r="B4015">
        <v>2024</v>
      </c>
      <c r="C4015" t="s">
        <v>4</v>
      </c>
      <c r="D4015" s="35">
        <v>112816302.16</v>
      </c>
      <c r="E4015" s="35">
        <v>261101</v>
      </c>
      <c r="F4015" s="35">
        <v>111559731.38</v>
      </c>
    </row>
    <row r="4016" spans="1:6" x14ac:dyDescent="0.3">
      <c r="A4016" t="s">
        <v>64</v>
      </c>
      <c r="B4016">
        <v>2024</v>
      </c>
      <c r="C4016" t="s">
        <v>13</v>
      </c>
      <c r="D4016" s="35">
        <v>13160400.380000001</v>
      </c>
      <c r="E4016" s="35">
        <v>189592</v>
      </c>
      <c r="F4016" s="35">
        <v>10128146.949999999</v>
      </c>
    </row>
    <row r="4017" spans="1:6" x14ac:dyDescent="0.3">
      <c r="A4017" t="s">
        <v>64</v>
      </c>
      <c r="B4017">
        <v>2024</v>
      </c>
      <c r="C4017" t="s">
        <v>16</v>
      </c>
      <c r="D4017" s="35">
        <v>5079924.49</v>
      </c>
      <c r="E4017" s="35">
        <v>22970</v>
      </c>
      <c r="F4017" s="35">
        <v>4583214.2699999996</v>
      </c>
    </row>
    <row r="4018" spans="1:6" x14ac:dyDescent="0.3">
      <c r="A4018" t="s">
        <v>64</v>
      </c>
      <c r="B4018">
        <v>2024</v>
      </c>
      <c r="C4018" t="s">
        <v>14</v>
      </c>
      <c r="D4018" s="35">
        <v>13416145.6</v>
      </c>
      <c r="E4018" s="35">
        <v>408227</v>
      </c>
      <c r="F4018" s="35">
        <v>8882087.0600000005</v>
      </c>
    </row>
    <row r="4019" spans="1:6" x14ac:dyDescent="0.3">
      <c r="A4019" t="s">
        <v>64</v>
      </c>
      <c r="B4019">
        <v>2024</v>
      </c>
      <c r="C4019" t="s">
        <v>7</v>
      </c>
      <c r="D4019" s="35">
        <v>71660430.040000007</v>
      </c>
      <c r="E4019" s="35">
        <v>23314</v>
      </c>
      <c r="F4019" s="35">
        <v>71476599.420000002</v>
      </c>
    </row>
    <row r="4020" spans="1:6" x14ac:dyDescent="0.3">
      <c r="A4020" t="s">
        <v>64</v>
      </c>
      <c r="B4020">
        <v>2024</v>
      </c>
      <c r="C4020" t="s">
        <v>11</v>
      </c>
      <c r="D4020" s="35">
        <v>36729622.200000003</v>
      </c>
      <c r="E4020" s="35">
        <v>24821</v>
      </c>
      <c r="F4020" s="35">
        <v>36439421.340000004</v>
      </c>
    </row>
    <row r="4021" spans="1:6" x14ac:dyDescent="0.3">
      <c r="A4021" t="s">
        <v>64</v>
      </c>
      <c r="B4021">
        <v>2024</v>
      </c>
      <c r="C4021" t="s">
        <v>3</v>
      </c>
      <c r="D4021" s="35">
        <v>92254532.260000005</v>
      </c>
      <c r="E4021" s="35">
        <v>273386</v>
      </c>
      <c r="F4021" s="35">
        <v>89445707.88000001</v>
      </c>
    </row>
    <row r="4022" spans="1:6" x14ac:dyDescent="0.3">
      <c r="A4022" t="s">
        <v>64</v>
      </c>
      <c r="B4022">
        <v>2024</v>
      </c>
      <c r="C4022" t="s">
        <v>12</v>
      </c>
      <c r="D4022" s="35">
        <v>20239758.580000009</v>
      </c>
      <c r="E4022" s="35">
        <v>566937</v>
      </c>
      <c r="F4022" s="35">
        <v>12039232.92</v>
      </c>
    </row>
    <row r="4023" spans="1:6" x14ac:dyDescent="0.3">
      <c r="A4023" t="s">
        <v>64</v>
      </c>
      <c r="B4023">
        <v>2024</v>
      </c>
      <c r="C4023" t="s">
        <v>2</v>
      </c>
      <c r="D4023" s="35">
        <v>143306873.84</v>
      </c>
      <c r="E4023" s="35">
        <v>1234967</v>
      </c>
      <c r="F4023" s="35">
        <v>126585292.31999999</v>
      </c>
    </row>
    <row r="4024" spans="1:6" x14ac:dyDescent="0.3">
      <c r="A4024" t="s">
        <v>64</v>
      </c>
      <c r="B4024">
        <v>2024</v>
      </c>
      <c r="C4024" t="s">
        <v>5</v>
      </c>
      <c r="D4024" s="35">
        <v>45877581.359999999</v>
      </c>
      <c r="E4024" s="35">
        <v>25764</v>
      </c>
      <c r="F4024" s="35">
        <v>44993305.530000001</v>
      </c>
    </row>
    <row r="4025" spans="1:6" x14ac:dyDescent="0.3">
      <c r="A4025" t="s">
        <v>64</v>
      </c>
      <c r="B4025">
        <v>2024</v>
      </c>
      <c r="C4025" t="s">
        <v>17</v>
      </c>
      <c r="D4025" s="35">
        <v>1104911</v>
      </c>
      <c r="E4025" s="35">
        <v>88411</v>
      </c>
      <c r="F4025" s="35">
        <v>472829.49</v>
      </c>
    </row>
    <row r="4026" spans="1:6" x14ac:dyDescent="0.3">
      <c r="A4026" t="s">
        <v>64</v>
      </c>
      <c r="B4026">
        <v>2024</v>
      </c>
      <c r="C4026" t="s">
        <v>9</v>
      </c>
      <c r="D4026" s="35">
        <v>33038448.239999991</v>
      </c>
      <c r="E4026" s="35">
        <v>696265</v>
      </c>
      <c r="F4026" s="35">
        <v>12051839.24</v>
      </c>
    </row>
    <row r="4027" spans="1:6" x14ac:dyDescent="0.3">
      <c r="A4027" t="s">
        <v>64</v>
      </c>
      <c r="B4027">
        <v>2024</v>
      </c>
      <c r="C4027" t="s">
        <v>8</v>
      </c>
      <c r="D4027" s="35">
        <v>26300072.350000001</v>
      </c>
      <c r="E4027" s="35">
        <v>1648</v>
      </c>
      <c r="F4027" s="35">
        <v>26300072.350000001</v>
      </c>
    </row>
    <row r="4028" spans="1:6" x14ac:dyDescent="0.3">
      <c r="A4028" t="s">
        <v>64</v>
      </c>
      <c r="B4028">
        <v>2024</v>
      </c>
      <c r="C4028" t="s">
        <v>6</v>
      </c>
      <c r="D4028" s="35">
        <v>46155399.799999997</v>
      </c>
      <c r="E4028" s="35">
        <v>753842</v>
      </c>
      <c r="F4028" s="35">
        <v>33677294.080000013</v>
      </c>
    </row>
    <row r="4029" spans="1:6" x14ac:dyDescent="0.3">
      <c r="A4029" t="s">
        <v>64</v>
      </c>
      <c r="B4029">
        <v>2024</v>
      </c>
      <c r="C4029" t="s">
        <v>15</v>
      </c>
      <c r="D4029" s="35">
        <v>10362699.039999999</v>
      </c>
      <c r="E4029" s="35">
        <v>173454</v>
      </c>
      <c r="F4029" s="35">
        <v>3895579.7200000011</v>
      </c>
    </row>
    <row r="4030" spans="1:6" x14ac:dyDescent="0.3">
      <c r="A4030" t="s">
        <v>64</v>
      </c>
      <c r="B4030">
        <v>2024</v>
      </c>
      <c r="C4030" t="s">
        <v>18</v>
      </c>
      <c r="D4030" s="35">
        <v>2673474.38</v>
      </c>
      <c r="E4030" s="35">
        <v>17458</v>
      </c>
      <c r="F4030" s="35">
        <v>2308137.63</v>
      </c>
    </row>
    <row r="4031" spans="1:6" x14ac:dyDescent="0.3">
      <c r="A4031" t="s">
        <v>64</v>
      </c>
      <c r="B4031">
        <v>2025</v>
      </c>
      <c r="C4031" t="s">
        <v>10</v>
      </c>
      <c r="D4031" s="35">
        <v>44490983.869999997</v>
      </c>
      <c r="E4031" s="35">
        <v>948764</v>
      </c>
      <c r="F4031" s="35">
        <v>36200995.610000007</v>
      </c>
    </row>
    <row r="4032" spans="1:6" x14ac:dyDescent="0.3">
      <c r="A4032" t="s">
        <v>64</v>
      </c>
      <c r="B4032">
        <v>2025</v>
      </c>
      <c r="C4032" t="s">
        <v>4</v>
      </c>
      <c r="D4032" s="35">
        <v>134706483.96000001</v>
      </c>
      <c r="E4032" s="35">
        <v>323764</v>
      </c>
      <c r="F4032" s="35">
        <v>133081679.95999999</v>
      </c>
    </row>
    <row r="4033" spans="1:6" x14ac:dyDescent="0.3">
      <c r="A4033" t="s">
        <v>64</v>
      </c>
      <c r="B4033">
        <v>2025</v>
      </c>
      <c r="C4033" t="s">
        <v>13</v>
      </c>
      <c r="D4033" s="35">
        <v>16969226.670000002</v>
      </c>
      <c r="E4033" s="35">
        <v>279823</v>
      </c>
      <c r="F4033" s="35">
        <v>12803987.289999999</v>
      </c>
    </row>
    <row r="4034" spans="1:6" x14ac:dyDescent="0.3">
      <c r="A4034" t="s">
        <v>64</v>
      </c>
      <c r="B4034">
        <v>2025</v>
      </c>
      <c r="C4034" t="s">
        <v>16</v>
      </c>
      <c r="D4034" s="35">
        <v>10251961.49</v>
      </c>
      <c r="E4034" s="35">
        <v>34113</v>
      </c>
      <c r="F4034" s="35">
        <v>8911461.4099999983</v>
      </c>
    </row>
    <row r="4035" spans="1:6" x14ac:dyDescent="0.3">
      <c r="A4035" t="s">
        <v>64</v>
      </c>
      <c r="B4035">
        <v>2025</v>
      </c>
      <c r="C4035" t="s">
        <v>14</v>
      </c>
      <c r="D4035" s="35">
        <v>17300803.07</v>
      </c>
      <c r="E4035" s="35">
        <v>506409</v>
      </c>
      <c r="F4035" s="35">
        <v>12239599.67</v>
      </c>
    </row>
    <row r="4036" spans="1:6" x14ac:dyDescent="0.3">
      <c r="A4036" t="s">
        <v>64</v>
      </c>
      <c r="B4036">
        <v>2025</v>
      </c>
      <c r="C4036" t="s">
        <v>7</v>
      </c>
      <c r="D4036" s="35">
        <v>81974727.49000001</v>
      </c>
      <c r="E4036" s="35">
        <v>25654</v>
      </c>
      <c r="F4036" s="35">
        <v>81703172.410000011</v>
      </c>
    </row>
    <row r="4037" spans="1:6" x14ac:dyDescent="0.3">
      <c r="A4037" t="s">
        <v>64</v>
      </c>
      <c r="B4037">
        <v>2025</v>
      </c>
      <c r="C4037" t="s">
        <v>11</v>
      </c>
      <c r="D4037" s="35">
        <v>45142503.720000014</v>
      </c>
      <c r="E4037" s="35">
        <v>35053</v>
      </c>
      <c r="F4037" s="35">
        <v>44588266.669999987</v>
      </c>
    </row>
    <row r="4038" spans="1:6" x14ac:dyDescent="0.3">
      <c r="A4038" t="s">
        <v>64</v>
      </c>
      <c r="B4038">
        <v>2025</v>
      </c>
      <c r="C4038" t="s">
        <v>3</v>
      </c>
      <c r="D4038" s="35">
        <v>117556454.54000001</v>
      </c>
      <c r="E4038" s="35">
        <v>335090</v>
      </c>
      <c r="F4038" s="35">
        <v>114670168.53</v>
      </c>
    </row>
    <row r="4039" spans="1:6" x14ac:dyDescent="0.3">
      <c r="A4039" t="s">
        <v>64</v>
      </c>
      <c r="B4039">
        <v>2025</v>
      </c>
      <c r="C4039" t="s">
        <v>12</v>
      </c>
      <c r="D4039" s="35">
        <v>24691777.030000001</v>
      </c>
      <c r="E4039" s="35">
        <v>671233</v>
      </c>
      <c r="F4039" s="35">
        <v>15424701.26</v>
      </c>
    </row>
    <row r="4040" spans="1:6" x14ac:dyDescent="0.3">
      <c r="A4040" t="s">
        <v>64</v>
      </c>
      <c r="B4040">
        <v>2025</v>
      </c>
      <c r="C4040" t="s">
        <v>2</v>
      </c>
      <c r="D4040" s="35">
        <v>185982060.61000001</v>
      </c>
      <c r="E4040" s="35">
        <v>1628589</v>
      </c>
      <c r="F4040" s="35">
        <v>166552384.65000001</v>
      </c>
    </row>
    <row r="4041" spans="1:6" x14ac:dyDescent="0.3">
      <c r="A4041" t="s">
        <v>64</v>
      </c>
      <c r="B4041">
        <v>2025</v>
      </c>
      <c r="C4041" t="s">
        <v>5</v>
      </c>
      <c r="D4041" s="35">
        <v>68447274.120000005</v>
      </c>
      <c r="E4041" s="35">
        <v>40225</v>
      </c>
      <c r="F4041" s="35">
        <v>67396240.789999992</v>
      </c>
    </row>
    <row r="4042" spans="1:6" x14ac:dyDescent="0.3">
      <c r="A4042" t="s">
        <v>64</v>
      </c>
      <c r="B4042">
        <v>2025</v>
      </c>
      <c r="C4042" t="s">
        <v>17</v>
      </c>
      <c r="D4042" s="35">
        <v>1692833.12</v>
      </c>
      <c r="E4042" s="35">
        <v>116672</v>
      </c>
      <c r="F4042" s="35">
        <v>916739.65</v>
      </c>
    </row>
    <row r="4043" spans="1:6" x14ac:dyDescent="0.3">
      <c r="A4043" t="s">
        <v>64</v>
      </c>
      <c r="B4043">
        <v>2025</v>
      </c>
      <c r="C4043" t="s">
        <v>9</v>
      </c>
      <c r="D4043" s="35">
        <v>28198928.649999991</v>
      </c>
      <c r="E4043" s="35">
        <v>900546</v>
      </c>
      <c r="F4043" s="35">
        <v>13291856.199999999</v>
      </c>
    </row>
    <row r="4044" spans="1:6" x14ac:dyDescent="0.3">
      <c r="A4044" t="s">
        <v>64</v>
      </c>
      <c r="B4044">
        <v>2025</v>
      </c>
      <c r="C4044" t="s">
        <v>8</v>
      </c>
      <c r="D4044" s="35">
        <v>25399113.510000002</v>
      </c>
      <c r="E4044" s="35">
        <v>1796</v>
      </c>
      <c r="F4044" s="35">
        <v>25182526.809999999</v>
      </c>
    </row>
    <row r="4045" spans="1:6" x14ac:dyDescent="0.3">
      <c r="A4045" t="s">
        <v>64</v>
      </c>
      <c r="B4045">
        <v>2025</v>
      </c>
      <c r="C4045" t="s">
        <v>6</v>
      </c>
      <c r="D4045" s="35">
        <v>48795603.409999996</v>
      </c>
      <c r="E4045" s="35">
        <v>909767</v>
      </c>
      <c r="F4045" s="35">
        <v>37763763.5</v>
      </c>
    </row>
    <row r="4046" spans="1:6" x14ac:dyDescent="0.3">
      <c r="A4046" t="s">
        <v>64</v>
      </c>
      <c r="B4046">
        <v>2025</v>
      </c>
      <c r="C4046" t="s">
        <v>15</v>
      </c>
      <c r="D4046" s="35">
        <v>16846078.489999998</v>
      </c>
      <c r="E4046" s="35">
        <v>190551</v>
      </c>
      <c r="F4046" s="35">
        <v>6425339.0599999987</v>
      </c>
    </row>
    <row r="4047" spans="1:6" x14ac:dyDescent="0.3">
      <c r="A4047" t="s">
        <v>64</v>
      </c>
      <c r="B4047">
        <v>2025</v>
      </c>
      <c r="C4047" t="s">
        <v>18</v>
      </c>
      <c r="D4047" s="35">
        <v>1938232.57</v>
      </c>
      <c r="E4047" s="35">
        <v>21866</v>
      </c>
      <c r="F4047" s="35">
        <v>1390640.27</v>
      </c>
    </row>
    <row r="4048" spans="1:6" x14ac:dyDescent="0.3">
      <c r="A4048" t="s">
        <v>65</v>
      </c>
      <c r="B4048">
        <v>2019</v>
      </c>
      <c r="C4048" t="s">
        <v>10</v>
      </c>
      <c r="D4048" s="35">
        <v>261357993.71000001</v>
      </c>
      <c r="E4048" s="35">
        <v>13024173</v>
      </c>
      <c r="F4048" s="35">
        <v>169060645.34999999</v>
      </c>
    </row>
    <row r="4049" spans="1:6" x14ac:dyDescent="0.3">
      <c r="A4049" t="s">
        <v>65</v>
      </c>
      <c r="B4049">
        <v>2019</v>
      </c>
      <c r="C4049" t="s">
        <v>4</v>
      </c>
      <c r="D4049" s="35">
        <v>759266355.72000015</v>
      </c>
      <c r="E4049" s="35">
        <v>3801179</v>
      </c>
      <c r="F4049" s="35">
        <v>745559392.68000019</v>
      </c>
    </row>
    <row r="4050" spans="1:6" x14ac:dyDescent="0.3">
      <c r="A4050" t="s">
        <v>65</v>
      </c>
      <c r="B4050">
        <v>2019</v>
      </c>
      <c r="C4050" t="s">
        <v>13</v>
      </c>
      <c r="D4050" s="35">
        <v>236874343.37</v>
      </c>
      <c r="E4050" s="35">
        <v>4510164</v>
      </c>
      <c r="F4050" s="35">
        <v>172974755.88</v>
      </c>
    </row>
    <row r="4051" spans="1:6" x14ac:dyDescent="0.3">
      <c r="A4051" t="s">
        <v>65</v>
      </c>
      <c r="B4051">
        <v>2019</v>
      </c>
      <c r="C4051" t="s">
        <v>16</v>
      </c>
      <c r="D4051" s="35">
        <v>83366519.180000007</v>
      </c>
      <c r="E4051" s="35">
        <v>496502</v>
      </c>
      <c r="F4051" s="35">
        <v>71618561.199999988</v>
      </c>
    </row>
    <row r="4052" spans="1:6" x14ac:dyDescent="0.3">
      <c r="A4052" t="s">
        <v>65</v>
      </c>
      <c r="B4052">
        <v>2019</v>
      </c>
      <c r="C4052" t="s">
        <v>14</v>
      </c>
      <c r="D4052" s="35">
        <v>181888042.38</v>
      </c>
      <c r="E4052" s="35">
        <v>4199428</v>
      </c>
      <c r="F4052" s="35">
        <v>94788387.780000001</v>
      </c>
    </row>
    <row r="4053" spans="1:6" x14ac:dyDescent="0.3">
      <c r="A4053" t="s">
        <v>65</v>
      </c>
      <c r="B4053">
        <v>2019</v>
      </c>
      <c r="C4053" t="s">
        <v>7</v>
      </c>
      <c r="D4053" s="35">
        <v>1121532596.2700009</v>
      </c>
      <c r="E4053" s="35">
        <v>592623</v>
      </c>
      <c r="F4053" s="35">
        <v>1102908821.24</v>
      </c>
    </row>
    <row r="4054" spans="1:6" x14ac:dyDescent="0.3">
      <c r="A4054" t="s">
        <v>65</v>
      </c>
      <c r="B4054">
        <v>2019</v>
      </c>
      <c r="C4054" t="s">
        <v>11</v>
      </c>
      <c r="D4054" s="35">
        <v>339846794.00999999</v>
      </c>
      <c r="E4054" s="35">
        <v>687345</v>
      </c>
      <c r="F4054" s="35">
        <v>301990688.92000002</v>
      </c>
    </row>
    <row r="4055" spans="1:6" x14ac:dyDescent="0.3">
      <c r="A4055" t="s">
        <v>65</v>
      </c>
      <c r="B4055">
        <v>2019</v>
      </c>
      <c r="C4055" t="s">
        <v>3</v>
      </c>
      <c r="D4055" s="35">
        <v>730657766.51999986</v>
      </c>
      <c r="E4055" s="35">
        <v>2856909</v>
      </c>
      <c r="F4055" s="35">
        <v>651294783.41999996</v>
      </c>
    </row>
    <row r="4056" spans="1:6" x14ac:dyDescent="0.3">
      <c r="A4056" t="s">
        <v>65</v>
      </c>
      <c r="B4056">
        <v>2019</v>
      </c>
      <c r="C4056" t="s">
        <v>12</v>
      </c>
      <c r="D4056" s="35">
        <v>354466050.48000008</v>
      </c>
      <c r="E4056" s="35">
        <v>6234742</v>
      </c>
      <c r="F4056" s="35">
        <v>202646219.81</v>
      </c>
    </row>
    <row r="4057" spans="1:6" x14ac:dyDescent="0.3">
      <c r="A4057" t="s">
        <v>65</v>
      </c>
      <c r="B4057">
        <v>2019</v>
      </c>
      <c r="C4057" t="s">
        <v>2</v>
      </c>
      <c r="D4057" s="35">
        <v>936302020.19000006</v>
      </c>
      <c r="E4057" s="35">
        <v>11938118</v>
      </c>
      <c r="F4057" s="35">
        <v>664370122.83000004</v>
      </c>
    </row>
    <row r="4058" spans="1:6" x14ac:dyDescent="0.3">
      <c r="A4058" t="s">
        <v>65</v>
      </c>
      <c r="B4058">
        <v>2019</v>
      </c>
      <c r="C4058" t="s">
        <v>5</v>
      </c>
      <c r="D4058" s="35">
        <v>470392455.05000007</v>
      </c>
      <c r="E4058" s="35">
        <v>281229</v>
      </c>
      <c r="F4058" s="35">
        <v>424491021.84000009</v>
      </c>
    </row>
    <row r="4059" spans="1:6" x14ac:dyDescent="0.3">
      <c r="A4059" t="s">
        <v>65</v>
      </c>
      <c r="B4059">
        <v>2019</v>
      </c>
      <c r="C4059" t="s">
        <v>17</v>
      </c>
      <c r="D4059" s="35">
        <v>83583795.400000006</v>
      </c>
      <c r="E4059" s="35">
        <v>1462183</v>
      </c>
      <c r="F4059" s="35">
        <v>15082792.91</v>
      </c>
    </row>
    <row r="4060" spans="1:6" x14ac:dyDescent="0.3">
      <c r="A4060" t="s">
        <v>65</v>
      </c>
      <c r="B4060">
        <v>2019</v>
      </c>
      <c r="C4060" t="s">
        <v>9</v>
      </c>
      <c r="D4060" s="35">
        <v>360228131.14999992</v>
      </c>
      <c r="E4060" s="35">
        <v>6666851</v>
      </c>
      <c r="F4060" s="35">
        <v>201772241.41999999</v>
      </c>
    </row>
    <row r="4061" spans="1:6" x14ac:dyDescent="0.3">
      <c r="A4061" t="s">
        <v>65</v>
      </c>
      <c r="B4061">
        <v>2019</v>
      </c>
      <c r="C4061" t="s">
        <v>8</v>
      </c>
      <c r="D4061" s="35">
        <v>167724647.53000009</v>
      </c>
      <c r="E4061" s="35">
        <v>20553</v>
      </c>
      <c r="F4061" s="35">
        <v>167657688.94999999</v>
      </c>
    </row>
    <row r="4062" spans="1:6" x14ac:dyDescent="0.3">
      <c r="A4062" t="s">
        <v>65</v>
      </c>
      <c r="B4062">
        <v>2019</v>
      </c>
      <c r="C4062" t="s">
        <v>6</v>
      </c>
      <c r="D4062" s="35">
        <v>614688688.80999994</v>
      </c>
      <c r="E4062" s="35">
        <v>8766128</v>
      </c>
      <c r="F4062" s="35">
        <v>493876568.13999999</v>
      </c>
    </row>
    <row r="4063" spans="1:6" x14ac:dyDescent="0.3">
      <c r="A4063" t="s">
        <v>65</v>
      </c>
      <c r="B4063">
        <v>2019</v>
      </c>
      <c r="C4063" t="s">
        <v>15</v>
      </c>
      <c r="D4063" s="35">
        <v>277007500.94999999</v>
      </c>
      <c r="E4063" s="35">
        <v>8994399</v>
      </c>
      <c r="F4063" s="35">
        <v>145468395.97</v>
      </c>
    </row>
    <row r="4064" spans="1:6" x14ac:dyDescent="0.3">
      <c r="A4064" t="s">
        <v>65</v>
      </c>
      <c r="B4064">
        <v>2019</v>
      </c>
      <c r="C4064" t="s">
        <v>18</v>
      </c>
      <c r="D4064" s="35">
        <v>119755398.8</v>
      </c>
      <c r="E4064" s="35">
        <v>444301</v>
      </c>
      <c r="F4064" s="35">
        <v>104643612.19</v>
      </c>
    </row>
    <row r="4065" spans="1:6" x14ac:dyDescent="0.3">
      <c r="A4065" t="s">
        <v>65</v>
      </c>
      <c r="B4065">
        <v>2020</v>
      </c>
      <c r="C4065" t="s">
        <v>10</v>
      </c>
      <c r="D4065" s="35">
        <v>262883068.2100001</v>
      </c>
      <c r="E4065" s="35">
        <v>13257060</v>
      </c>
      <c r="F4065" s="35">
        <v>188231907.22</v>
      </c>
    </row>
    <row r="4066" spans="1:6" x14ac:dyDescent="0.3">
      <c r="A4066" t="s">
        <v>65</v>
      </c>
      <c r="B4066">
        <v>2020</v>
      </c>
      <c r="C4066" t="s">
        <v>4</v>
      </c>
      <c r="D4066" s="35">
        <v>752759624.57999992</v>
      </c>
      <c r="E4066" s="35">
        <v>3902419</v>
      </c>
      <c r="F4066" s="35">
        <v>744509484.09999979</v>
      </c>
    </row>
    <row r="4067" spans="1:6" x14ac:dyDescent="0.3">
      <c r="A4067" t="s">
        <v>65</v>
      </c>
      <c r="B4067">
        <v>2020</v>
      </c>
      <c r="C4067" t="s">
        <v>13</v>
      </c>
      <c r="D4067" s="35">
        <v>210565230.49000001</v>
      </c>
      <c r="E4067" s="35">
        <v>4576345</v>
      </c>
      <c r="F4067" s="35">
        <v>148034066.74000001</v>
      </c>
    </row>
    <row r="4068" spans="1:6" x14ac:dyDescent="0.3">
      <c r="A4068" t="s">
        <v>65</v>
      </c>
      <c r="B4068">
        <v>2020</v>
      </c>
      <c r="C4068" t="s">
        <v>16</v>
      </c>
      <c r="D4068" s="35">
        <v>75518663.919999987</v>
      </c>
      <c r="E4068" s="35">
        <v>463187</v>
      </c>
      <c r="F4068" s="35">
        <v>65145665.900000013</v>
      </c>
    </row>
    <row r="4069" spans="1:6" x14ac:dyDescent="0.3">
      <c r="A4069" t="s">
        <v>65</v>
      </c>
      <c r="B4069">
        <v>2020</v>
      </c>
      <c r="C4069" t="s">
        <v>14</v>
      </c>
      <c r="D4069" s="35">
        <v>136710741.53999999</v>
      </c>
      <c r="E4069" s="35">
        <v>4257423</v>
      </c>
      <c r="F4069" s="35">
        <v>78495867.579999998</v>
      </c>
    </row>
    <row r="4070" spans="1:6" x14ac:dyDescent="0.3">
      <c r="A4070" t="s">
        <v>65</v>
      </c>
      <c r="B4070">
        <v>2020</v>
      </c>
      <c r="C4070" t="s">
        <v>7</v>
      </c>
      <c r="D4070" s="35">
        <v>1160315739.4400001</v>
      </c>
      <c r="E4070" s="35">
        <v>559038</v>
      </c>
      <c r="F4070" s="35">
        <v>1133709495.6600001</v>
      </c>
    </row>
    <row r="4071" spans="1:6" x14ac:dyDescent="0.3">
      <c r="A4071" t="s">
        <v>65</v>
      </c>
      <c r="B4071">
        <v>2020</v>
      </c>
      <c r="C4071" t="s">
        <v>11</v>
      </c>
      <c r="D4071" s="35">
        <v>197395348.63999999</v>
      </c>
      <c r="E4071" s="35">
        <v>700849</v>
      </c>
      <c r="F4071" s="35">
        <v>183439164.38999999</v>
      </c>
    </row>
    <row r="4072" spans="1:6" x14ac:dyDescent="0.3">
      <c r="A4072" t="s">
        <v>65</v>
      </c>
      <c r="B4072">
        <v>2020</v>
      </c>
      <c r="C4072" t="s">
        <v>3</v>
      </c>
      <c r="D4072" s="35">
        <v>764682698.28999996</v>
      </c>
      <c r="E4072" s="35">
        <v>2499628</v>
      </c>
      <c r="F4072" s="35">
        <v>725332894.12</v>
      </c>
    </row>
    <row r="4073" spans="1:6" x14ac:dyDescent="0.3">
      <c r="A4073" t="s">
        <v>65</v>
      </c>
      <c r="B4073">
        <v>2020</v>
      </c>
      <c r="C4073" t="s">
        <v>12</v>
      </c>
      <c r="D4073" s="35">
        <v>229784129.74999991</v>
      </c>
      <c r="E4073" s="35">
        <v>5280071</v>
      </c>
      <c r="F4073" s="35">
        <v>129100059.33</v>
      </c>
    </row>
    <row r="4074" spans="1:6" x14ac:dyDescent="0.3">
      <c r="A4074" t="s">
        <v>65</v>
      </c>
      <c r="B4074">
        <v>2020</v>
      </c>
      <c r="C4074" t="s">
        <v>2</v>
      </c>
      <c r="D4074" s="35">
        <v>851485208.57000005</v>
      </c>
      <c r="E4074" s="35">
        <v>12290330</v>
      </c>
      <c r="F4074" s="35">
        <v>673175876.28999996</v>
      </c>
    </row>
    <row r="4075" spans="1:6" x14ac:dyDescent="0.3">
      <c r="A4075" t="s">
        <v>65</v>
      </c>
      <c r="B4075">
        <v>2020</v>
      </c>
      <c r="C4075" t="s">
        <v>5</v>
      </c>
      <c r="D4075" s="35">
        <v>437318163.81999999</v>
      </c>
      <c r="E4075" s="35">
        <v>281372</v>
      </c>
      <c r="F4075" s="35">
        <v>408173967.82999998</v>
      </c>
    </row>
    <row r="4076" spans="1:6" x14ac:dyDescent="0.3">
      <c r="A4076" t="s">
        <v>65</v>
      </c>
      <c r="B4076">
        <v>2020</v>
      </c>
      <c r="C4076" t="s">
        <v>17</v>
      </c>
      <c r="D4076" s="35">
        <v>25137800.350000001</v>
      </c>
      <c r="E4076" s="35">
        <v>1494700</v>
      </c>
      <c r="F4076" s="35">
        <v>11109033.73</v>
      </c>
    </row>
    <row r="4077" spans="1:6" x14ac:dyDescent="0.3">
      <c r="A4077" t="s">
        <v>65</v>
      </c>
      <c r="B4077">
        <v>2020</v>
      </c>
      <c r="C4077" t="s">
        <v>9</v>
      </c>
      <c r="D4077" s="35">
        <v>242089166.28999999</v>
      </c>
      <c r="E4077" s="35">
        <v>5957981</v>
      </c>
      <c r="F4077" s="35">
        <v>127835088.88</v>
      </c>
    </row>
    <row r="4078" spans="1:6" x14ac:dyDescent="0.3">
      <c r="A4078" t="s">
        <v>65</v>
      </c>
      <c r="B4078">
        <v>2020</v>
      </c>
      <c r="C4078" t="s">
        <v>8</v>
      </c>
      <c r="D4078" s="35">
        <v>183377404.94</v>
      </c>
      <c r="E4078" s="35">
        <v>21479</v>
      </c>
      <c r="F4078" s="35">
        <v>182319110.03</v>
      </c>
    </row>
    <row r="4079" spans="1:6" x14ac:dyDescent="0.3">
      <c r="A4079" t="s">
        <v>65</v>
      </c>
      <c r="B4079">
        <v>2020</v>
      </c>
      <c r="C4079" t="s">
        <v>6</v>
      </c>
      <c r="D4079" s="35">
        <v>562300902.69000006</v>
      </c>
      <c r="E4079" s="35">
        <v>8394503</v>
      </c>
      <c r="F4079" s="35">
        <v>456711523.87</v>
      </c>
    </row>
    <row r="4080" spans="1:6" x14ac:dyDescent="0.3">
      <c r="A4080" t="s">
        <v>65</v>
      </c>
      <c r="B4080">
        <v>2020</v>
      </c>
      <c r="C4080" t="s">
        <v>15</v>
      </c>
      <c r="D4080" s="35">
        <v>174509968.47</v>
      </c>
      <c r="E4080" s="35">
        <v>6767090</v>
      </c>
      <c r="F4080" s="35">
        <v>80411553.559999987</v>
      </c>
    </row>
    <row r="4081" spans="1:6" x14ac:dyDescent="0.3">
      <c r="A4081" t="s">
        <v>65</v>
      </c>
      <c r="B4081">
        <v>2020</v>
      </c>
      <c r="C4081" t="s">
        <v>18</v>
      </c>
      <c r="D4081" s="35">
        <v>47828960.460000023</v>
      </c>
      <c r="E4081" s="35">
        <v>455729</v>
      </c>
      <c r="F4081" s="35">
        <v>36002899.969999999</v>
      </c>
    </row>
    <row r="4082" spans="1:6" x14ac:dyDescent="0.3">
      <c r="A4082" t="s">
        <v>65</v>
      </c>
      <c r="B4082">
        <v>2021</v>
      </c>
      <c r="C4082" t="s">
        <v>10</v>
      </c>
      <c r="D4082" s="35">
        <v>314573907.68000013</v>
      </c>
      <c r="E4082" s="35">
        <v>14569098</v>
      </c>
      <c r="F4082" s="35">
        <v>240627994.56</v>
      </c>
    </row>
    <row r="4083" spans="1:6" x14ac:dyDescent="0.3">
      <c r="A4083" t="s">
        <v>65</v>
      </c>
      <c r="B4083">
        <v>2021</v>
      </c>
      <c r="C4083" t="s">
        <v>4</v>
      </c>
      <c r="D4083" s="35">
        <v>858989551.79000008</v>
      </c>
      <c r="E4083" s="35">
        <v>4280899</v>
      </c>
      <c r="F4083" s="35">
        <v>847848624.28999984</v>
      </c>
    </row>
    <row r="4084" spans="1:6" x14ac:dyDescent="0.3">
      <c r="A4084" t="s">
        <v>65</v>
      </c>
      <c r="B4084">
        <v>2021</v>
      </c>
      <c r="C4084" t="s">
        <v>13</v>
      </c>
      <c r="D4084" s="35">
        <v>226404127.37</v>
      </c>
      <c r="E4084" s="35">
        <v>5167010</v>
      </c>
      <c r="F4084" s="35">
        <v>157836535.96000001</v>
      </c>
    </row>
    <row r="4085" spans="1:6" x14ac:dyDescent="0.3">
      <c r="A4085" t="s">
        <v>65</v>
      </c>
      <c r="B4085">
        <v>2021</v>
      </c>
      <c r="C4085" t="s">
        <v>16</v>
      </c>
      <c r="D4085" s="35">
        <v>90475995.25999999</v>
      </c>
      <c r="E4085" s="35">
        <v>554884</v>
      </c>
      <c r="F4085" s="35">
        <v>77088772.150000006</v>
      </c>
    </row>
    <row r="4086" spans="1:6" x14ac:dyDescent="0.3">
      <c r="A4086" t="s">
        <v>65</v>
      </c>
      <c r="B4086">
        <v>2021</v>
      </c>
      <c r="C4086" t="s">
        <v>14</v>
      </c>
      <c r="D4086" s="35">
        <v>151674902.88</v>
      </c>
      <c r="E4086" s="35">
        <v>4883476</v>
      </c>
      <c r="F4086" s="35">
        <v>88578155.610000029</v>
      </c>
    </row>
    <row r="4087" spans="1:6" x14ac:dyDescent="0.3">
      <c r="A4087" t="s">
        <v>65</v>
      </c>
      <c r="B4087">
        <v>2021</v>
      </c>
      <c r="C4087" t="s">
        <v>7</v>
      </c>
      <c r="D4087" s="35">
        <v>1165306005.97</v>
      </c>
      <c r="E4087" s="35">
        <v>549727</v>
      </c>
      <c r="F4087" s="35">
        <v>1115258353.99</v>
      </c>
    </row>
    <row r="4088" spans="1:6" x14ac:dyDescent="0.3">
      <c r="A4088" t="s">
        <v>65</v>
      </c>
      <c r="B4088">
        <v>2021</v>
      </c>
      <c r="C4088" t="s">
        <v>11</v>
      </c>
      <c r="D4088" s="35">
        <v>239182352.41</v>
      </c>
      <c r="E4088" s="35">
        <v>779380</v>
      </c>
      <c r="F4088" s="35">
        <v>222227635.36000001</v>
      </c>
    </row>
    <row r="4089" spans="1:6" x14ac:dyDescent="0.3">
      <c r="A4089" t="s">
        <v>65</v>
      </c>
      <c r="B4089">
        <v>2021</v>
      </c>
      <c r="C4089" t="s">
        <v>3</v>
      </c>
      <c r="D4089" s="35">
        <v>974163563.57000005</v>
      </c>
      <c r="E4089" s="35">
        <v>2885545</v>
      </c>
      <c r="F4089" s="35">
        <v>928409610.93000007</v>
      </c>
    </row>
    <row r="4090" spans="1:6" x14ac:dyDescent="0.3">
      <c r="A4090" t="s">
        <v>65</v>
      </c>
      <c r="B4090">
        <v>2021</v>
      </c>
      <c r="C4090" t="s">
        <v>12</v>
      </c>
      <c r="D4090" s="35">
        <v>222287305.77000001</v>
      </c>
      <c r="E4090" s="35">
        <v>5764592</v>
      </c>
      <c r="F4090" s="35">
        <v>124467751.38</v>
      </c>
    </row>
    <row r="4091" spans="1:6" x14ac:dyDescent="0.3">
      <c r="A4091" t="s">
        <v>65</v>
      </c>
      <c r="B4091">
        <v>2021</v>
      </c>
      <c r="C4091" t="s">
        <v>2</v>
      </c>
      <c r="D4091" s="35">
        <v>921336944.25000012</v>
      </c>
      <c r="E4091" s="35">
        <v>12976541</v>
      </c>
      <c r="F4091" s="35">
        <v>727597393.99000001</v>
      </c>
    </row>
    <row r="4092" spans="1:6" x14ac:dyDescent="0.3">
      <c r="A4092" t="s">
        <v>65</v>
      </c>
      <c r="B4092">
        <v>2021</v>
      </c>
      <c r="C4092" t="s">
        <v>5</v>
      </c>
      <c r="D4092" s="35">
        <v>484846318.7100001</v>
      </c>
      <c r="E4092" s="35">
        <v>311521</v>
      </c>
      <c r="F4092" s="35">
        <v>452904377.99000013</v>
      </c>
    </row>
    <row r="4093" spans="1:6" x14ac:dyDescent="0.3">
      <c r="A4093" t="s">
        <v>65</v>
      </c>
      <c r="B4093">
        <v>2021</v>
      </c>
      <c r="C4093" t="s">
        <v>17</v>
      </c>
      <c r="D4093" s="35">
        <v>32000890.390000001</v>
      </c>
      <c r="E4093" s="35">
        <v>1703961</v>
      </c>
      <c r="F4093" s="35">
        <v>12395600.57</v>
      </c>
    </row>
    <row r="4094" spans="1:6" x14ac:dyDescent="0.3">
      <c r="A4094" t="s">
        <v>65</v>
      </c>
      <c r="B4094">
        <v>2021</v>
      </c>
      <c r="C4094" t="s">
        <v>9</v>
      </c>
      <c r="D4094" s="35">
        <v>255286621.16</v>
      </c>
      <c r="E4094" s="35">
        <v>6352431</v>
      </c>
      <c r="F4094" s="35">
        <v>150276744.96000001</v>
      </c>
    </row>
    <row r="4095" spans="1:6" x14ac:dyDescent="0.3">
      <c r="A4095" t="s">
        <v>65</v>
      </c>
      <c r="B4095">
        <v>2021</v>
      </c>
      <c r="C4095" t="s">
        <v>8</v>
      </c>
      <c r="D4095" s="35">
        <v>223842528.86000001</v>
      </c>
      <c r="E4095" s="35">
        <v>15751</v>
      </c>
      <c r="F4095" s="35">
        <v>221632568.34999999</v>
      </c>
    </row>
    <row r="4096" spans="1:6" x14ac:dyDescent="0.3">
      <c r="A4096" t="s">
        <v>65</v>
      </c>
      <c r="B4096">
        <v>2021</v>
      </c>
      <c r="C4096" t="s">
        <v>6</v>
      </c>
      <c r="D4096" s="35">
        <v>561283647.33999991</v>
      </c>
      <c r="E4096" s="35">
        <v>8986794</v>
      </c>
      <c r="F4096" s="35">
        <v>439964187.39999992</v>
      </c>
    </row>
    <row r="4097" spans="1:6" x14ac:dyDescent="0.3">
      <c r="A4097" t="s">
        <v>65</v>
      </c>
      <c r="B4097">
        <v>2021</v>
      </c>
      <c r="C4097" t="s">
        <v>15</v>
      </c>
      <c r="D4097" s="35">
        <v>178545316.27000001</v>
      </c>
      <c r="E4097" s="35">
        <v>6408520</v>
      </c>
      <c r="F4097" s="35">
        <v>79065864.24999997</v>
      </c>
    </row>
    <row r="4098" spans="1:6" x14ac:dyDescent="0.3">
      <c r="A4098" t="s">
        <v>65</v>
      </c>
      <c r="B4098">
        <v>2021</v>
      </c>
      <c r="C4098" t="s">
        <v>18</v>
      </c>
      <c r="D4098" s="35">
        <v>62302526.38000001</v>
      </c>
      <c r="E4098" s="35">
        <v>523023</v>
      </c>
      <c r="F4098" s="35">
        <v>45443656.369999997</v>
      </c>
    </row>
    <row r="4099" spans="1:6" x14ac:dyDescent="0.3">
      <c r="A4099" t="s">
        <v>65</v>
      </c>
      <c r="B4099">
        <v>2022</v>
      </c>
      <c r="C4099" t="s">
        <v>10</v>
      </c>
      <c r="D4099" s="35">
        <v>356548442.76999998</v>
      </c>
      <c r="E4099" s="35">
        <v>14921752</v>
      </c>
      <c r="F4099" s="35">
        <v>276214559.75</v>
      </c>
    </row>
    <row r="4100" spans="1:6" x14ac:dyDescent="0.3">
      <c r="A4100" t="s">
        <v>65</v>
      </c>
      <c r="B4100">
        <v>2022</v>
      </c>
      <c r="C4100" t="s">
        <v>4</v>
      </c>
      <c r="D4100" s="35">
        <v>1012717742.22</v>
      </c>
      <c r="E4100" s="35">
        <v>4567407</v>
      </c>
      <c r="F4100" s="35">
        <v>1002031740.46</v>
      </c>
    </row>
    <row r="4101" spans="1:6" x14ac:dyDescent="0.3">
      <c r="A4101" t="s">
        <v>65</v>
      </c>
      <c r="B4101">
        <v>2022</v>
      </c>
      <c r="C4101" t="s">
        <v>13</v>
      </c>
      <c r="D4101" s="35">
        <v>240602935.59</v>
      </c>
      <c r="E4101" s="35">
        <v>5131702</v>
      </c>
      <c r="F4101" s="35">
        <v>169410860.02000001</v>
      </c>
    </row>
    <row r="4102" spans="1:6" x14ac:dyDescent="0.3">
      <c r="A4102" t="s">
        <v>65</v>
      </c>
      <c r="B4102">
        <v>2022</v>
      </c>
      <c r="C4102" t="s">
        <v>16</v>
      </c>
      <c r="D4102" s="35">
        <v>100131468.33</v>
      </c>
      <c r="E4102" s="35">
        <v>577091</v>
      </c>
      <c r="F4102" s="35">
        <v>86136719.75999999</v>
      </c>
    </row>
    <row r="4103" spans="1:6" x14ac:dyDescent="0.3">
      <c r="A4103" t="s">
        <v>65</v>
      </c>
      <c r="B4103">
        <v>2022</v>
      </c>
      <c r="C4103" t="s">
        <v>14</v>
      </c>
      <c r="D4103" s="35">
        <v>165410982.77999991</v>
      </c>
      <c r="E4103" s="35">
        <v>5368440</v>
      </c>
      <c r="F4103" s="35">
        <v>96668147.240000024</v>
      </c>
    </row>
    <row r="4104" spans="1:6" x14ac:dyDescent="0.3">
      <c r="A4104" t="s">
        <v>65</v>
      </c>
      <c r="B4104">
        <v>2022</v>
      </c>
      <c r="C4104" t="s">
        <v>7</v>
      </c>
      <c r="D4104" s="35">
        <v>1118670570.3800001</v>
      </c>
      <c r="E4104" s="35">
        <v>511731</v>
      </c>
      <c r="F4104" s="35">
        <v>1078515135.2</v>
      </c>
    </row>
    <row r="4105" spans="1:6" x14ac:dyDescent="0.3">
      <c r="A4105" t="s">
        <v>65</v>
      </c>
      <c r="B4105">
        <v>2022</v>
      </c>
      <c r="C4105" t="s">
        <v>11</v>
      </c>
      <c r="D4105" s="35">
        <v>277315258.52999997</v>
      </c>
      <c r="E4105" s="35">
        <v>828529</v>
      </c>
      <c r="F4105" s="35">
        <v>256842895.55000001</v>
      </c>
    </row>
    <row r="4106" spans="1:6" x14ac:dyDescent="0.3">
      <c r="A4106" t="s">
        <v>65</v>
      </c>
      <c r="B4106">
        <v>2022</v>
      </c>
      <c r="C4106" t="s">
        <v>3</v>
      </c>
      <c r="D4106" s="35">
        <v>1152671501.4300001</v>
      </c>
      <c r="E4106" s="35">
        <v>3132699</v>
      </c>
      <c r="F4106" s="35">
        <v>1091093744.9200001</v>
      </c>
    </row>
    <row r="4107" spans="1:6" x14ac:dyDescent="0.3">
      <c r="A4107" t="s">
        <v>65</v>
      </c>
      <c r="B4107">
        <v>2022</v>
      </c>
      <c r="C4107" t="s">
        <v>12</v>
      </c>
      <c r="D4107" s="35">
        <v>241268780.0699999</v>
      </c>
      <c r="E4107" s="35">
        <v>6472417</v>
      </c>
      <c r="F4107" s="35">
        <v>116777861.18000001</v>
      </c>
    </row>
    <row r="4108" spans="1:6" x14ac:dyDescent="0.3">
      <c r="A4108" t="s">
        <v>65</v>
      </c>
      <c r="B4108">
        <v>2022</v>
      </c>
      <c r="C4108" t="s">
        <v>2</v>
      </c>
      <c r="D4108" s="35">
        <v>1006756632.36</v>
      </c>
      <c r="E4108" s="35">
        <v>13288659</v>
      </c>
      <c r="F4108" s="35">
        <v>804807934.24999988</v>
      </c>
    </row>
    <row r="4109" spans="1:6" x14ac:dyDescent="0.3">
      <c r="A4109" t="s">
        <v>65</v>
      </c>
      <c r="B4109">
        <v>2022</v>
      </c>
      <c r="C4109" t="s">
        <v>5</v>
      </c>
      <c r="D4109" s="35">
        <v>531658845.67999989</v>
      </c>
      <c r="E4109" s="35">
        <v>329927</v>
      </c>
      <c r="F4109" s="35">
        <v>493969238.75999999</v>
      </c>
    </row>
    <row r="4110" spans="1:6" x14ac:dyDescent="0.3">
      <c r="A4110" t="s">
        <v>65</v>
      </c>
      <c r="B4110">
        <v>2022</v>
      </c>
      <c r="C4110" t="s">
        <v>17</v>
      </c>
      <c r="D4110" s="35">
        <v>51167871.489999987</v>
      </c>
      <c r="E4110" s="35">
        <v>1631693</v>
      </c>
      <c r="F4110" s="35">
        <v>13349852.24</v>
      </c>
    </row>
    <row r="4111" spans="1:6" x14ac:dyDescent="0.3">
      <c r="A4111" t="s">
        <v>65</v>
      </c>
      <c r="B4111">
        <v>2022</v>
      </c>
      <c r="C4111" t="s">
        <v>9</v>
      </c>
      <c r="D4111" s="35">
        <v>292723601.81000012</v>
      </c>
      <c r="E4111" s="35">
        <v>6916435</v>
      </c>
      <c r="F4111" s="35">
        <v>171953823.27000001</v>
      </c>
    </row>
    <row r="4112" spans="1:6" x14ac:dyDescent="0.3">
      <c r="A4112" t="s">
        <v>65</v>
      </c>
      <c r="B4112">
        <v>2022</v>
      </c>
      <c r="C4112" t="s">
        <v>8</v>
      </c>
      <c r="D4112" s="35">
        <v>243183443.38999999</v>
      </c>
      <c r="E4112" s="35">
        <v>14069</v>
      </c>
      <c r="F4112" s="35">
        <v>241035728.05000001</v>
      </c>
    </row>
    <row r="4113" spans="1:6" x14ac:dyDescent="0.3">
      <c r="A4113" t="s">
        <v>65</v>
      </c>
      <c r="B4113">
        <v>2022</v>
      </c>
      <c r="C4113" t="s">
        <v>6</v>
      </c>
      <c r="D4113" s="35">
        <v>567545645.33999991</v>
      </c>
      <c r="E4113" s="35">
        <v>9733489</v>
      </c>
      <c r="F4113" s="35">
        <v>439100304.38999999</v>
      </c>
    </row>
    <row r="4114" spans="1:6" x14ac:dyDescent="0.3">
      <c r="A4114" t="s">
        <v>65</v>
      </c>
      <c r="B4114">
        <v>2022</v>
      </c>
      <c r="C4114" t="s">
        <v>15</v>
      </c>
      <c r="D4114" s="35">
        <v>153001344.49000001</v>
      </c>
      <c r="E4114" s="35">
        <v>5776998</v>
      </c>
      <c r="F4114" s="35">
        <v>58994558.300000012</v>
      </c>
    </row>
    <row r="4115" spans="1:6" x14ac:dyDescent="0.3">
      <c r="A4115" t="s">
        <v>65</v>
      </c>
      <c r="B4115">
        <v>2022</v>
      </c>
      <c r="C4115" t="s">
        <v>18</v>
      </c>
      <c r="D4115" s="35">
        <v>71731321.49000001</v>
      </c>
      <c r="E4115" s="35">
        <v>492637</v>
      </c>
      <c r="F4115" s="35">
        <v>47855619.590000004</v>
      </c>
    </row>
    <row r="4116" spans="1:6" x14ac:dyDescent="0.3">
      <c r="A4116" t="s">
        <v>65</v>
      </c>
      <c r="B4116">
        <v>2023</v>
      </c>
      <c r="C4116" t="s">
        <v>10</v>
      </c>
      <c r="D4116" s="35">
        <v>497036259.38000011</v>
      </c>
      <c r="E4116" s="35">
        <v>13172572</v>
      </c>
      <c r="F4116" s="35">
        <v>358705088.07999998</v>
      </c>
    </row>
    <row r="4117" spans="1:6" x14ac:dyDescent="0.3">
      <c r="A4117" t="s">
        <v>65</v>
      </c>
      <c r="B4117">
        <v>2023</v>
      </c>
      <c r="C4117" t="s">
        <v>4</v>
      </c>
      <c r="D4117" s="35">
        <v>1473751044.8499999</v>
      </c>
      <c r="E4117" s="35">
        <v>4218753</v>
      </c>
      <c r="F4117" s="35">
        <v>1450761874.1800001</v>
      </c>
    </row>
    <row r="4118" spans="1:6" x14ac:dyDescent="0.3">
      <c r="A4118" t="s">
        <v>65</v>
      </c>
      <c r="B4118">
        <v>2023</v>
      </c>
      <c r="C4118" t="s">
        <v>13</v>
      </c>
      <c r="D4118" s="35">
        <v>293288189.2700001</v>
      </c>
      <c r="E4118" s="35">
        <v>4668495</v>
      </c>
      <c r="F4118" s="35">
        <v>204222638.97</v>
      </c>
    </row>
    <row r="4119" spans="1:6" x14ac:dyDescent="0.3">
      <c r="A4119" t="s">
        <v>65</v>
      </c>
      <c r="B4119">
        <v>2023</v>
      </c>
      <c r="C4119" t="s">
        <v>16</v>
      </c>
      <c r="D4119" s="35">
        <v>152151973.45999989</v>
      </c>
      <c r="E4119" s="35">
        <v>625364</v>
      </c>
      <c r="F4119" s="35">
        <v>140094837.55000001</v>
      </c>
    </row>
    <row r="4120" spans="1:6" x14ac:dyDescent="0.3">
      <c r="A4120" t="s">
        <v>65</v>
      </c>
      <c r="B4120">
        <v>2023</v>
      </c>
      <c r="C4120" t="s">
        <v>14</v>
      </c>
      <c r="D4120" s="35">
        <v>296171963.10000002</v>
      </c>
      <c r="E4120" s="35">
        <v>5541074</v>
      </c>
      <c r="F4120" s="35">
        <v>172155465.81999999</v>
      </c>
    </row>
    <row r="4121" spans="1:6" x14ac:dyDescent="0.3">
      <c r="A4121" t="s">
        <v>65</v>
      </c>
      <c r="B4121">
        <v>2023</v>
      </c>
      <c r="C4121" t="s">
        <v>7</v>
      </c>
      <c r="D4121" s="35">
        <v>1278464959</v>
      </c>
      <c r="E4121" s="35">
        <v>497749</v>
      </c>
      <c r="F4121" s="35">
        <v>1263800301.45</v>
      </c>
    </row>
    <row r="4122" spans="1:6" x14ac:dyDescent="0.3">
      <c r="A4122" t="s">
        <v>65</v>
      </c>
      <c r="B4122">
        <v>2023</v>
      </c>
      <c r="C4122" t="s">
        <v>11</v>
      </c>
      <c r="D4122" s="35">
        <v>349076626.82000011</v>
      </c>
      <c r="E4122" s="35">
        <v>821916</v>
      </c>
      <c r="F4122" s="35">
        <v>320409995.4000001</v>
      </c>
    </row>
    <row r="4123" spans="1:6" x14ac:dyDescent="0.3">
      <c r="A4123" t="s">
        <v>65</v>
      </c>
      <c r="B4123">
        <v>2023</v>
      </c>
      <c r="C4123" t="s">
        <v>3</v>
      </c>
      <c r="D4123" s="35">
        <v>1611954165.3099999</v>
      </c>
      <c r="E4123" s="35">
        <v>3223969</v>
      </c>
      <c r="F4123" s="35">
        <v>1524708223.1500001</v>
      </c>
    </row>
    <row r="4124" spans="1:6" x14ac:dyDescent="0.3">
      <c r="A4124" t="s">
        <v>65</v>
      </c>
      <c r="B4124">
        <v>2023</v>
      </c>
      <c r="C4124" t="s">
        <v>12</v>
      </c>
      <c r="D4124" s="35">
        <v>333575697.71999979</v>
      </c>
      <c r="E4124" s="35">
        <v>6881883</v>
      </c>
      <c r="F4124" s="35">
        <v>160545125.75</v>
      </c>
    </row>
    <row r="4125" spans="1:6" x14ac:dyDescent="0.3">
      <c r="A4125" t="s">
        <v>65</v>
      </c>
      <c r="B4125">
        <v>2023</v>
      </c>
      <c r="C4125" t="s">
        <v>2</v>
      </c>
      <c r="D4125" s="35">
        <v>1263704678.25</v>
      </c>
      <c r="E4125" s="35">
        <v>12702760</v>
      </c>
      <c r="F4125" s="35">
        <v>1017028347.39</v>
      </c>
    </row>
    <row r="4126" spans="1:6" x14ac:dyDescent="0.3">
      <c r="A4126" t="s">
        <v>65</v>
      </c>
      <c r="B4126">
        <v>2023</v>
      </c>
      <c r="C4126" t="s">
        <v>5</v>
      </c>
      <c r="D4126" s="35">
        <v>651462835.02999985</v>
      </c>
      <c r="E4126" s="35">
        <v>344983</v>
      </c>
      <c r="F4126" s="35">
        <v>600518130.97000003</v>
      </c>
    </row>
    <row r="4127" spans="1:6" x14ac:dyDescent="0.3">
      <c r="A4127" t="s">
        <v>65</v>
      </c>
      <c r="B4127">
        <v>2023</v>
      </c>
      <c r="C4127" t="s">
        <v>17</v>
      </c>
      <c r="D4127" s="35">
        <v>85361099.100000024</v>
      </c>
      <c r="E4127" s="35">
        <v>1542031</v>
      </c>
      <c r="F4127" s="35">
        <v>12059137.59</v>
      </c>
    </row>
    <row r="4128" spans="1:6" x14ac:dyDescent="0.3">
      <c r="A4128" t="s">
        <v>65</v>
      </c>
      <c r="B4128">
        <v>2023</v>
      </c>
      <c r="C4128" t="s">
        <v>9</v>
      </c>
      <c r="D4128" s="35">
        <v>439966481.98000002</v>
      </c>
      <c r="E4128" s="35">
        <v>7285113</v>
      </c>
      <c r="F4128" s="35">
        <v>221367585.19</v>
      </c>
    </row>
    <row r="4129" spans="1:6" x14ac:dyDescent="0.3">
      <c r="A4129" t="s">
        <v>65</v>
      </c>
      <c r="B4129">
        <v>2023</v>
      </c>
      <c r="C4129" t="s">
        <v>8</v>
      </c>
      <c r="D4129" s="35">
        <v>273245626.30000007</v>
      </c>
      <c r="E4129" s="35">
        <v>15692</v>
      </c>
      <c r="F4129" s="35">
        <v>270111335.19000012</v>
      </c>
    </row>
    <row r="4130" spans="1:6" x14ac:dyDescent="0.3">
      <c r="A4130" t="s">
        <v>65</v>
      </c>
      <c r="B4130">
        <v>2023</v>
      </c>
      <c r="C4130" t="s">
        <v>6</v>
      </c>
      <c r="D4130" s="35">
        <v>742526906.22000003</v>
      </c>
      <c r="E4130" s="35">
        <v>10010192</v>
      </c>
      <c r="F4130" s="35">
        <v>597846681.50000024</v>
      </c>
    </row>
    <row r="4131" spans="1:6" x14ac:dyDescent="0.3">
      <c r="A4131" t="s">
        <v>65</v>
      </c>
      <c r="B4131">
        <v>2023</v>
      </c>
      <c r="C4131" t="s">
        <v>15</v>
      </c>
      <c r="D4131" s="35">
        <v>178628476.44999999</v>
      </c>
      <c r="E4131" s="35">
        <v>4888210</v>
      </c>
      <c r="F4131" s="35">
        <v>92026346.020000011</v>
      </c>
    </row>
    <row r="4132" spans="1:6" x14ac:dyDescent="0.3">
      <c r="A4132" t="s">
        <v>65</v>
      </c>
      <c r="B4132">
        <v>2023</v>
      </c>
      <c r="C4132" t="s">
        <v>18</v>
      </c>
      <c r="D4132" s="35">
        <v>81771165.809999987</v>
      </c>
      <c r="E4132" s="35">
        <v>390527</v>
      </c>
      <c r="F4132" s="35">
        <v>57526058.900000013</v>
      </c>
    </row>
    <row r="4133" spans="1:6" x14ac:dyDescent="0.3">
      <c r="A4133" t="s">
        <v>65</v>
      </c>
      <c r="B4133">
        <v>2024</v>
      </c>
      <c r="C4133" t="s">
        <v>10</v>
      </c>
      <c r="D4133" s="35">
        <v>576421396.69000006</v>
      </c>
      <c r="E4133" s="35">
        <v>11586026</v>
      </c>
      <c r="F4133" s="35">
        <v>436567528.19000012</v>
      </c>
    </row>
    <row r="4134" spans="1:6" x14ac:dyDescent="0.3">
      <c r="A4134" t="s">
        <v>65</v>
      </c>
      <c r="B4134">
        <v>2024</v>
      </c>
      <c r="C4134" t="s">
        <v>4</v>
      </c>
      <c r="D4134" s="35">
        <v>1677158996.6300001</v>
      </c>
      <c r="E4134" s="35">
        <v>3846673</v>
      </c>
      <c r="F4134" s="35">
        <v>1640809834.3699999</v>
      </c>
    </row>
    <row r="4135" spans="1:6" x14ac:dyDescent="0.3">
      <c r="A4135" t="s">
        <v>65</v>
      </c>
      <c r="B4135">
        <v>2024</v>
      </c>
      <c r="C4135" t="s">
        <v>13</v>
      </c>
      <c r="D4135" s="35">
        <v>322197905.15999991</v>
      </c>
      <c r="E4135" s="35">
        <v>4106372</v>
      </c>
      <c r="F4135" s="35">
        <v>237802802.03</v>
      </c>
    </row>
    <row r="4136" spans="1:6" x14ac:dyDescent="0.3">
      <c r="A4136" t="s">
        <v>65</v>
      </c>
      <c r="B4136">
        <v>2024</v>
      </c>
      <c r="C4136" t="s">
        <v>16</v>
      </c>
      <c r="D4136" s="35">
        <v>208712302.62</v>
      </c>
      <c r="E4136" s="35">
        <v>664010</v>
      </c>
      <c r="F4136" s="35">
        <v>195699913.69</v>
      </c>
    </row>
    <row r="4137" spans="1:6" x14ac:dyDescent="0.3">
      <c r="A4137" t="s">
        <v>65</v>
      </c>
      <c r="B4137">
        <v>2024</v>
      </c>
      <c r="C4137" t="s">
        <v>14</v>
      </c>
      <c r="D4137" s="35">
        <v>351337881.37000012</v>
      </c>
      <c r="E4137" s="35">
        <v>5537850</v>
      </c>
      <c r="F4137" s="35">
        <v>218981213.94</v>
      </c>
    </row>
    <row r="4138" spans="1:6" x14ac:dyDescent="0.3">
      <c r="A4138" t="s">
        <v>65</v>
      </c>
      <c r="B4138">
        <v>2024</v>
      </c>
      <c r="C4138" t="s">
        <v>7</v>
      </c>
      <c r="D4138" s="35">
        <v>1388671723.5</v>
      </c>
      <c r="E4138" s="35">
        <v>472368</v>
      </c>
      <c r="F4138" s="35">
        <v>1384129974.25</v>
      </c>
    </row>
    <row r="4139" spans="1:6" x14ac:dyDescent="0.3">
      <c r="A4139" t="s">
        <v>65</v>
      </c>
      <c r="B4139">
        <v>2024</v>
      </c>
      <c r="C4139" t="s">
        <v>11</v>
      </c>
      <c r="D4139" s="35">
        <v>362766425.75999987</v>
      </c>
      <c r="E4139" s="35">
        <v>808972</v>
      </c>
      <c r="F4139" s="35">
        <v>333465616.85000002</v>
      </c>
    </row>
    <row r="4140" spans="1:6" x14ac:dyDescent="0.3">
      <c r="A4140" t="s">
        <v>65</v>
      </c>
      <c r="B4140">
        <v>2024</v>
      </c>
      <c r="C4140" t="s">
        <v>3</v>
      </c>
      <c r="D4140" s="35">
        <v>1824745969.0599999</v>
      </c>
      <c r="E4140" s="35">
        <v>3056711</v>
      </c>
      <c r="F4140" s="35">
        <v>1714772514.8599999</v>
      </c>
    </row>
    <row r="4141" spans="1:6" x14ac:dyDescent="0.3">
      <c r="A4141" t="s">
        <v>65</v>
      </c>
      <c r="B4141">
        <v>2024</v>
      </c>
      <c r="C4141" t="s">
        <v>12</v>
      </c>
      <c r="D4141" s="35">
        <v>380085170.54000008</v>
      </c>
      <c r="E4141" s="35">
        <v>6855034</v>
      </c>
      <c r="F4141" s="35">
        <v>205260803.27000001</v>
      </c>
    </row>
    <row r="4142" spans="1:6" x14ac:dyDescent="0.3">
      <c r="A4142" t="s">
        <v>65</v>
      </c>
      <c r="B4142">
        <v>2024</v>
      </c>
      <c r="C4142" t="s">
        <v>2</v>
      </c>
      <c r="D4142" s="35">
        <v>1442507422.3799989</v>
      </c>
      <c r="E4142" s="35">
        <v>12102690</v>
      </c>
      <c r="F4142" s="35">
        <v>1217439889.8499999</v>
      </c>
    </row>
    <row r="4143" spans="1:6" x14ac:dyDescent="0.3">
      <c r="A4143" t="s">
        <v>65</v>
      </c>
      <c r="B4143">
        <v>2024</v>
      </c>
      <c r="C4143" t="s">
        <v>5</v>
      </c>
      <c r="D4143" s="35">
        <v>700276367.1099999</v>
      </c>
      <c r="E4143" s="35">
        <v>328721</v>
      </c>
      <c r="F4143" s="35">
        <v>655292532.83999991</v>
      </c>
    </row>
    <row r="4144" spans="1:6" x14ac:dyDescent="0.3">
      <c r="A4144" t="s">
        <v>65</v>
      </c>
      <c r="B4144">
        <v>2024</v>
      </c>
      <c r="C4144" t="s">
        <v>17</v>
      </c>
      <c r="D4144" s="35">
        <v>77760040.480000019</v>
      </c>
      <c r="E4144" s="35">
        <v>1433244</v>
      </c>
      <c r="F4144" s="35">
        <v>9291757.3900000006</v>
      </c>
    </row>
    <row r="4145" spans="1:6" x14ac:dyDescent="0.3">
      <c r="A4145" t="s">
        <v>65</v>
      </c>
      <c r="B4145">
        <v>2024</v>
      </c>
      <c r="C4145" t="s">
        <v>9</v>
      </c>
      <c r="D4145" s="35">
        <v>457833338.67000002</v>
      </c>
      <c r="E4145" s="35">
        <v>7646381</v>
      </c>
      <c r="F4145" s="35">
        <v>217886399.33000001</v>
      </c>
    </row>
    <row r="4146" spans="1:6" x14ac:dyDescent="0.3">
      <c r="A4146" t="s">
        <v>65</v>
      </c>
      <c r="B4146">
        <v>2024</v>
      </c>
      <c r="C4146" t="s">
        <v>8</v>
      </c>
      <c r="D4146" s="35">
        <v>293896765.16000003</v>
      </c>
      <c r="E4146" s="35">
        <v>16110</v>
      </c>
      <c r="F4146" s="35">
        <v>290452131.43000001</v>
      </c>
    </row>
    <row r="4147" spans="1:6" x14ac:dyDescent="0.3">
      <c r="A4147" t="s">
        <v>65</v>
      </c>
      <c r="B4147">
        <v>2024</v>
      </c>
      <c r="C4147" t="s">
        <v>6</v>
      </c>
      <c r="D4147" s="35">
        <v>727725443.09000015</v>
      </c>
      <c r="E4147" s="35">
        <v>10003864</v>
      </c>
      <c r="F4147" s="35">
        <v>532992013.13999993</v>
      </c>
    </row>
    <row r="4148" spans="1:6" x14ac:dyDescent="0.3">
      <c r="A4148" t="s">
        <v>65</v>
      </c>
      <c r="B4148">
        <v>2024</v>
      </c>
      <c r="C4148" t="s">
        <v>15</v>
      </c>
      <c r="D4148" s="35">
        <v>176900063.62000009</v>
      </c>
      <c r="E4148" s="35">
        <v>4556180</v>
      </c>
      <c r="F4148" s="35">
        <v>97048189.86999999</v>
      </c>
    </row>
    <row r="4149" spans="1:6" x14ac:dyDescent="0.3">
      <c r="A4149" t="s">
        <v>65</v>
      </c>
      <c r="B4149">
        <v>2024</v>
      </c>
      <c r="C4149" t="s">
        <v>18</v>
      </c>
      <c r="D4149" s="35">
        <v>99243846.069999978</v>
      </c>
      <c r="E4149" s="35">
        <v>367373</v>
      </c>
      <c r="F4149" s="35">
        <v>77426877.210000008</v>
      </c>
    </row>
    <row r="4150" spans="1:6" x14ac:dyDescent="0.3">
      <c r="A4150" t="s">
        <v>65</v>
      </c>
      <c r="B4150">
        <v>2025</v>
      </c>
      <c r="C4150" t="s">
        <v>10</v>
      </c>
      <c r="D4150" s="35">
        <v>586290876.04999983</v>
      </c>
      <c r="E4150" s="35">
        <v>11022669</v>
      </c>
      <c r="F4150" s="35">
        <v>430378764.20999992</v>
      </c>
    </row>
    <row r="4151" spans="1:6" x14ac:dyDescent="0.3">
      <c r="A4151" t="s">
        <v>65</v>
      </c>
      <c r="B4151">
        <v>2025</v>
      </c>
      <c r="C4151" t="s">
        <v>4</v>
      </c>
      <c r="D4151" s="35">
        <v>1807496262.6800001</v>
      </c>
      <c r="E4151" s="35">
        <v>3817569</v>
      </c>
      <c r="F4151" s="35">
        <v>1743176792.75</v>
      </c>
    </row>
    <row r="4152" spans="1:6" x14ac:dyDescent="0.3">
      <c r="A4152" t="s">
        <v>65</v>
      </c>
      <c r="B4152">
        <v>2025</v>
      </c>
      <c r="C4152" t="s">
        <v>13</v>
      </c>
      <c r="D4152" s="35">
        <v>368070528.47000003</v>
      </c>
      <c r="E4152" s="35">
        <v>4054647</v>
      </c>
      <c r="F4152" s="35">
        <v>286515391.1099999</v>
      </c>
    </row>
    <row r="4153" spans="1:6" x14ac:dyDescent="0.3">
      <c r="A4153" t="s">
        <v>65</v>
      </c>
      <c r="B4153">
        <v>2025</v>
      </c>
      <c r="C4153" t="s">
        <v>16</v>
      </c>
      <c r="D4153" s="35">
        <v>262027504.66999999</v>
      </c>
      <c r="E4153" s="35">
        <v>696915</v>
      </c>
      <c r="F4153" s="35">
        <v>240995056.19000009</v>
      </c>
    </row>
    <row r="4154" spans="1:6" x14ac:dyDescent="0.3">
      <c r="A4154" t="s">
        <v>65</v>
      </c>
      <c r="B4154">
        <v>2025</v>
      </c>
      <c r="C4154" t="s">
        <v>14</v>
      </c>
      <c r="D4154" s="35">
        <v>376743330.63</v>
      </c>
      <c r="E4154" s="35">
        <v>5404541</v>
      </c>
      <c r="F4154" s="35">
        <v>237384629.19999999</v>
      </c>
    </row>
    <row r="4155" spans="1:6" x14ac:dyDescent="0.3">
      <c r="A4155" t="s">
        <v>65</v>
      </c>
      <c r="B4155">
        <v>2025</v>
      </c>
      <c r="C4155" t="s">
        <v>7</v>
      </c>
      <c r="D4155" s="35">
        <v>1493279760.4300001</v>
      </c>
      <c r="E4155" s="35">
        <v>462386</v>
      </c>
      <c r="F4155" s="35">
        <v>1489231901.21</v>
      </c>
    </row>
    <row r="4156" spans="1:6" x14ac:dyDescent="0.3">
      <c r="A4156" t="s">
        <v>65</v>
      </c>
      <c r="B4156">
        <v>2025</v>
      </c>
      <c r="C4156" t="s">
        <v>11</v>
      </c>
      <c r="D4156" s="35">
        <v>408526463.56000012</v>
      </c>
      <c r="E4156" s="35">
        <v>821991</v>
      </c>
      <c r="F4156" s="35">
        <v>372579461.31999987</v>
      </c>
    </row>
    <row r="4157" spans="1:6" x14ac:dyDescent="0.3">
      <c r="A4157" t="s">
        <v>65</v>
      </c>
      <c r="B4157">
        <v>2025</v>
      </c>
      <c r="C4157" t="s">
        <v>3</v>
      </c>
      <c r="D4157" s="35">
        <v>2232745320.6199999</v>
      </c>
      <c r="E4157" s="35">
        <v>3005503</v>
      </c>
      <c r="F4157" s="35">
        <v>2127008869.72</v>
      </c>
    </row>
    <row r="4158" spans="1:6" x14ac:dyDescent="0.3">
      <c r="A4158" t="s">
        <v>65</v>
      </c>
      <c r="B4158">
        <v>2025</v>
      </c>
      <c r="C4158" t="s">
        <v>12</v>
      </c>
      <c r="D4158" s="35">
        <v>393800402.69999993</v>
      </c>
      <c r="E4158" s="35">
        <v>6536694</v>
      </c>
      <c r="F4158" s="35">
        <v>222103806.97000009</v>
      </c>
    </row>
    <row r="4159" spans="1:6" x14ac:dyDescent="0.3">
      <c r="A4159" t="s">
        <v>65</v>
      </c>
      <c r="B4159">
        <v>2025</v>
      </c>
      <c r="C4159" t="s">
        <v>2</v>
      </c>
      <c r="D4159" s="35">
        <v>1659424259.1600001</v>
      </c>
      <c r="E4159" s="35">
        <v>11617626</v>
      </c>
      <c r="F4159" s="35">
        <v>1431232976.46</v>
      </c>
    </row>
    <row r="4160" spans="1:6" x14ac:dyDescent="0.3">
      <c r="A4160" t="s">
        <v>65</v>
      </c>
      <c r="B4160">
        <v>2025</v>
      </c>
      <c r="C4160" t="s">
        <v>5</v>
      </c>
      <c r="D4160" s="35">
        <v>902289058.92999983</v>
      </c>
      <c r="E4160" s="35">
        <v>342874</v>
      </c>
      <c r="F4160" s="35">
        <v>847939623.41000009</v>
      </c>
    </row>
    <row r="4161" spans="1:6" x14ac:dyDescent="0.3">
      <c r="A4161" t="s">
        <v>65</v>
      </c>
      <c r="B4161">
        <v>2025</v>
      </c>
      <c r="C4161" t="s">
        <v>17</v>
      </c>
      <c r="D4161" s="35">
        <v>73910924.210000008</v>
      </c>
      <c r="E4161" s="35">
        <v>1376900</v>
      </c>
      <c r="F4161" s="35">
        <v>7208149.2999999998</v>
      </c>
    </row>
    <row r="4162" spans="1:6" x14ac:dyDescent="0.3">
      <c r="A4162" t="s">
        <v>65</v>
      </c>
      <c r="B4162">
        <v>2025</v>
      </c>
      <c r="C4162" t="s">
        <v>9</v>
      </c>
      <c r="D4162" s="35">
        <v>622249897.58000016</v>
      </c>
      <c r="E4162" s="35">
        <v>8102695</v>
      </c>
      <c r="F4162" s="35">
        <v>239747876.90000001</v>
      </c>
    </row>
    <row r="4163" spans="1:6" x14ac:dyDescent="0.3">
      <c r="A4163" t="s">
        <v>65</v>
      </c>
      <c r="B4163">
        <v>2025</v>
      </c>
      <c r="C4163" t="s">
        <v>8</v>
      </c>
      <c r="D4163" s="35">
        <v>339986797.79000002</v>
      </c>
      <c r="E4163" s="35">
        <v>17001</v>
      </c>
      <c r="F4163" s="35">
        <v>336814159.58999997</v>
      </c>
    </row>
    <row r="4164" spans="1:6" x14ac:dyDescent="0.3">
      <c r="A4164" t="s">
        <v>65</v>
      </c>
      <c r="B4164">
        <v>2025</v>
      </c>
      <c r="C4164" t="s">
        <v>6</v>
      </c>
      <c r="D4164" s="35">
        <v>824960980.80000019</v>
      </c>
      <c r="E4164" s="35">
        <v>9730747</v>
      </c>
      <c r="F4164" s="35">
        <v>574015443.4000001</v>
      </c>
    </row>
    <row r="4165" spans="1:6" x14ac:dyDescent="0.3">
      <c r="A4165" t="s">
        <v>65</v>
      </c>
      <c r="B4165">
        <v>2025</v>
      </c>
      <c r="C4165" t="s">
        <v>15</v>
      </c>
      <c r="D4165" s="35">
        <v>238463872.43000001</v>
      </c>
      <c r="E4165" s="35">
        <v>3969843</v>
      </c>
      <c r="F4165" s="35">
        <v>153786614.84999999</v>
      </c>
    </row>
    <row r="4166" spans="1:6" x14ac:dyDescent="0.3">
      <c r="A4166" t="s">
        <v>65</v>
      </c>
      <c r="B4166">
        <v>2025</v>
      </c>
      <c r="C4166" t="s">
        <v>18</v>
      </c>
      <c r="D4166" s="35">
        <v>95696988.719999984</v>
      </c>
      <c r="E4166" s="35">
        <v>355224</v>
      </c>
      <c r="F4166" s="35">
        <v>74335252.410000011</v>
      </c>
    </row>
    <row r="4167" spans="1:6" x14ac:dyDescent="0.3">
      <c r="A4167" t="s">
        <v>66</v>
      </c>
      <c r="B4167">
        <v>2019</v>
      </c>
      <c r="C4167" t="s">
        <v>10</v>
      </c>
      <c r="D4167" s="35">
        <v>140617613.12</v>
      </c>
      <c r="E4167" s="35">
        <v>6910123</v>
      </c>
      <c r="F4167" s="35">
        <v>104502826.34</v>
      </c>
    </row>
    <row r="4168" spans="1:6" x14ac:dyDescent="0.3">
      <c r="A4168" t="s">
        <v>66</v>
      </c>
      <c r="B4168">
        <v>2019</v>
      </c>
      <c r="C4168" t="s">
        <v>4</v>
      </c>
      <c r="D4168" s="35">
        <v>406264832.5</v>
      </c>
      <c r="E4168" s="35">
        <v>1825986</v>
      </c>
      <c r="F4168" s="35">
        <v>402868850.49999988</v>
      </c>
    </row>
    <row r="4169" spans="1:6" x14ac:dyDescent="0.3">
      <c r="A4169" t="s">
        <v>66</v>
      </c>
      <c r="B4169">
        <v>2019</v>
      </c>
      <c r="C4169" t="s">
        <v>13</v>
      </c>
      <c r="D4169" s="35">
        <v>121807553.04000001</v>
      </c>
      <c r="E4169" s="35">
        <v>2049311</v>
      </c>
      <c r="F4169" s="35">
        <v>83145582.069999993</v>
      </c>
    </row>
    <row r="4170" spans="1:6" x14ac:dyDescent="0.3">
      <c r="A4170" t="s">
        <v>66</v>
      </c>
      <c r="B4170">
        <v>2019</v>
      </c>
      <c r="C4170" t="s">
        <v>16</v>
      </c>
      <c r="D4170" s="35">
        <v>22741655.399999999</v>
      </c>
      <c r="E4170" s="35">
        <v>141955</v>
      </c>
      <c r="F4170" s="35">
        <v>18114017.050000001</v>
      </c>
    </row>
    <row r="4171" spans="1:6" x14ac:dyDescent="0.3">
      <c r="A4171" t="s">
        <v>66</v>
      </c>
      <c r="B4171">
        <v>2019</v>
      </c>
      <c r="C4171" t="s">
        <v>14</v>
      </c>
      <c r="D4171" s="35">
        <v>74606344.00000003</v>
      </c>
      <c r="E4171" s="35">
        <v>2963435</v>
      </c>
      <c r="F4171" s="35">
        <v>49174587.07</v>
      </c>
    </row>
    <row r="4172" spans="1:6" x14ac:dyDescent="0.3">
      <c r="A4172" t="s">
        <v>66</v>
      </c>
      <c r="B4172">
        <v>2019</v>
      </c>
      <c r="C4172" t="s">
        <v>7</v>
      </c>
      <c r="D4172" s="35">
        <v>139867570.72999999</v>
      </c>
      <c r="E4172" s="35">
        <v>66618</v>
      </c>
      <c r="F4172" s="35">
        <v>138427668.53</v>
      </c>
    </row>
    <row r="4173" spans="1:6" x14ac:dyDescent="0.3">
      <c r="A4173" t="s">
        <v>66</v>
      </c>
      <c r="B4173">
        <v>2019</v>
      </c>
      <c r="C4173" t="s">
        <v>11</v>
      </c>
      <c r="D4173" s="35">
        <v>99601951.320000008</v>
      </c>
      <c r="E4173" s="35">
        <v>904210</v>
      </c>
      <c r="F4173" s="35">
        <v>96601092.809999987</v>
      </c>
    </row>
    <row r="4174" spans="1:6" x14ac:dyDescent="0.3">
      <c r="A4174" t="s">
        <v>66</v>
      </c>
      <c r="B4174">
        <v>2019</v>
      </c>
      <c r="C4174" t="s">
        <v>3</v>
      </c>
      <c r="D4174" s="35">
        <v>313785528.63000011</v>
      </c>
      <c r="E4174" s="35">
        <v>1584475</v>
      </c>
      <c r="F4174" s="35">
        <v>297046029.98000002</v>
      </c>
    </row>
    <row r="4175" spans="1:6" x14ac:dyDescent="0.3">
      <c r="A4175" t="s">
        <v>66</v>
      </c>
      <c r="B4175">
        <v>2019</v>
      </c>
      <c r="C4175" t="s">
        <v>12</v>
      </c>
      <c r="D4175" s="35">
        <v>196946454.80000001</v>
      </c>
      <c r="E4175" s="35">
        <v>3563019</v>
      </c>
      <c r="F4175" s="35">
        <v>126902360.88</v>
      </c>
    </row>
    <row r="4176" spans="1:6" x14ac:dyDescent="0.3">
      <c r="A4176" t="s">
        <v>66</v>
      </c>
      <c r="B4176">
        <v>2019</v>
      </c>
      <c r="C4176" t="s">
        <v>2</v>
      </c>
      <c r="D4176" s="35">
        <v>838788836.11999977</v>
      </c>
      <c r="E4176" s="35">
        <v>10188021</v>
      </c>
      <c r="F4176" s="35">
        <v>674430287.48000002</v>
      </c>
    </row>
    <row r="4177" spans="1:6" x14ac:dyDescent="0.3">
      <c r="A4177" t="s">
        <v>66</v>
      </c>
      <c r="B4177">
        <v>2019</v>
      </c>
      <c r="C4177" t="s">
        <v>5</v>
      </c>
      <c r="D4177" s="35">
        <v>226994230.13999999</v>
      </c>
      <c r="E4177" s="35">
        <v>150628</v>
      </c>
      <c r="F4177" s="35">
        <v>213169757.94</v>
      </c>
    </row>
    <row r="4178" spans="1:6" x14ac:dyDescent="0.3">
      <c r="A4178" t="s">
        <v>66</v>
      </c>
      <c r="B4178">
        <v>2019</v>
      </c>
      <c r="C4178" t="s">
        <v>17</v>
      </c>
      <c r="D4178" s="35">
        <v>8514471.7799999993</v>
      </c>
      <c r="E4178" s="35">
        <v>718360</v>
      </c>
      <c r="F4178" s="35">
        <v>2202947.41</v>
      </c>
    </row>
    <row r="4179" spans="1:6" x14ac:dyDescent="0.3">
      <c r="A4179" t="s">
        <v>66</v>
      </c>
      <c r="B4179">
        <v>2019</v>
      </c>
      <c r="C4179" t="s">
        <v>9</v>
      </c>
      <c r="D4179" s="35">
        <v>170861427.62000009</v>
      </c>
      <c r="E4179" s="35">
        <v>5236757</v>
      </c>
      <c r="F4179" s="35">
        <v>97073303.140000001</v>
      </c>
    </row>
    <row r="4180" spans="1:6" x14ac:dyDescent="0.3">
      <c r="A4180" t="s">
        <v>66</v>
      </c>
      <c r="B4180">
        <v>2019</v>
      </c>
      <c r="C4180" t="s">
        <v>8</v>
      </c>
      <c r="D4180" s="35">
        <v>127998834.03</v>
      </c>
      <c r="E4180" s="35">
        <v>12601</v>
      </c>
      <c r="F4180" s="35">
        <v>127998834.03</v>
      </c>
    </row>
    <row r="4181" spans="1:6" x14ac:dyDescent="0.3">
      <c r="A4181" t="s">
        <v>66</v>
      </c>
      <c r="B4181">
        <v>2019</v>
      </c>
      <c r="C4181" t="s">
        <v>6</v>
      </c>
      <c r="D4181" s="35">
        <v>356203017.22000003</v>
      </c>
      <c r="E4181" s="35">
        <v>5467813</v>
      </c>
      <c r="F4181" s="35">
        <v>308794529.05000001</v>
      </c>
    </row>
    <row r="4182" spans="1:6" x14ac:dyDescent="0.3">
      <c r="A4182" t="s">
        <v>66</v>
      </c>
      <c r="B4182">
        <v>2019</v>
      </c>
      <c r="C4182" t="s">
        <v>15</v>
      </c>
      <c r="D4182" s="35">
        <v>97977924.260000005</v>
      </c>
      <c r="E4182" s="35">
        <v>2741204</v>
      </c>
      <c r="F4182" s="35">
        <v>54369359.93</v>
      </c>
    </row>
    <row r="4183" spans="1:6" x14ac:dyDescent="0.3">
      <c r="A4183" t="s">
        <v>66</v>
      </c>
      <c r="B4183">
        <v>2019</v>
      </c>
      <c r="C4183" t="s">
        <v>18</v>
      </c>
      <c r="D4183" s="35">
        <v>22158999.530000001</v>
      </c>
      <c r="E4183" s="35">
        <v>594260</v>
      </c>
      <c r="F4183" s="35">
        <v>15152025.41</v>
      </c>
    </row>
    <row r="4184" spans="1:6" x14ac:dyDescent="0.3">
      <c r="A4184" t="s">
        <v>66</v>
      </c>
      <c r="B4184">
        <v>2020</v>
      </c>
      <c r="C4184" t="s">
        <v>10</v>
      </c>
      <c r="D4184" s="35">
        <v>178601651.94</v>
      </c>
      <c r="E4184" s="35">
        <v>6593460</v>
      </c>
      <c r="F4184" s="35">
        <v>122744613.97</v>
      </c>
    </row>
    <row r="4185" spans="1:6" x14ac:dyDescent="0.3">
      <c r="A4185" t="s">
        <v>66</v>
      </c>
      <c r="B4185">
        <v>2020</v>
      </c>
      <c r="C4185" t="s">
        <v>4</v>
      </c>
      <c r="D4185" s="35">
        <v>454782437.88</v>
      </c>
      <c r="E4185" s="35">
        <v>1772693</v>
      </c>
      <c r="F4185" s="35">
        <v>448573726.56999999</v>
      </c>
    </row>
    <row r="4186" spans="1:6" x14ac:dyDescent="0.3">
      <c r="A4186" t="s">
        <v>66</v>
      </c>
      <c r="B4186">
        <v>2020</v>
      </c>
      <c r="C4186" t="s">
        <v>13</v>
      </c>
      <c r="D4186" s="35">
        <v>115692967.31999999</v>
      </c>
      <c r="E4186" s="35">
        <v>1991036</v>
      </c>
      <c r="F4186" s="35">
        <v>77941139.25999999</v>
      </c>
    </row>
    <row r="4187" spans="1:6" x14ac:dyDescent="0.3">
      <c r="A4187" t="s">
        <v>66</v>
      </c>
      <c r="B4187">
        <v>2020</v>
      </c>
      <c r="C4187" t="s">
        <v>16</v>
      </c>
      <c r="D4187" s="35">
        <v>25050107.170000002</v>
      </c>
      <c r="E4187" s="35">
        <v>141354</v>
      </c>
      <c r="F4187" s="35">
        <v>20391886.390000001</v>
      </c>
    </row>
    <row r="4188" spans="1:6" x14ac:dyDescent="0.3">
      <c r="A4188" t="s">
        <v>66</v>
      </c>
      <c r="B4188">
        <v>2020</v>
      </c>
      <c r="C4188" t="s">
        <v>14</v>
      </c>
      <c r="D4188" s="35">
        <v>88528663.350000009</v>
      </c>
      <c r="E4188" s="35">
        <v>2991569</v>
      </c>
      <c r="F4188" s="35">
        <v>53322036.260000013</v>
      </c>
    </row>
    <row r="4189" spans="1:6" x14ac:dyDescent="0.3">
      <c r="A4189" t="s">
        <v>66</v>
      </c>
      <c r="B4189">
        <v>2020</v>
      </c>
      <c r="C4189" t="s">
        <v>7</v>
      </c>
      <c r="D4189" s="35">
        <v>155685542.79000011</v>
      </c>
      <c r="E4189" s="35">
        <v>65705</v>
      </c>
      <c r="F4189" s="35">
        <v>153894275.99000001</v>
      </c>
    </row>
    <row r="4190" spans="1:6" x14ac:dyDescent="0.3">
      <c r="A4190" t="s">
        <v>66</v>
      </c>
      <c r="B4190">
        <v>2020</v>
      </c>
      <c r="C4190" t="s">
        <v>11</v>
      </c>
      <c r="D4190" s="35">
        <v>87561982.200000003</v>
      </c>
      <c r="E4190" s="35">
        <v>932040</v>
      </c>
      <c r="F4190" s="35">
        <v>81770137.050000027</v>
      </c>
    </row>
    <row r="4191" spans="1:6" x14ac:dyDescent="0.3">
      <c r="A4191" t="s">
        <v>66</v>
      </c>
      <c r="B4191">
        <v>2020</v>
      </c>
      <c r="C4191" t="s">
        <v>3</v>
      </c>
      <c r="D4191" s="35">
        <v>378699673.86000007</v>
      </c>
      <c r="E4191" s="35">
        <v>1340576</v>
      </c>
      <c r="F4191" s="35">
        <v>360680016.90999991</v>
      </c>
    </row>
    <row r="4192" spans="1:6" x14ac:dyDescent="0.3">
      <c r="A4192" t="s">
        <v>66</v>
      </c>
      <c r="B4192">
        <v>2020</v>
      </c>
      <c r="C4192" t="s">
        <v>12</v>
      </c>
      <c r="D4192" s="35">
        <v>173640388.25999999</v>
      </c>
      <c r="E4192" s="35">
        <v>2993312</v>
      </c>
      <c r="F4192" s="35">
        <v>124665209.34999999</v>
      </c>
    </row>
    <row r="4193" spans="1:6" x14ac:dyDescent="0.3">
      <c r="A4193" t="s">
        <v>66</v>
      </c>
      <c r="B4193">
        <v>2020</v>
      </c>
      <c r="C4193" t="s">
        <v>2</v>
      </c>
      <c r="D4193" s="35">
        <v>880340593.04999983</v>
      </c>
      <c r="E4193" s="35">
        <v>10155949</v>
      </c>
      <c r="F4193" s="35">
        <v>693386671.07000005</v>
      </c>
    </row>
    <row r="4194" spans="1:6" x14ac:dyDescent="0.3">
      <c r="A4194" t="s">
        <v>66</v>
      </c>
      <c r="B4194">
        <v>2020</v>
      </c>
      <c r="C4194" t="s">
        <v>5</v>
      </c>
      <c r="D4194" s="35">
        <v>233906902.56999999</v>
      </c>
      <c r="E4194" s="35">
        <v>138094</v>
      </c>
      <c r="F4194" s="35">
        <v>220930633.84000009</v>
      </c>
    </row>
    <row r="4195" spans="1:6" x14ac:dyDescent="0.3">
      <c r="A4195" t="s">
        <v>66</v>
      </c>
      <c r="B4195">
        <v>2020</v>
      </c>
      <c r="C4195" t="s">
        <v>17</v>
      </c>
      <c r="D4195" s="35">
        <v>9065608.2300000004</v>
      </c>
      <c r="E4195" s="35">
        <v>691290</v>
      </c>
      <c r="F4195" s="35">
        <v>1812390.82</v>
      </c>
    </row>
    <row r="4196" spans="1:6" x14ac:dyDescent="0.3">
      <c r="A4196" t="s">
        <v>66</v>
      </c>
      <c r="B4196">
        <v>2020</v>
      </c>
      <c r="C4196" t="s">
        <v>9</v>
      </c>
      <c r="D4196" s="35">
        <v>215364638.47999999</v>
      </c>
      <c r="E4196" s="35">
        <v>5035350</v>
      </c>
      <c r="F4196" s="35">
        <v>96496576.780000001</v>
      </c>
    </row>
    <row r="4197" spans="1:6" x14ac:dyDescent="0.3">
      <c r="A4197" t="s">
        <v>66</v>
      </c>
      <c r="B4197">
        <v>2020</v>
      </c>
      <c r="C4197" t="s">
        <v>8</v>
      </c>
      <c r="D4197" s="35">
        <v>152851755.01000011</v>
      </c>
      <c r="E4197" s="35">
        <v>14530</v>
      </c>
      <c r="F4197" s="35">
        <v>152851755.01000011</v>
      </c>
    </row>
    <row r="4198" spans="1:6" x14ac:dyDescent="0.3">
      <c r="A4198" t="s">
        <v>66</v>
      </c>
      <c r="B4198">
        <v>2020</v>
      </c>
      <c r="C4198" t="s">
        <v>6</v>
      </c>
      <c r="D4198" s="35">
        <v>357024220.51999998</v>
      </c>
      <c r="E4198" s="35">
        <v>5298674</v>
      </c>
      <c r="F4198" s="35">
        <v>312216689.75999987</v>
      </c>
    </row>
    <row r="4199" spans="1:6" x14ac:dyDescent="0.3">
      <c r="A4199" t="s">
        <v>66</v>
      </c>
      <c r="B4199">
        <v>2020</v>
      </c>
      <c r="C4199" t="s">
        <v>15</v>
      </c>
      <c r="D4199" s="35">
        <v>78459789.019999981</v>
      </c>
      <c r="E4199" s="35">
        <v>2120177</v>
      </c>
      <c r="F4199" s="35">
        <v>42408579.780000009</v>
      </c>
    </row>
    <row r="4200" spans="1:6" x14ac:dyDescent="0.3">
      <c r="A4200" t="s">
        <v>66</v>
      </c>
      <c r="B4200">
        <v>2020</v>
      </c>
      <c r="C4200" t="s">
        <v>18</v>
      </c>
      <c r="D4200" s="35">
        <v>26558689.989999998</v>
      </c>
      <c r="E4200" s="35">
        <v>564609</v>
      </c>
      <c r="F4200" s="35">
        <v>19072710.199999999</v>
      </c>
    </row>
    <row r="4201" spans="1:6" x14ac:dyDescent="0.3">
      <c r="A4201" t="s">
        <v>66</v>
      </c>
      <c r="B4201">
        <v>2021</v>
      </c>
      <c r="C4201" t="s">
        <v>10</v>
      </c>
      <c r="D4201" s="35">
        <v>210817323.46000001</v>
      </c>
      <c r="E4201" s="35">
        <v>6243283</v>
      </c>
      <c r="F4201" s="35">
        <v>144639287.18000001</v>
      </c>
    </row>
    <row r="4202" spans="1:6" x14ac:dyDescent="0.3">
      <c r="A4202" t="s">
        <v>66</v>
      </c>
      <c r="B4202">
        <v>2021</v>
      </c>
      <c r="C4202" t="s">
        <v>4</v>
      </c>
      <c r="D4202" s="35">
        <v>535292318.25999999</v>
      </c>
      <c r="E4202" s="35">
        <v>1796234</v>
      </c>
      <c r="F4202" s="35">
        <v>526882919.82000011</v>
      </c>
    </row>
    <row r="4203" spans="1:6" x14ac:dyDescent="0.3">
      <c r="A4203" t="s">
        <v>66</v>
      </c>
      <c r="B4203">
        <v>2021</v>
      </c>
      <c r="C4203" t="s">
        <v>13</v>
      </c>
      <c r="D4203" s="35">
        <v>122102907.31999999</v>
      </c>
      <c r="E4203" s="35">
        <v>1890237</v>
      </c>
      <c r="F4203" s="35">
        <v>80334813.579999998</v>
      </c>
    </row>
    <row r="4204" spans="1:6" x14ac:dyDescent="0.3">
      <c r="A4204" t="s">
        <v>66</v>
      </c>
      <c r="B4204">
        <v>2021</v>
      </c>
      <c r="C4204" t="s">
        <v>16</v>
      </c>
      <c r="D4204" s="35">
        <v>28239113.27</v>
      </c>
      <c r="E4204" s="35">
        <v>139588</v>
      </c>
      <c r="F4204" s="35">
        <v>23223844.09</v>
      </c>
    </row>
    <row r="4205" spans="1:6" x14ac:dyDescent="0.3">
      <c r="A4205" t="s">
        <v>66</v>
      </c>
      <c r="B4205">
        <v>2021</v>
      </c>
      <c r="C4205" t="s">
        <v>14</v>
      </c>
      <c r="D4205" s="35">
        <v>103349127.58</v>
      </c>
      <c r="E4205" s="35">
        <v>3118077</v>
      </c>
      <c r="F4205" s="35">
        <v>65270476.740000017</v>
      </c>
    </row>
    <row r="4206" spans="1:6" x14ac:dyDescent="0.3">
      <c r="A4206" t="s">
        <v>66</v>
      </c>
      <c r="B4206">
        <v>2021</v>
      </c>
      <c r="C4206" t="s">
        <v>7</v>
      </c>
      <c r="D4206" s="35">
        <v>176615951.90000001</v>
      </c>
      <c r="E4206" s="35">
        <v>69502</v>
      </c>
      <c r="F4206" s="35">
        <v>175223229.53</v>
      </c>
    </row>
    <row r="4207" spans="1:6" x14ac:dyDescent="0.3">
      <c r="A4207" t="s">
        <v>66</v>
      </c>
      <c r="B4207">
        <v>2021</v>
      </c>
      <c r="C4207" t="s">
        <v>11</v>
      </c>
      <c r="D4207" s="35">
        <v>80882493.540000007</v>
      </c>
      <c r="E4207" s="35">
        <v>1052377</v>
      </c>
      <c r="F4207" s="35">
        <v>74510628.819999978</v>
      </c>
    </row>
    <row r="4208" spans="1:6" x14ac:dyDescent="0.3">
      <c r="A4208" t="s">
        <v>66</v>
      </c>
      <c r="B4208">
        <v>2021</v>
      </c>
      <c r="C4208" t="s">
        <v>3</v>
      </c>
      <c r="D4208" s="35">
        <v>508046529.32999998</v>
      </c>
      <c r="E4208" s="35">
        <v>1480255</v>
      </c>
      <c r="F4208" s="35">
        <v>489149366.0999999</v>
      </c>
    </row>
    <row r="4209" spans="1:6" x14ac:dyDescent="0.3">
      <c r="A4209" t="s">
        <v>66</v>
      </c>
      <c r="B4209">
        <v>2021</v>
      </c>
      <c r="C4209" t="s">
        <v>12</v>
      </c>
      <c r="D4209" s="35">
        <v>184853267.53</v>
      </c>
      <c r="E4209" s="35">
        <v>3140660</v>
      </c>
      <c r="F4209" s="35">
        <v>139262518.69</v>
      </c>
    </row>
    <row r="4210" spans="1:6" x14ac:dyDescent="0.3">
      <c r="A4210" t="s">
        <v>66</v>
      </c>
      <c r="B4210">
        <v>2021</v>
      </c>
      <c r="C4210" t="s">
        <v>2</v>
      </c>
      <c r="D4210" s="35">
        <v>953166521.47000003</v>
      </c>
      <c r="E4210" s="35">
        <v>10211277</v>
      </c>
      <c r="F4210" s="35">
        <v>752756446.43999982</v>
      </c>
    </row>
    <row r="4211" spans="1:6" x14ac:dyDescent="0.3">
      <c r="A4211" t="s">
        <v>66</v>
      </c>
      <c r="B4211">
        <v>2021</v>
      </c>
      <c r="C4211" t="s">
        <v>5</v>
      </c>
      <c r="D4211" s="35">
        <v>247804784.8000001</v>
      </c>
      <c r="E4211" s="35">
        <v>136517</v>
      </c>
      <c r="F4211" s="35">
        <v>234037923.27000001</v>
      </c>
    </row>
    <row r="4212" spans="1:6" x14ac:dyDescent="0.3">
      <c r="A4212" t="s">
        <v>66</v>
      </c>
      <c r="B4212">
        <v>2021</v>
      </c>
      <c r="C4212" t="s">
        <v>17</v>
      </c>
      <c r="D4212" s="35">
        <v>9218041.6300000008</v>
      </c>
      <c r="E4212" s="35">
        <v>693585</v>
      </c>
      <c r="F4212" s="35">
        <v>1795821.23</v>
      </c>
    </row>
    <row r="4213" spans="1:6" x14ac:dyDescent="0.3">
      <c r="A4213" t="s">
        <v>66</v>
      </c>
      <c r="B4213">
        <v>2021</v>
      </c>
      <c r="C4213" t="s">
        <v>9</v>
      </c>
      <c r="D4213" s="35">
        <v>193967652.63999999</v>
      </c>
      <c r="E4213" s="35">
        <v>4903127</v>
      </c>
      <c r="F4213" s="35">
        <v>77763636.139999986</v>
      </c>
    </row>
    <row r="4214" spans="1:6" x14ac:dyDescent="0.3">
      <c r="A4214" t="s">
        <v>66</v>
      </c>
      <c r="B4214">
        <v>2021</v>
      </c>
      <c r="C4214" t="s">
        <v>8</v>
      </c>
      <c r="D4214" s="35">
        <v>177828661.15000001</v>
      </c>
      <c r="E4214" s="35">
        <v>12200</v>
      </c>
      <c r="F4214" s="35">
        <v>177087977.19</v>
      </c>
    </row>
    <row r="4215" spans="1:6" x14ac:dyDescent="0.3">
      <c r="A4215" t="s">
        <v>66</v>
      </c>
      <c r="B4215">
        <v>2021</v>
      </c>
      <c r="C4215" t="s">
        <v>6</v>
      </c>
      <c r="D4215" s="35">
        <v>378698729.77999997</v>
      </c>
      <c r="E4215" s="35">
        <v>5348410</v>
      </c>
      <c r="F4215" s="35">
        <v>332485950.89999998</v>
      </c>
    </row>
    <row r="4216" spans="1:6" x14ac:dyDescent="0.3">
      <c r="A4216" t="s">
        <v>66</v>
      </c>
      <c r="B4216">
        <v>2021</v>
      </c>
      <c r="C4216" t="s">
        <v>15</v>
      </c>
      <c r="D4216" s="35">
        <v>65913947.780000001</v>
      </c>
      <c r="E4216" s="35">
        <v>1923653</v>
      </c>
      <c r="F4216" s="35">
        <v>31402140.580000009</v>
      </c>
    </row>
    <row r="4217" spans="1:6" x14ac:dyDescent="0.3">
      <c r="A4217" t="s">
        <v>66</v>
      </c>
      <c r="B4217">
        <v>2021</v>
      </c>
      <c r="C4217" t="s">
        <v>18</v>
      </c>
      <c r="D4217" s="35">
        <v>25610957.920000002</v>
      </c>
      <c r="E4217" s="35">
        <v>468292</v>
      </c>
      <c r="F4217" s="35">
        <v>16149518.41</v>
      </c>
    </row>
    <row r="4218" spans="1:6" x14ac:dyDescent="0.3">
      <c r="A4218" t="s">
        <v>66</v>
      </c>
      <c r="B4218">
        <v>2022</v>
      </c>
      <c r="C4218" t="s">
        <v>10</v>
      </c>
      <c r="D4218" s="35">
        <v>235442348.39999989</v>
      </c>
      <c r="E4218" s="35">
        <v>6371797</v>
      </c>
      <c r="F4218" s="35">
        <v>172521332.51000011</v>
      </c>
    </row>
    <row r="4219" spans="1:6" x14ac:dyDescent="0.3">
      <c r="A4219" t="s">
        <v>66</v>
      </c>
      <c r="B4219">
        <v>2022</v>
      </c>
      <c r="C4219" t="s">
        <v>4</v>
      </c>
      <c r="D4219" s="35">
        <v>661511781.42999995</v>
      </c>
      <c r="E4219" s="35">
        <v>1955500</v>
      </c>
      <c r="F4219" s="35">
        <v>654584493.12</v>
      </c>
    </row>
    <row r="4220" spans="1:6" x14ac:dyDescent="0.3">
      <c r="A4220" t="s">
        <v>66</v>
      </c>
      <c r="B4220">
        <v>2022</v>
      </c>
      <c r="C4220" t="s">
        <v>13</v>
      </c>
      <c r="D4220" s="35">
        <v>112813173.64</v>
      </c>
      <c r="E4220" s="35">
        <v>1866775</v>
      </c>
      <c r="F4220" s="35">
        <v>72686332.939999998</v>
      </c>
    </row>
    <row r="4221" spans="1:6" x14ac:dyDescent="0.3">
      <c r="A4221" t="s">
        <v>66</v>
      </c>
      <c r="B4221">
        <v>2022</v>
      </c>
      <c r="C4221" t="s">
        <v>16</v>
      </c>
      <c r="D4221" s="35">
        <v>27175356.07</v>
      </c>
      <c r="E4221" s="35">
        <v>139838</v>
      </c>
      <c r="F4221" s="35">
        <v>22462509.800000001</v>
      </c>
    </row>
    <row r="4222" spans="1:6" x14ac:dyDescent="0.3">
      <c r="A4222" t="s">
        <v>66</v>
      </c>
      <c r="B4222">
        <v>2022</v>
      </c>
      <c r="C4222" t="s">
        <v>14</v>
      </c>
      <c r="D4222" s="35">
        <v>103851982.95999999</v>
      </c>
      <c r="E4222" s="35">
        <v>3201878</v>
      </c>
      <c r="F4222" s="35">
        <v>67425106.810000002</v>
      </c>
    </row>
    <row r="4223" spans="1:6" x14ac:dyDescent="0.3">
      <c r="A4223" t="s">
        <v>66</v>
      </c>
      <c r="B4223">
        <v>2022</v>
      </c>
      <c r="C4223" t="s">
        <v>7</v>
      </c>
      <c r="D4223" s="35">
        <v>177357174.02000001</v>
      </c>
      <c r="E4223" s="35">
        <v>67520</v>
      </c>
      <c r="F4223" s="35">
        <v>174209263.25</v>
      </c>
    </row>
    <row r="4224" spans="1:6" x14ac:dyDescent="0.3">
      <c r="A4224" t="s">
        <v>66</v>
      </c>
      <c r="B4224">
        <v>2022</v>
      </c>
      <c r="C4224" t="s">
        <v>11</v>
      </c>
      <c r="D4224" s="35">
        <v>82065484.060000002</v>
      </c>
      <c r="E4224" s="35">
        <v>856093</v>
      </c>
      <c r="F4224" s="35">
        <v>76452988.550000012</v>
      </c>
    </row>
    <row r="4225" spans="1:6" x14ac:dyDescent="0.3">
      <c r="A4225" t="s">
        <v>66</v>
      </c>
      <c r="B4225">
        <v>2022</v>
      </c>
      <c r="C4225" t="s">
        <v>3</v>
      </c>
      <c r="D4225" s="35">
        <v>586841058.58999991</v>
      </c>
      <c r="E4225" s="35">
        <v>1534661</v>
      </c>
      <c r="F4225" s="35">
        <v>567710884.12</v>
      </c>
    </row>
    <row r="4226" spans="1:6" x14ac:dyDescent="0.3">
      <c r="A4226" t="s">
        <v>66</v>
      </c>
      <c r="B4226">
        <v>2022</v>
      </c>
      <c r="C4226" t="s">
        <v>12</v>
      </c>
      <c r="D4226" s="35">
        <v>209898999.94</v>
      </c>
      <c r="E4226" s="35">
        <v>3464672</v>
      </c>
      <c r="F4226" s="35">
        <v>157196996.21000001</v>
      </c>
    </row>
    <row r="4227" spans="1:6" x14ac:dyDescent="0.3">
      <c r="A4227" t="s">
        <v>66</v>
      </c>
      <c r="B4227">
        <v>2022</v>
      </c>
      <c r="C4227" t="s">
        <v>2</v>
      </c>
      <c r="D4227" s="35">
        <v>1024691975.1</v>
      </c>
      <c r="E4227" s="35">
        <v>10558584</v>
      </c>
      <c r="F4227" s="35">
        <v>843414283.27999985</v>
      </c>
    </row>
    <row r="4228" spans="1:6" x14ac:dyDescent="0.3">
      <c r="A4228" t="s">
        <v>66</v>
      </c>
      <c r="B4228">
        <v>2022</v>
      </c>
      <c r="C4228" t="s">
        <v>5</v>
      </c>
      <c r="D4228" s="35">
        <v>257567304.97</v>
      </c>
      <c r="E4228" s="35">
        <v>132761</v>
      </c>
      <c r="F4228" s="35">
        <v>245629635.90000001</v>
      </c>
    </row>
    <row r="4229" spans="1:6" x14ac:dyDescent="0.3">
      <c r="A4229" t="s">
        <v>66</v>
      </c>
      <c r="B4229">
        <v>2022</v>
      </c>
      <c r="C4229" t="s">
        <v>17</v>
      </c>
      <c r="D4229" s="35">
        <v>10999179.560000001</v>
      </c>
      <c r="E4229" s="35">
        <v>595237</v>
      </c>
      <c r="F4229" s="35">
        <v>1698696.68</v>
      </c>
    </row>
    <row r="4230" spans="1:6" x14ac:dyDescent="0.3">
      <c r="A4230" t="s">
        <v>66</v>
      </c>
      <c r="B4230">
        <v>2022</v>
      </c>
      <c r="C4230" t="s">
        <v>9</v>
      </c>
      <c r="D4230" s="35">
        <v>210471376.86000001</v>
      </c>
      <c r="E4230" s="35">
        <v>5044135</v>
      </c>
      <c r="F4230" s="35">
        <v>63965371.969999999</v>
      </c>
    </row>
    <row r="4231" spans="1:6" x14ac:dyDescent="0.3">
      <c r="A4231" t="s">
        <v>66</v>
      </c>
      <c r="B4231">
        <v>2022</v>
      </c>
      <c r="C4231" t="s">
        <v>8</v>
      </c>
      <c r="D4231" s="35">
        <v>199540505.22999999</v>
      </c>
      <c r="E4231" s="35">
        <v>11253</v>
      </c>
      <c r="F4231" s="35">
        <v>198610802.03</v>
      </c>
    </row>
    <row r="4232" spans="1:6" x14ac:dyDescent="0.3">
      <c r="A4232" t="s">
        <v>66</v>
      </c>
      <c r="B4232">
        <v>2022</v>
      </c>
      <c r="C4232" t="s">
        <v>6</v>
      </c>
      <c r="D4232" s="35">
        <v>408500645.93999988</v>
      </c>
      <c r="E4232" s="35">
        <v>5460835</v>
      </c>
      <c r="F4232" s="35">
        <v>356235214.67000002</v>
      </c>
    </row>
    <row r="4233" spans="1:6" x14ac:dyDescent="0.3">
      <c r="A4233" t="s">
        <v>66</v>
      </c>
      <c r="B4233">
        <v>2022</v>
      </c>
      <c r="C4233" t="s">
        <v>15</v>
      </c>
      <c r="D4233" s="35">
        <v>56255645.390000008</v>
      </c>
      <c r="E4233" s="35">
        <v>1616927</v>
      </c>
      <c r="F4233" s="35">
        <v>27606311.699999999</v>
      </c>
    </row>
    <row r="4234" spans="1:6" x14ac:dyDescent="0.3">
      <c r="A4234" t="s">
        <v>66</v>
      </c>
      <c r="B4234">
        <v>2022</v>
      </c>
      <c r="C4234" t="s">
        <v>18</v>
      </c>
      <c r="D4234" s="35">
        <v>26434875.23</v>
      </c>
      <c r="E4234" s="35">
        <v>356106</v>
      </c>
      <c r="F4234" s="35">
        <v>19637705.330000009</v>
      </c>
    </row>
    <row r="4235" spans="1:6" x14ac:dyDescent="0.3">
      <c r="A4235" t="s">
        <v>66</v>
      </c>
      <c r="B4235">
        <v>2023</v>
      </c>
      <c r="C4235" t="s">
        <v>10</v>
      </c>
      <c r="D4235" s="35">
        <v>263999108.72999999</v>
      </c>
      <c r="E4235" s="35">
        <v>5779440</v>
      </c>
      <c r="F4235" s="35">
        <v>198941058.88</v>
      </c>
    </row>
    <row r="4236" spans="1:6" x14ac:dyDescent="0.3">
      <c r="A4236" t="s">
        <v>66</v>
      </c>
      <c r="B4236">
        <v>2023</v>
      </c>
      <c r="C4236" t="s">
        <v>4</v>
      </c>
      <c r="D4236" s="35">
        <v>795462183.97999978</v>
      </c>
      <c r="E4236" s="35">
        <v>1747315</v>
      </c>
      <c r="F4236" s="35">
        <v>787827060.37</v>
      </c>
    </row>
    <row r="4237" spans="1:6" x14ac:dyDescent="0.3">
      <c r="A4237" t="s">
        <v>66</v>
      </c>
      <c r="B4237">
        <v>2023</v>
      </c>
      <c r="C4237" t="s">
        <v>13</v>
      </c>
      <c r="D4237" s="35">
        <v>95070453.050000012</v>
      </c>
      <c r="E4237" s="35">
        <v>1692611</v>
      </c>
      <c r="F4237" s="35">
        <v>64096223.590000004</v>
      </c>
    </row>
    <row r="4238" spans="1:6" x14ac:dyDescent="0.3">
      <c r="A4238" t="s">
        <v>66</v>
      </c>
      <c r="B4238">
        <v>2023</v>
      </c>
      <c r="C4238" t="s">
        <v>16</v>
      </c>
      <c r="D4238" s="35">
        <v>31393001.13000001</v>
      </c>
      <c r="E4238" s="35">
        <v>139180</v>
      </c>
      <c r="F4238" s="35">
        <v>28116801.669999991</v>
      </c>
    </row>
    <row r="4239" spans="1:6" x14ac:dyDescent="0.3">
      <c r="A4239" t="s">
        <v>66</v>
      </c>
      <c r="B4239">
        <v>2023</v>
      </c>
      <c r="C4239" t="s">
        <v>14</v>
      </c>
      <c r="D4239" s="35">
        <v>113984274.94</v>
      </c>
      <c r="E4239" s="35">
        <v>3019480</v>
      </c>
      <c r="F4239" s="35">
        <v>73824422.829999998</v>
      </c>
    </row>
    <row r="4240" spans="1:6" x14ac:dyDescent="0.3">
      <c r="A4240" t="s">
        <v>66</v>
      </c>
      <c r="B4240">
        <v>2023</v>
      </c>
      <c r="C4240" t="s">
        <v>7</v>
      </c>
      <c r="D4240" s="35">
        <v>180462981.97</v>
      </c>
      <c r="E4240" s="35">
        <v>59907</v>
      </c>
      <c r="F4240" s="35">
        <v>180100649.75</v>
      </c>
    </row>
    <row r="4241" spans="1:6" x14ac:dyDescent="0.3">
      <c r="A4241" t="s">
        <v>66</v>
      </c>
      <c r="B4241">
        <v>2023</v>
      </c>
      <c r="C4241" t="s">
        <v>11</v>
      </c>
      <c r="D4241" s="35">
        <v>78760863.709999979</v>
      </c>
      <c r="E4241" s="35">
        <v>679323</v>
      </c>
      <c r="F4241" s="35">
        <v>75992471.469999999</v>
      </c>
    </row>
    <row r="4242" spans="1:6" x14ac:dyDescent="0.3">
      <c r="A4242" t="s">
        <v>66</v>
      </c>
      <c r="B4242">
        <v>2023</v>
      </c>
      <c r="C4242" t="s">
        <v>3</v>
      </c>
      <c r="D4242" s="35">
        <v>712725852.28999996</v>
      </c>
      <c r="E4242" s="35">
        <v>1519520</v>
      </c>
      <c r="F4242" s="35">
        <v>695946130.88999975</v>
      </c>
    </row>
    <row r="4243" spans="1:6" x14ac:dyDescent="0.3">
      <c r="A4243" t="s">
        <v>66</v>
      </c>
      <c r="B4243">
        <v>2023</v>
      </c>
      <c r="C4243" t="s">
        <v>12</v>
      </c>
      <c r="D4243" s="35">
        <v>199724761.56999999</v>
      </c>
      <c r="E4243" s="35">
        <v>3545761</v>
      </c>
      <c r="F4243" s="35">
        <v>148876898.61000001</v>
      </c>
    </row>
    <row r="4244" spans="1:6" x14ac:dyDescent="0.3">
      <c r="A4244" t="s">
        <v>66</v>
      </c>
      <c r="B4244">
        <v>2023</v>
      </c>
      <c r="C4244" t="s">
        <v>2</v>
      </c>
      <c r="D4244" s="35">
        <v>1056073426.12</v>
      </c>
      <c r="E4244" s="35">
        <v>10438759</v>
      </c>
      <c r="F4244" s="35">
        <v>904242498.57999992</v>
      </c>
    </row>
    <row r="4245" spans="1:6" x14ac:dyDescent="0.3">
      <c r="A4245" t="s">
        <v>66</v>
      </c>
      <c r="B4245">
        <v>2023</v>
      </c>
      <c r="C4245" t="s">
        <v>5</v>
      </c>
      <c r="D4245" s="35">
        <v>242946925.63</v>
      </c>
      <c r="E4245" s="35">
        <v>128268</v>
      </c>
      <c r="F4245" s="35">
        <v>235515454.96000001</v>
      </c>
    </row>
    <row r="4246" spans="1:6" x14ac:dyDescent="0.3">
      <c r="A4246" t="s">
        <v>66</v>
      </c>
      <c r="B4246">
        <v>2023</v>
      </c>
      <c r="C4246" t="s">
        <v>17</v>
      </c>
      <c r="D4246" s="35">
        <v>13104762.359999999</v>
      </c>
      <c r="E4246" s="35">
        <v>608079</v>
      </c>
      <c r="F4246" s="35">
        <v>2662720.65</v>
      </c>
    </row>
    <row r="4247" spans="1:6" x14ac:dyDescent="0.3">
      <c r="A4247" t="s">
        <v>66</v>
      </c>
      <c r="B4247">
        <v>2023</v>
      </c>
      <c r="C4247" t="s">
        <v>9</v>
      </c>
      <c r="D4247" s="35">
        <v>208433203.33000001</v>
      </c>
      <c r="E4247" s="35">
        <v>4750636</v>
      </c>
      <c r="F4247" s="35">
        <v>73204704.999999985</v>
      </c>
    </row>
    <row r="4248" spans="1:6" x14ac:dyDescent="0.3">
      <c r="A4248" t="s">
        <v>66</v>
      </c>
      <c r="B4248">
        <v>2023</v>
      </c>
      <c r="C4248" t="s">
        <v>8</v>
      </c>
      <c r="D4248" s="35">
        <v>213369332.75999999</v>
      </c>
      <c r="E4248" s="35">
        <v>10649</v>
      </c>
      <c r="F4248" s="35">
        <v>212050817.31999999</v>
      </c>
    </row>
    <row r="4249" spans="1:6" x14ac:dyDescent="0.3">
      <c r="A4249" t="s">
        <v>66</v>
      </c>
      <c r="B4249">
        <v>2023</v>
      </c>
      <c r="C4249" t="s">
        <v>6</v>
      </c>
      <c r="D4249" s="35">
        <v>421368814.64000022</v>
      </c>
      <c r="E4249" s="35">
        <v>5074758</v>
      </c>
      <c r="F4249" s="35">
        <v>368294608.51999998</v>
      </c>
    </row>
    <row r="4250" spans="1:6" x14ac:dyDescent="0.3">
      <c r="A4250" t="s">
        <v>66</v>
      </c>
      <c r="B4250">
        <v>2023</v>
      </c>
      <c r="C4250" t="s">
        <v>15</v>
      </c>
      <c r="D4250" s="35">
        <v>48413370.090000004</v>
      </c>
      <c r="E4250" s="35">
        <v>1244554</v>
      </c>
      <c r="F4250" s="35">
        <v>26706713.280000001</v>
      </c>
    </row>
    <row r="4251" spans="1:6" x14ac:dyDescent="0.3">
      <c r="A4251" t="s">
        <v>66</v>
      </c>
      <c r="B4251">
        <v>2023</v>
      </c>
      <c r="C4251" t="s">
        <v>18</v>
      </c>
      <c r="D4251" s="35">
        <v>30993352.940000001</v>
      </c>
      <c r="E4251" s="35">
        <v>240421</v>
      </c>
      <c r="F4251" s="35">
        <v>27969395.030000001</v>
      </c>
    </row>
    <row r="4252" spans="1:6" x14ac:dyDescent="0.3">
      <c r="A4252" t="s">
        <v>66</v>
      </c>
      <c r="B4252">
        <v>2024</v>
      </c>
      <c r="C4252" t="s">
        <v>10</v>
      </c>
      <c r="D4252" s="35">
        <v>266197756.56</v>
      </c>
      <c r="E4252" s="35">
        <v>5153607</v>
      </c>
      <c r="F4252" s="35">
        <v>206820139.75999999</v>
      </c>
    </row>
    <row r="4253" spans="1:6" x14ac:dyDescent="0.3">
      <c r="A4253" t="s">
        <v>66</v>
      </c>
      <c r="B4253">
        <v>2024</v>
      </c>
      <c r="C4253" t="s">
        <v>4</v>
      </c>
      <c r="D4253" s="35">
        <v>672568015.28000009</v>
      </c>
      <c r="E4253" s="35">
        <v>1590906</v>
      </c>
      <c r="F4253" s="35">
        <v>665771095.28999972</v>
      </c>
    </row>
    <row r="4254" spans="1:6" x14ac:dyDescent="0.3">
      <c r="A4254" t="s">
        <v>66</v>
      </c>
      <c r="B4254">
        <v>2024</v>
      </c>
      <c r="C4254" t="s">
        <v>13</v>
      </c>
      <c r="D4254" s="35">
        <v>89516363.760000005</v>
      </c>
      <c r="E4254" s="35">
        <v>1453859</v>
      </c>
      <c r="F4254" s="35">
        <v>64570288.990000002</v>
      </c>
    </row>
    <row r="4255" spans="1:6" x14ac:dyDescent="0.3">
      <c r="A4255" t="s">
        <v>66</v>
      </c>
      <c r="B4255">
        <v>2024</v>
      </c>
      <c r="C4255" t="s">
        <v>16</v>
      </c>
      <c r="D4255" s="35">
        <v>30405099.710000001</v>
      </c>
      <c r="E4255" s="35">
        <v>128826</v>
      </c>
      <c r="F4255" s="35">
        <v>27644151.260000002</v>
      </c>
    </row>
    <row r="4256" spans="1:6" x14ac:dyDescent="0.3">
      <c r="A4256" t="s">
        <v>66</v>
      </c>
      <c r="B4256">
        <v>2024</v>
      </c>
      <c r="C4256" t="s">
        <v>14</v>
      </c>
      <c r="D4256" s="35">
        <v>116421457.23999999</v>
      </c>
      <c r="E4256" s="35">
        <v>2854886</v>
      </c>
      <c r="F4256" s="35">
        <v>77176999.100000009</v>
      </c>
    </row>
    <row r="4257" spans="1:6" x14ac:dyDescent="0.3">
      <c r="A4257" t="s">
        <v>66</v>
      </c>
      <c r="B4257">
        <v>2024</v>
      </c>
      <c r="C4257" t="s">
        <v>7</v>
      </c>
      <c r="D4257" s="35">
        <v>136335683.94999999</v>
      </c>
      <c r="E4257" s="35">
        <v>42406</v>
      </c>
      <c r="F4257" s="35">
        <v>136101390.44</v>
      </c>
    </row>
    <row r="4258" spans="1:6" x14ac:dyDescent="0.3">
      <c r="A4258" t="s">
        <v>66</v>
      </c>
      <c r="B4258">
        <v>2024</v>
      </c>
      <c r="C4258" t="s">
        <v>11</v>
      </c>
      <c r="D4258" s="35">
        <v>71370209.749999985</v>
      </c>
      <c r="E4258" s="35">
        <v>682318</v>
      </c>
      <c r="F4258" s="35">
        <v>68353012.159999982</v>
      </c>
    </row>
    <row r="4259" spans="1:6" x14ac:dyDescent="0.3">
      <c r="A4259" t="s">
        <v>66</v>
      </c>
      <c r="B4259">
        <v>2024</v>
      </c>
      <c r="C4259" t="s">
        <v>3</v>
      </c>
      <c r="D4259" s="35">
        <v>593546069.77999985</v>
      </c>
      <c r="E4259" s="35">
        <v>1420530</v>
      </c>
      <c r="F4259" s="35">
        <v>577681639.04000008</v>
      </c>
    </row>
    <row r="4260" spans="1:6" x14ac:dyDescent="0.3">
      <c r="A4260" t="s">
        <v>66</v>
      </c>
      <c r="B4260">
        <v>2024</v>
      </c>
      <c r="C4260" t="s">
        <v>12</v>
      </c>
      <c r="D4260" s="35">
        <v>166809917.11000001</v>
      </c>
      <c r="E4260" s="35">
        <v>3351411</v>
      </c>
      <c r="F4260" s="35">
        <v>117899451.34999999</v>
      </c>
    </row>
    <row r="4261" spans="1:6" x14ac:dyDescent="0.3">
      <c r="A4261" t="s">
        <v>66</v>
      </c>
      <c r="B4261">
        <v>2024</v>
      </c>
      <c r="C4261" t="s">
        <v>2</v>
      </c>
      <c r="D4261" s="35">
        <v>1034036970.54</v>
      </c>
      <c r="E4261" s="35">
        <v>9761844</v>
      </c>
      <c r="F4261" s="35">
        <v>889002108.5999999</v>
      </c>
    </row>
    <row r="4262" spans="1:6" x14ac:dyDescent="0.3">
      <c r="A4262" t="s">
        <v>66</v>
      </c>
      <c r="B4262">
        <v>2024</v>
      </c>
      <c r="C4262" t="s">
        <v>5</v>
      </c>
      <c r="D4262" s="35">
        <v>226355604.49000001</v>
      </c>
      <c r="E4262" s="35">
        <v>116178</v>
      </c>
      <c r="F4262" s="35">
        <v>220307028.38999999</v>
      </c>
    </row>
    <row r="4263" spans="1:6" x14ac:dyDescent="0.3">
      <c r="A4263" t="s">
        <v>66</v>
      </c>
      <c r="B4263">
        <v>2024</v>
      </c>
      <c r="C4263" t="s">
        <v>17</v>
      </c>
      <c r="D4263" s="35">
        <v>19301097.199999999</v>
      </c>
      <c r="E4263" s="35">
        <v>624979</v>
      </c>
      <c r="F4263" s="35">
        <v>4865538.6599999992</v>
      </c>
    </row>
    <row r="4264" spans="1:6" x14ac:dyDescent="0.3">
      <c r="A4264" t="s">
        <v>66</v>
      </c>
      <c r="B4264">
        <v>2024</v>
      </c>
      <c r="C4264" t="s">
        <v>9</v>
      </c>
      <c r="D4264" s="35">
        <v>213458679.00999999</v>
      </c>
      <c r="E4264" s="35">
        <v>4650155</v>
      </c>
      <c r="F4264" s="35">
        <v>91701534.139999986</v>
      </c>
    </row>
    <row r="4265" spans="1:6" x14ac:dyDescent="0.3">
      <c r="A4265" t="s">
        <v>66</v>
      </c>
      <c r="B4265">
        <v>2024</v>
      </c>
      <c r="C4265" t="s">
        <v>8</v>
      </c>
      <c r="D4265" s="35">
        <v>227099816.09</v>
      </c>
      <c r="E4265" s="35">
        <v>10897</v>
      </c>
      <c r="F4265" s="35">
        <v>225275208.86000001</v>
      </c>
    </row>
    <row r="4266" spans="1:6" x14ac:dyDescent="0.3">
      <c r="A4266" t="s">
        <v>66</v>
      </c>
      <c r="B4266">
        <v>2024</v>
      </c>
      <c r="C4266" t="s">
        <v>6</v>
      </c>
      <c r="D4266" s="35">
        <v>351948172.83999997</v>
      </c>
      <c r="E4266" s="35">
        <v>4710627</v>
      </c>
      <c r="F4266" s="35">
        <v>299625608.5800001</v>
      </c>
    </row>
    <row r="4267" spans="1:6" x14ac:dyDescent="0.3">
      <c r="A4267" t="s">
        <v>66</v>
      </c>
      <c r="B4267">
        <v>2024</v>
      </c>
      <c r="C4267" t="s">
        <v>15</v>
      </c>
      <c r="D4267" s="35">
        <v>46312403.249999993</v>
      </c>
      <c r="E4267" s="35">
        <v>1052635</v>
      </c>
      <c r="F4267" s="35">
        <v>26272260.18</v>
      </c>
    </row>
    <row r="4268" spans="1:6" x14ac:dyDescent="0.3">
      <c r="A4268" t="s">
        <v>66</v>
      </c>
      <c r="B4268">
        <v>2024</v>
      </c>
      <c r="C4268" t="s">
        <v>18</v>
      </c>
      <c r="D4268" s="35">
        <v>31057419.140000001</v>
      </c>
      <c r="E4268" s="35">
        <v>254364</v>
      </c>
      <c r="F4268" s="35">
        <v>28452015.899999991</v>
      </c>
    </row>
    <row r="4269" spans="1:6" x14ac:dyDescent="0.3">
      <c r="A4269" t="s">
        <v>66</v>
      </c>
      <c r="B4269">
        <v>2025</v>
      </c>
      <c r="C4269" t="s">
        <v>10</v>
      </c>
      <c r="D4269" s="35">
        <v>291834513.79000002</v>
      </c>
      <c r="E4269" s="35">
        <v>5044640</v>
      </c>
      <c r="F4269" s="35">
        <v>232570848.59999999</v>
      </c>
    </row>
    <row r="4270" spans="1:6" x14ac:dyDescent="0.3">
      <c r="A4270" t="s">
        <v>66</v>
      </c>
      <c r="B4270">
        <v>2025</v>
      </c>
      <c r="C4270" t="s">
        <v>4</v>
      </c>
      <c r="D4270" s="35">
        <v>738393937.76999998</v>
      </c>
      <c r="E4270" s="35">
        <v>1633282</v>
      </c>
      <c r="F4270" s="35">
        <v>730019329.73999989</v>
      </c>
    </row>
    <row r="4271" spans="1:6" x14ac:dyDescent="0.3">
      <c r="A4271" t="s">
        <v>66</v>
      </c>
      <c r="B4271">
        <v>2025</v>
      </c>
      <c r="C4271" t="s">
        <v>13</v>
      </c>
      <c r="D4271" s="35">
        <v>100466543.68000001</v>
      </c>
      <c r="E4271" s="35">
        <v>1401333</v>
      </c>
      <c r="F4271" s="35">
        <v>77145887.660000011</v>
      </c>
    </row>
    <row r="4272" spans="1:6" x14ac:dyDescent="0.3">
      <c r="A4272" t="s">
        <v>66</v>
      </c>
      <c r="B4272">
        <v>2025</v>
      </c>
      <c r="C4272" t="s">
        <v>16</v>
      </c>
      <c r="D4272" s="35">
        <v>35991054.319999993</v>
      </c>
      <c r="E4272" s="35">
        <v>136691</v>
      </c>
      <c r="F4272" s="35">
        <v>32864475.260000002</v>
      </c>
    </row>
    <row r="4273" spans="1:6" x14ac:dyDescent="0.3">
      <c r="A4273" t="s">
        <v>66</v>
      </c>
      <c r="B4273">
        <v>2025</v>
      </c>
      <c r="C4273" t="s">
        <v>14</v>
      </c>
      <c r="D4273" s="35">
        <v>125670610.91</v>
      </c>
      <c r="E4273" s="35">
        <v>2815591</v>
      </c>
      <c r="F4273" s="35">
        <v>87587582.61999999</v>
      </c>
    </row>
    <row r="4274" spans="1:6" x14ac:dyDescent="0.3">
      <c r="A4274" t="s">
        <v>66</v>
      </c>
      <c r="B4274">
        <v>2025</v>
      </c>
      <c r="C4274" t="s">
        <v>7</v>
      </c>
      <c r="D4274" s="35">
        <v>135238938.88999999</v>
      </c>
      <c r="E4274" s="35">
        <v>38539</v>
      </c>
      <c r="F4274" s="35">
        <v>135023085.05000001</v>
      </c>
    </row>
    <row r="4275" spans="1:6" x14ac:dyDescent="0.3">
      <c r="A4275" t="s">
        <v>66</v>
      </c>
      <c r="B4275">
        <v>2025</v>
      </c>
      <c r="C4275" t="s">
        <v>11</v>
      </c>
      <c r="D4275" s="35">
        <v>64944072.219999976</v>
      </c>
      <c r="E4275" s="35">
        <v>601650</v>
      </c>
      <c r="F4275" s="35">
        <v>60725955.359999992</v>
      </c>
    </row>
    <row r="4276" spans="1:6" x14ac:dyDescent="0.3">
      <c r="A4276" t="s">
        <v>66</v>
      </c>
      <c r="B4276">
        <v>2025</v>
      </c>
      <c r="C4276" t="s">
        <v>3</v>
      </c>
      <c r="D4276" s="35">
        <v>760633003.75</v>
      </c>
      <c r="E4276" s="35">
        <v>1423284</v>
      </c>
      <c r="F4276" s="35">
        <v>744491215.19000018</v>
      </c>
    </row>
    <row r="4277" spans="1:6" x14ac:dyDescent="0.3">
      <c r="A4277" t="s">
        <v>66</v>
      </c>
      <c r="B4277">
        <v>2025</v>
      </c>
      <c r="C4277" t="s">
        <v>12</v>
      </c>
      <c r="D4277" s="35">
        <v>152980388.49000001</v>
      </c>
      <c r="E4277" s="35">
        <v>3166324</v>
      </c>
      <c r="F4277" s="35">
        <v>105163769.2</v>
      </c>
    </row>
    <row r="4278" spans="1:6" x14ac:dyDescent="0.3">
      <c r="A4278" t="s">
        <v>66</v>
      </c>
      <c r="B4278">
        <v>2025</v>
      </c>
      <c r="C4278" t="s">
        <v>2</v>
      </c>
      <c r="D4278" s="35">
        <v>1189776794.5</v>
      </c>
      <c r="E4278" s="35">
        <v>9736469</v>
      </c>
      <c r="F4278" s="35">
        <v>1043690216.1799999</v>
      </c>
    </row>
    <row r="4279" spans="1:6" x14ac:dyDescent="0.3">
      <c r="A4279" t="s">
        <v>66</v>
      </c>
      <c r="B4279">
        <v>2025</v>
      </c>
      <c r="C4279" t="s">
        <v>5</v>
      </c>
      <c r="D4279" s="35">
        <v>224920869.68000001</v>
      </c>
      <c r="E4279" s="35">
        <v>110400</v>
      </c>
      <c r="F4279" s="35">
        <v>219411993.56</v>
      </c>
    </row>
    <row r="4280" spans="1:6" x14ac:dyDescent="0.3">
      <c r="A4280" t="s">
        <v>66</v>
      </c>
      <c r="B4280">
        <v>2025</v>
      </c>
      <c r="C4280" t="s">
        <v>17</v>
      </c>
      <c r="D4280" s="35">
        <v>16332787.359999999</v>
      </c>
      <c r="E4280" s="35">
        <v>598653</v>
      </c>
      <c r="F4280" s="35">
        <v>2985444.79</v>
      </c>
    </row>
    <row r="4281" spans="1:6" x14ac:dyDescent="0.3">
      <c r="A4281" t="s">
        <v>66</v>
      </c>
      <c r="B4281">
        <v>2025</v>
      </c>
      <c r="C4281" t="s">
        <v>9</v>
      </c>
      <c r="D4281" s="35">
        <v>276556536.22000003</v>
      </c>
      <c r="E4281" s="35">
        <v>4727692</v>
      </c>
      <c r="F4281" s="35">
        <v>155282386.81999999</v>
      </c>
    </row>
    <row r="4282" spans="1:6" x14ac:dyDescent="0.3">
      <c r="A4282" t="s">
        <v>66</v>
      </c>
      <c r="B4282">
        <v>2025</v>
      </c>
      <c r="C4282" t="s">
        <v>8</v>
      </c>
      <c r="D4282" s="35">
        <v>227514617.66999999</v>
      </c>
      <c r="E4282" s="35">
        <v>9632</v>
      </c>
      <c r="F4282" s="35">
        <v>226342801.40000001</v>
      </c>
    </row>
    <row r="4283" spans="1:6" x14ac:dyDescent="0.3">
      <c r="A4283" t="s">
        <v>66</v>
      </c>
      <c r="B4283">
        <v>2025</v>
      </c>
      <c r="C4283" t="s">
        <v>6</v>
      </c>
      <c r="D4283" s="35">
        <v>351160381.88</v>
      </c>
      <c r="E4283" s="35">
        <v>4590526</v>
      </c>
      <c r="F4283" s="35">
        <v>299490148.1699999</v>
      </c>
    </row>
    <row r="4284" spans="1:6" x14ac:dyDescent="0.3">
      <c r="A4284" t="s">
        <v>66</v>
      </c>
      <c r="B4284">
        <v>2025</v>
      </c>
      <c r="C4284" t="s">
        <v>15</v>
      </c>
      <c r="D4284" s="35">
        <v>55824979.219999999</v>
      </c>
      <c r="E4284" s="35">
        <v>980211</v>
      </c>
      <c r="F4284" s="35">
        <v>35188643.950000003</v>
      </c>
    </row>
    <row r="4285" spans="1:6" x14ac:dyDescent="0.3">
      <c r="A4285" t="s">
        <v>66</v>
      </c>
      <c r="B4285">
        <v>2025</v>
      </c>
      <c r="C4285" t="s">
        <v>18</v>
      </c>
      <c r="D4285" s="35">
        <v>30584003.850000009</v>
      </c>
      <c r="E4285" s="35">
        <v>238162</v>
      </c>
      <c r="F4285" s="35">
        <v>27620306.350000001</v>
      </c>
    </row>
    <row r="4286" spans="1:6" x14ac:dyDescent="0.3">
      <c r="A4286" t="s">
        <v>67</v>
      </c>
      <c r="B4286">
        <v>2019</v>
      </c>
      <c r="C4286" t="s">
        <v>10</v>
      </c>
      <c r="D4286" s="35">
        <v>20051613.039999999</v>
      </c>
      <c r="E4286" s="35">
        <v>417111</v>
      </c>
      <c r="F4286" s="35">
        <v>14046693.789999999</v>
      </c>
    </row>
    <row r="4287" spans="1:6" x14ac:dyDescent="0.3">
      <c r="A4287" t="s">
        <v>67</v>
      </c>
      <c r="B4287">
        <v>2019</v>
      </c>
      <c r="C4287" t="s">
        <v>4</v>
      </c>
      <c r="D4287" s="35">
        <v>43530321.159999996</v>
      </c>
      <c r="E4287" s="35">
        <v>120731</v>
      </c>
      <c r="F4287" s="35">
        <v>43013818.340000004</v>
      </c>
    </row>
    <row r="4288" spans="1:6" x14ac:dyDescent="0.3">
      <c r="A4288" t="s">
        <v>67</v>
      </c>
      <c r="B4288">
        <v>2019</v>
      </c>
      <c r="C4288" t="s">
        <v>13</v>
      </c>
      <c r="D4288" s="35">
        <v>31815115.09</v>
      </c>
      <c r="E4288" s="35">
        <v>167382</v>
      </c>
      <c r="F4288" s="35">
        <v>25768551.609999999</v>
      </c>
    </row>
    <row r="4289" spans="1:6" x14ac:dyDescent="0.3">
      <c r="A4289" t="s">
        <v>67</v>
      </c>
      <c r="B4289">
        <v>2019</v>
      </c>
      <c r="C4289" t="s">
        <v>16</v>
      </c>
      <c r="D4289" s="35">
        <v>3002280.41</v>
      </c>
      <c r="E4289" s="35">
        <v>12255</v>
      </c>
      <c r="F4289" s="35">
        <v>2810109.2</v>
      </c>
    </row>
    <row r="4290" spans="1:6" x14ac:dyDescent="0.3">
      <c r="A4290" t="s">
        <v>67</v>
      </c>
      <c r="B4290">
        <v>2019</v>
      </c>
      <c r="C4290" t="s">
        <v>14</v>
      </c>
      <c r="D4290" s="35">
        <v>12751201.960000001</v>
      </c>
      <c r="E4290" s="35">
        <v>322094</v>
      </c>
      <c r="F4290" s="35">
        <v>5680018.540000001</v>
      </c>
    </row>
    <row r="4291" spans="1:6" x14ac:dyDescent="0.3">
      <c r="A4291" t="s">
        <v>67</v>
      </c>
      <c r="B4291">
        <v>2019</v>
      </c>
      <c r="C4291" t="s">
        <v>7</v>
      </c>
      <c r="D4291" s="35">
        <v>11660987.15</v>
      </c>
      <c r="E4291" s="35">
        <v>5924</v>
      </c>
      <c r="F4291" s="35">
        <v>11603955.449999999</v>
      </c>
    </row>
    <row r="4292" spans="1:6" x14ac:dyDescent="0.3">
      <c r="A4292" t="s">
        <v>67</v>
      </c>
      <c r="B4292">
        <v>2019</v>
      </c>
      <c r="C4292" t="s">
        <v>11</v>
      </c>
      <c r="D4292" s="35">
        <v>9869584.6600000001</v>
      </c>
      <c r="E4292" s="35">
        <v>22658</v>
      </c>
      <c r="F4292" s="35">
        <v>8549945.0999999996</v>
      </c>
    </row>
    <row r="4293" spans="1:6" x14ac:dyDescent="0.3">
      <c r="A4293" t="s">
        <v>67</v>
      </c>
      <c r="B4293">
        <v>2019</v>
      </c>
      <c r="C4293" t="s">
        <v>3</v>
      </c>
      <c r="D4293" s="35">
        <v>49497902.860000007</v>
      </c>
      <c r="E4293" s="35">
        <v>321631</v>
      </c>
      <c r="F4293" s="35">
        <v>44403350.670000002</v>
      </c>
    </row>
    <row r="4294" spans="1:6" x14ac:dyDescent="0.3">
      <c r="A4294" t="s">
        <v>67</v>
      </c>
      <c r="B4294">
        <v>2019</v>
      </c>
      <c r="C4294" t="s">
        <v>12</v>
      </c>
      <c r="D4294" s="35">
        <v>60789603.059999987</v>
      </c>
      <c r="E4294" s="35">
        <v>869655</v>
      </c>
      <c r="F4294" s="35">
        <v>38976010.610000007</v>
      </c>
    </row>
    <row r="4295" spans="1:6" x14ac:dyDescent="0.3">
      <c r="A4295" t="s">
        <v>67</v>
      </c>
      <c r="B4295">
        <v>2019</v>
      </c>
      <c r="C4295" t="s">
        <v>2</v>
      </c>
      <c r="D4295" s="35">
        <v>144834706.94999999</v>
      </c>
      <c r="E4295" s="35">
        <v>1448236</v>
      </c>
      <c r="F4295" s="35">
        <v>116333715.84999999</v>
      </c>
    </row>
    <row r="4296" spans="1:6" x14ac:dyDescent="0.3">
      <c r="A4296" t="s">
        <v>67</v>
      </c>
      <c r="B4296">
        <v>2019</v>
      </c>
      <c r="C4296" t="s">
        <v>5</v>
      </c>
      <c r="D4296" s="35">
        <v>20419418.140000001</v>
      </c>
      <c r="E4296" s="35">
        <v>18558</v>
      </c>
      <c r="F4296" s="35">
        <v>18519272.440000001</v>
      </c>
    </row>
    <row r="4297" spans="1:6" x14ac:dyDescent="0.3">
      <c r="A4297" t="s">
        <v>67</v>
      </c>
      <c r="B4297">
        <v>2019</v>
      </c>
      <c r="C4297" t="s">
        <v>17</v>
      </c>
      <c r="D4297" s="35">
        <v>4218974.4499999993</v>
      </c>
      <c r="E4297" s="35">
        <v>44052</v>
      </c>
      <c r="F4297" s="35">
        <v>312510.32</v>
      </c>
    </row>
    <row r="4298" spans="1:6" x14ac:dyDescent="0.3">
      <c r="A4298" t="s">
        <v>67</v>
      </c>
      <c r="B4298">
        <v>2019</v>
      </c>
      <c r="C4298" t="s">
        <v>9</v>
      </c>
      <c r="D4298" s="35">
        <v>24106521.280000001</v>
      </c>
      <c r="E4298" s="35">
        <v>483904</v>
      </c>
      <c r="F4298" s="35">
        <v>12020041.800000001</v>
      </c>
    </row>
    <row r="4299" spans="1:6" x14ac:dyDescent="0.3">
      <c r="A4299" t="s">
        <v>67</v>
      </c>
      <c r="B4299">
        <v>2019</v>
      </c>
      <c r="C4299" t="s">
        <v>8</v>
      </c>
      <c r="D4299" s="35">
        <v>27216993.359999999</v>
      </c>
      <c r="E4299" s="35">
        <v>3024</v>
      </c>
      <c r="F4299" s="35">
        <v>27216993.359999999</v>
      </c>
    </row>
    <row r="4300" spans="1:6" x14ac:dyDescent="0.3">
      <c r="A4300" t="s">
        <v>67</v>
      </c>
      <c r="B4300">
        <v>2019</v>
      </c>
      <c r="C4300" t="s">
        <v>6</v>
      </c>
      <c r="D4300" s="35">
        <v>55886480.920000002</v>
      </c>
      <c r="E4300" s="35">
        <v>922986</v>
      </c>
      <c r="F4300" s="35">
        <v>44726794.259999998</v>
      </c>
    </row>
    <row r="4301" spans="1:6" x14ac:dyDescent="0.3">
      <c r="A4301" t="s">
        <v>67</v>
      </c>
      <c r="B4301">
        <v>2019</v>
      </c>
      <c r="C4301" t="s">
        <v>15</v>
      </c>
      <c r="D4301" s="35">
        <v>18879674.050000001</v>
      </c>
      <c r="E4301" s="35">
        <v>255456</v>
      </c>
      <c r="F4301" s="35">
        <v>11548506.43</v>
      </c>
    </row>
    <row r="4302" spans="1:6" x14ac:dyDescent="0.3">
      <c r="A4302" t="s">
        <v>67</v>
      </c>
      <c r="B4302">
        <v>2019</v>
      </c>
      <c r="C4302" t="s">
        <v>18</v>
      </c>
      <c r="D4302" s="35">
        <v>2318832.17</v>
      </c>
      <c r="E4302" s="35">
        <v>15201</v>
      </c>
      <c r="F4302" s="35">
        <v>1173328.4099999999</v>
      </c>
    </row>
    <row r="4303" spans="1:6" x14ac:dyDescent="0.3">
      <c r="A4303" t="s">
        <v>67</v>
      </c>
      <c r="B4303">
        <v>2020</v>
      </c>
      <c r="C4303" t="s">
        <v>10</v>
      </c>
      <c r="D4303" s="35">
        <v>19634725.969999999</v>
      </c>
      <c r="E4303" s="35">
        <v>428861</v>
      </c>
      <c r="F4303" s="35">
        <v>13924142.119999999</v>
      </c>
    </row>
    <row r="4304" spans="1:6" x14ac:dyDescent="0.3">
      <c r="A4304" t="s">
        <v>67</v>
      </c>
      <c r="B4304">
        <v>2020</v>
      </c>
      <c r="C4304" t="s">
        <v>4</v>
      </c>
      <c r="D4304" s="35">
        <v>50294942.169999987</v>
      </c>
      <c r="E4304" s="35">
        <v>123485</v>
      </c>
      <c r="F4304" s="35">
        <v>49759847.260000013</v>
      </c>
    </row>
    <row r="4305" spans="1:6" x14ac:dyDescent="0.3">
      <c r="A4305" t="s">
        <v>67</v>
      </c>
      <c r="B4305">
        <v>2020</v>
      </c>
      <c r="C4305" t="s">
        <v>13</v>
      </c>
      <c r="D4305" s="35">
        <v>28655477.760000002</v>
      </c>
      <c r="E4305" s="35">
        <v>167548</v>
      </c>
      <c r="F4305" s="35">
        <v>22973391.010000002</v>
      </c>
    </row>
    <row r="4306" spans="1:6" x14ac:dyDescent="0.3">
      <c r="A4306" t="s">
        <v>67</v>
      </c>
      <c r="B4306">
        <v>2020</v>
      </c>
      <c r="C4306" t="s">
        <v>16</v>
      </c>
      <c r="D4306" s="35">
        <v>3862655.6400000011</v>
      </c>
      <c r="E4306" s="35">
        <v>14016</v>
      </c>
      <c r="F4306" s="35">
        <v>3639606.22</v>
      </c>
    </row>
    <row r="4307" spans="1:6" x14ac:dyDescent="0.3">
      <c r="A4307" t="s">
        <v>67</v>
      </c>
      <c r="B4307">
        <v>2020</v>
      </c>
      <c r="C4307" t="s">
        <v>14</v>
      </c>
      <c r="D4307" s="35">
        <v>12190431.51</v>
      </c>
      <c r="E4307" s="35">
        <v>309791</v>
      </c>
      <c r="F4307" s="35">
        <v>5867531.3900000006</v>
      </c>
    </row>
    <row r="4308" spans="1:6" x14ac:dyDescent="0.3">
      <c r="A4308" t="s">
        <v>67</v>
      </c>
      <c r="B4308">
        <v>2020</v>
      </c>
      <c r="C4308" t="s">
        <v>7</v>
      </c>
      <c r="D4308" s="35">
        <v>13965666.949999999</v>
      </c>
      <c r="E4308" s="35">
        <v>5363</v>
      </c>
      <c r="F4308" s="35">
        <v>13898914.970000001</v>
      </c>
    </row>
    <row r="4309" spans="1:6" x14ac:dyDescent="0.3">
      <c r="A4309" t="s">
        <v>67</v>
      </c>
      <c r="B4309">
        <v>2020</v>
      </c>
      <c r="C4309" t="s">
        <v>11</v>
      </c>
      <c r="D4309" s="35">
        <v>8974242.540000001</v>
      </c>
      <c r="E4309" s="35">
        <v>20310</v>
      </c>
      <c r="F4309" s="35">
        <v>8332855.8199999994</v>
      </c>
    </row>
    <row r="4310" spans="1:6" x14ac:dyDescent="0.3">
      <c r="A4310" t="s">
        <v>67</v>
      </c>
      <c r="B4310">
        <v>2020</v>
      </c>
      <c r="C4310" t="s">
        <v>3</v>
      </c>
      <c r="D4310" s="35">
        <v>60520163.269999988</v>
      </c>
      <c r="E4310" s="35">
        <v>254442</v>
      </c>
      <c r="F4310" s="35">
        <v>57267311.630000003</v>
      </c>
    </row>
    <row r="4311" spans="1:6" x14ac:dyDescent="0.3">
      <c r="A4311" t="s">
        <v>67</v>
      </c>
      <c r="B4311">
        <v>2020</v>
      </c>
      <c r="C4311" t="s">
        <v>12</v>
      </c>
      <c r="D4311" s="35">
        <v>44331485.579999998</v>
      </c>
      <c r="E4311" s="35">
        <v>695117</v>
      </c>
      <c r="F4311" s="35">
        <v>28300678.149999991</v>
      </c>
    </row>
    <row r="4312" spans="1:6" x14ac:dyDescent="0.3">
      <c r="A4312" t="s">
        <v>67</v>
      </c>
      <c r="B4312">
        <v>2020</v>
      </c>
      <c r="C4312" t="s">
        <v>2</v>
      </c>
      <c r="D4312" s="35">
        <v>152634723.66999999</v>
      </c>
      <c r="E4312" s="35">
        <v>1457187</v>
      </c>
      <c r="F4312" s="35">
        <v>125829659.25</v>
      </c>
    </row>
    <row r="4313" spans="1:6" x14ac:dyDescent="0.3">
      <c r="A4313" t="s">
        <v>67</v>
      </c>
      <c r="B4313">
        <v>2020</v>
      </c>
      <c r="C4313" t="s">
        <v>5</v>
      </c>
      <c r="D4313" s="35">
        <v>18384894.390000001</v>
      </c>
      <c r="E4313" s="35">
        <v>16834</v>
      </c>
      <c r="F4313" s="35">
        <v>17661215.859999999</v>
      </c>
    </row>
    <row r="4314" spans="1:6" x14ac:dyDescent="0.3">
      <c r="A4314" t="s">
        <v>67</v>
      </c>
      <c r="B4314">
        <v>2020</v>
      </c>
      <c r="C4314" t="s">
        <v>17</v>
      </c>
      <c r="D4314" s="35">
        <v>3148971.310000001</v>
      </c>
      <c r="E4314" s="35">
        <v>41541</v>
      </c>
      <c r="F4314" s="35">
        <v>288943.08</v>
      </c>
    </row>
    <row r="4315" spans="1:6" x14ac:dyDescent="0.3">
      <c r="A4315" t="s">
        <v>67</v>
      </c>
      <c r="B4315">
        <v>2020</v>
      </c>
      <c r="C4315" t="s">
        <v>9</v>
      </c>
      <c r="D4315" s="35">
        <v>20172820.93</v>
      </c>
      <c r="E4315" s="35">
        <v>450607</v>
      </c>
      <c r="F4315" s="35">
        <v>12714610.029999999</v>
      </c>
    </row>
    <row r="4316" spans="1:6" x14ac:dyDescent="0.3">
      <c r="A4316" t="s">
        <v>67</v>
      </c>
      <c r="B4316">
        <v>2020</v>
      </c>
      <c r="C4316" t="s">
        <v>8</v>
      </c>
      <c r="D4316" s="35">
        <v>40743905.399999999</v>
      </c>
      <c r="E4316" s="35">
        <v>3722</v>
      </c>
      <c r="F4316" s="35">
        <v>40743905.399999999</v>
      </c>
    </row>
    <row r="4317" spans="1:6" x14ac:dyDescent="0.3">
      <c r="A4317" t="s">
        <v>67</v>
      </c>
      <c r="B4317">
        <v>2020</v>
      </c>
      <c r="C4317" t="s">
        <v>6</v>
      </c>
      <c r="D4317" s="35">
        <v>56056712.820000008</v>
      </c>
      <c r="E4317" s="35">
        <v>854934</v>
      </c>
      <c r="F4317" s="35">
        <v>45178735.080000021</v>
      </c>
    </row>
    <row r="4318" spans="1:6" x14ac:dyDescent="0.3">
      <c r="A4318" t="s">
        <v>67</v>
      </c>
      <c r="B4318">
        <v>2020</v>
      </c>
      <c r="C4318" t="s">
        <v>15</v>
      </c>
      <c r="D4318" s="35">
        <v>12820671.380000001</v>
      </c>
      <c r="E4318" s="35">
        <v>198675</v>
      </c>
      <c r="F4318" s="35">
        <v>7438079.9100000001</v>
      </c>
    </row>
    <row r="4319" spans="1:6" x14ac:dyDescent="0.3">
      <c r="A4319" t="s">
        <v>67</v>
      </c>
      <c r="B4319">
        <v>2020</v>
      </c>
      <c r="C4319" t="s">
        <v>18</v>
      </c>
      <c r="D4319" s="35">
        <v>2126921.4300000002</v>
      </c>
      <c r="E4319" s="35">
        <v>15178</v>
      </c>
      <c r="F4319" s="35">
        <v>1171946.98</v>
      </c>
    </row>
    <row r="4320" spans="1:6" x14ac:dyDescent="0.3">
      <c r="A4320" t="s">
        <v>67</v>
      </c>
      <c r="B4320">
        <v>2021</v>
      </c>
      <c r="C4320" t="s">
        <v>10</v>
      </c>
      <c r="D4320" s="35">
        <v>23219973.699999999</v>
      </c>
      <c r="E4320" s="35">
        <v>542103</v>
      </c>
      <c r="F4320" s="35">
        <v>15892988.140000001</v>
      </c>
    </row>
    <row r="4321" spans="1:6" x14ac:dyDescent="0.3">
      <c r="A4321" t="s">
        <v>67</v>
      </c>
      <c r="B4321">
        <v>2021</v>
      </c>
      <c r="C4321" t="s">
        <v>4</v>
      </c>
      <c r="D4321" s="35">
        <v>64030226.890000008</v>
      </c>
      <c r="E4321" s="35">
        <v>148351</v>
      </c>
      <c r="F4321" s="35">
        <v>63246610.719999991</v>
      </c>
    </row>
    <row r="4322" spans="1:6" x14ac:dyDescent="0.3">
      <c r="A4322" t="s">
        <v>67</v>
      </c>
      <c r="B4322">
        <v>2021</v>
      </c>
      <c r="C4322" t="s">
        <v>13</v>
      </c>
      <c r="D4322" s="35">
        <v>31612834.649999999</v>
      </c>
      <c r="E4322" s="35">
        <v>196730</v>
      </c>
      <c r="F4322" s="35">
        <v>25226418.18</v>
      </c>
    </row>
    <row r="4323" spans="1:6" x14ac:dyDescent="0.3">
      <c r="A4323" t="s">
        <v>67</v>
      </c>
      <c r="B4323">
        <v>2021</v>
      </c>
      <c r="C4323" t="s">
        <v>16</v>
      </c>
      <c r="D4323" s="35">
        <v>4602302.8999999994</v>
      </c>
      <c r="E4323" s="35">
        <v>15058</v>
      </c>
      <c r="F4323" s="35">
        <v>4193633.580000001</v>
      </c>
    </row>
    <row r="4324" spans="1:6" x14ac:dyDescent="0.3">
      <c r="A4324" t="s">
        <v>67</v>
      </c>
      <c r="B4324">
        <v>2021</v>
      </c>
      <c r="C4324" t="s">
        <v>14</v>
      </c>
      <c r="D4324" s="35">
        <v>14725273.82</v>
      </c>
      <c r="E4324" s="35">
        <v>370207</v>
      </c>
      <c r="F4324" s="35">
        <v>7583588.120000001</v>
      </c>
    </row>
    <row r="4325" spans="1:6" x14ac:dyDescent="0.3">
      <c r="A4325" t="s">
        <v>67</v>
      </c>
      <c r="B4325">
        <v>2021</v>
      </c>
      <c r="C4325" t="s">
        <v>7</v>
      </c>
      <c r="D4325" s="35">
        <v>24798699.100000009</v>
      </c>
      <c r="E4325" s="35">
        <v>8542</v>
      </c>
      <c r="F4325" s="35">
        <v>24614668.859999999</v>
      </c>
    </row>
    <row r="4326" spans="1:6" x14ac:dyDescent="0.3">
      <c r="A4326" t="s">
        <v>67</v>
      </c>
      <c r="B4326">
        <v>2021</v>
      </c>
      <c r="C4326" t="s">
        <v>11</v>
      </c>
      <c r="D4326" s="35">
        <v>10570612.689999999</v>
      </c>
      <c r="E4326" s="35">
        <v>19368</v>
      </c>
      <c r="F4326" s="35">
        <v>9904107.5099999998</v>
      </c>
    </row>
    <row r="4327" spans="1:6" x14ac:dyDescent="0.3">
      <c r="A4327" t="s">
        <v>67</v>
      </c>
      <c r="B4327">
        <v>2021</v>
      </c>
      <c r="C4327" t="s">
        <v>3</v>
      </c>
      <c r="D4327" s="35">
        <v>82090395.470000014</v>
      </c>
      <c r="E4327" s="35">
        <v>338119</v>
      </c>
      <c r="F4327" s="35">
        <v>77680004.660000011</v>
      </c>
    </row>
    <row r="4328" spans="1:6" x14ac:dyDescent="0.3">
      <c r="A4328" t="s">
        <v>67</v>
      </c>
      <c r="B4328">
        <v>2021</v>
      </c>
      <c r="C4328" t="s">
        <v>12</v>
      </c>
      <c r="D4328" s="35">
        <v>35892613.309999987</v>
      </c>
      <c r="E4328" s="35">
        <v>785444</v>
      </c>
      <c r="F4328" s="35">
        <v>20608232.309999999</v>
      </c>
    </row>
    <row r="4329" spans="1:6" x14ac:dyDescent="0.3">
      <c r="A4329" t="s">
        <v>67</v>
      </c>
      <c r="B4329">
        <v>2021</v>
      </c>
      <c r="C4329" t="s">
        <v>2</v>
      </c>
      <c r="D4329" s="35">
        <v>178644083.04000011</v>
      </c>
      <c r="E4329" s="35">
        <v>1611651</v>
      </c>
      <c r="F4329" s="35">
        <v>149778838.28</v>
      </c>
    </row>
    <row r="4330" spans="1:6" x14ac:dyDescent="0.3">
      <c r="A4330" t="s">
        <v>67</v>
      </c>
      <c r="B4330">
        <v>2021</v>
      </c>
      <c r="C4330" t="s">
        <v>5</v>
      </c>
      <c r="D4330" s="35">
        <v>25049209.870000001</v>
      </c>
      <c r="E4330" s="35">
        <v>18440</v>
      </c>
      <c r="F4330" s="35">
        <v>24349508.039999999</v>
      </c>
    </row>
    <row r="4331" spans="1:6" x14ac:dyDescent="0.3">
      <c r="A4331" t="s">
        <v>67</v>
      </c>
      <c r="B4331">
        <v>2021</v>
      </c>
      <c r="C4331" t="s">
        <v>17</v>
      </c>
      <c r="D4331" s="35">
        <v>2392830.5</v>
      </c>
      <c r="E4331" s="35">
        <v>44104</v>
      </c>
      <c r="F4331" s="35">
        <v>289348.53999999998</v>
      </c>
    </row>
    <row r="4332" spans="1:6" x14ac:dyDescent="0.3">
      <c r="A4332" t="s">
        <v>67</v>
      </c>
      <c r="B4332">
        <v>2021</v>
      </c>
      <c r="C4332" t="s">
        <v>9</v>
      </c>
      <c r="D4332" s="35">
        <v>16665513.5</v>
      </c>
      <c r="E4332" s="35">
        <v>595849</v>
      </c>
      <c r="F4332" s="35">
        <v>7051687.3800000008</v>
      </c>
    </row>
    <row r="4333" spans="1:6" x14ac:dyDescent="0.3">
      <c r="A4333" t="s">
        <v>67</v>
      </c>
      <c r="B4333">
        <v>2021</v>
      </c>
      <c r="C4333" t="s">
        <v>8</v>
      </c>
      <c r="D4333" s="35">
        <v>48595201.289999992</v>
      </c>
      <c r="E4333" s="35">
        <v>3130</v>
      </c>
      <c r="F4333" s="35">
        <v>48595201.289999992</v>
      </c>
    </row>
    <row r="4334" spans="1:6" x14ac:dyDescent="0.3">
      <c r="A4334" t="s">
        <v>67</v>
      </c>
      <c r="B4334">
        <v>2021</v>
      </c>
      <c r="C4334" t="s">
        <v>6</v>
      </c>
      <c r="D4334" s="35">
        <v>63834966.219999999</v>
      </c>
      <c r="E4334" s="35">
        <v>947466</v>
      </c>
      <c r="F4334" s="35">
        <v>47802839.719999999</v>
      </c>
    </row>
    <row r="4335" spans="1:6" x14ac:dyDescent="0.3">
      <c r="A4335" t="s">
        <v>67</v>
      </c>
      <c r="B4335">
        <v>2021</v>
      </c>
      <c r="C4335" t="s">
        <v>15</v>
      </c>
      <c r="D4335" s="35">
        <v>9564839.2799999993</v>
      </c>
      <c r="E4335" s="35">
        <v>197720</v>
      </c>
      <c r="F4335" s="35">
        <v>4219769.04</v>
      </c>
    </row>
    <row r="4336" spans="1:6" x14ac:dyDescent="0.3">
      <c r="A4336" t="s">
        <v>67</v>
      </c>
      <c r="B4336">
        <v>2021</v>
      </c>
      <c r="C4336" t="s">
        <v>18</v>
      </c>
      <c r="D4336" s="35">
        <v>1562379.86</v>
      </c>
      <c r="E4336" s="35">
        <v>15643</v>
      </c>
      <c r="F4336" s="35">
        <v>1020078.39</v>
      </c>
    </row>
    <row r="4337" spans="1:6" x14ac:dyDescent="0.3">
      <c r="A4337" t="s">
        <v>67</v>
      </c>
      <c r="B4337">
        <v>2022</v>
      </c>
      <c r="C4337" t="s">
        <v>10</v>
      </c>
      <c r="D4337" s="35">
        <v>39629148.119999997</v>
      </c>
      <c r="E4337" s="35">
        <v>806048</v>
      </c>
      <c r="F4337" s="35">
        <v>28900371.91</v>
      </c>
    </row>
    <row r="4338" spans="1:6" x14ac:dyDescent="0.3">
      <c r="A4338" t="s">
        <v>67</v>
      </c>
      <c r="B4338">
        <v>2022</v>
      </c>
      <c r="C4338" t="s">
        <v>4</v>
      </c>
      <c r="D4338" s="35">
        <v>105971150.23</v>
      </c>
      <c r="E4338" s="35">
        <v>221409</v>
      </c>
      <c r="F4338" s="35">
        <v>104855140.11</v>
      </c>
    </row>
    <row r="4339" spans="1:6" x14ac:dyDescent="0.3">
      <c r="A4339" t="s">
        <v>67</v>
      </c>
      <c r="B4339">
        <v>2022</v>
      </c>
      <c r="C4339" t="s">
        <v>13</v>
      </c>
      <c r="D4339" s="35">
        <v>35130078.899999991</v>
      </c>
      <c r="E4339" s="35">
        <v>251794</v>
      </c>
      <c r="F4339" s="35">
        <v>27864680.18</v>
      </c>
    </row>
    <row r="4340" spans="1:6" x14ac:dyDescent="0.3">
      <c r="A4340" t="s">
        <v>67</v>
      </c>
      <c r="B4340">
        <v>2022</v>
      </c>
      <c r="C4340" t="s">
        <v>16</v>
      </c>
      <c r="D4340" s="35">
        <v>5848355.5199999996</v>
      </c>
      <c r="E4340" s="35">
        <v>17635</v>
      </c>
      <c r="F4340" s="35">
        <v>5299680.0199999996</v>
      </c>
    </row>
    <row r="4341" spans="1:6" x14ac:dyDescent="0.3">
      <c r="A4341" t="s">
        <v>67</v>
      </c>
      <c r="B4341">
        <v>2022</v>
      </c>
      <c r="C4341" t="s">
        <v>14</v>
      </c>
      <c r="D4341" s="35">
        <v>18353321.609999999</v>
      </c>
      <c r="E4341" s="35">
        <v>489872</v>
      </c>
      <c r="F4341" s="35">
        <v>10088524.75</v>
      </c>
    </row>
    <row r="4342" spans="1:6" x14ac:dyDescent="0.3">
      <c r="A4342" t="s">
        <v>67</v>
      </c>
      <c r="B4342">
        <v>2022</v>
      </c>
      <c r="C4342" t="s">
        <v>7</v>
      </c>
      <c r="D4342" s="35">
        <v>50132629.290000007</v>
      </c>
      <c r="E4342" s="35">
        <v>15607</v>
      </c>
      <c r="F4342" s="35">
        <v>50050463.010000013</v>
      </c>
    </row>
    <row r="4343" spans="1:6" x14ac:dyDescent="0.3">
      <c r="A4343" t="s">
        <v>67</v>
      </c>
      <c r="B4343">
        <v>2022</v>
      </c>
      <c r="C4343" t="s">
        <v>11</v>
      </c>
      <c r="D4343" s="35">
        <v>13555064.439999999</v>
      </c>
      <c r="E4343" s="35">
        <v>20880</v>
      </c>
      <c r="F4343" s="35">
        <v>12710671.210000001</v>
      </c>
    </row>
    <row r="4344" spans="1:6" x14ac:dyDescent="0.3">
      <c r="A4344" t="s">
        <v>67</v>
      </c>
      <c r="B4344">
        <v>2022</v>
      </c>
      <c r="C4344" t="s">
        <v>3</v>
      </c>
      <c r="D4344" s="35">
        <v>134807048.56</v>
      </c>
      <c r="E4344" s="35">
        <v>436184</v>
      </c>
      <c r="F4344" s="35">
        <v>129354796.95</v>
      </c>
    </row>
    <row r="4345" spans="1:6" x14ac:dyDescent="0.3">
      <c r="A4345" t="s">
        <v>67</v>
      </c>
      <c r="B4345">
        <v>2022</v>
      </c>
      <c r="C4345" t="s">
        <v>12</v>
      </c>
      <c r="D4345" s="35">
        <v>54184234.210000023</v>
      </c>
      <c r="E4345" s="35">
        <v>1068321</v>
      </c>
      <c r="F4345" s="35">
        <v>33862621.770000003</v>
      </c>
    </row>
    <row r="4346" spans="1:6" x14ac:dyDescent="0.3">
      <c r="A4346" t="s">
        <v>67</v>
      </c>
      <c r="B4346">
        <v>2022</v>
      </c>
      <c r="C4346" t="s">
        <v>2</v>
      </c>
      <c r="D4346" s="35">
        <v>233900662.27000001</v>
      </c>
      <c r="E4346" s="35">
        <v>2016685</v>
      </c>
      <c r="F4346" s="35">
        <v>200807643.63</v>
      </c>
    </row>
    <row r="4347" spans="1:6" x14ac:dyDescent="0.3">
      <c r="A4347" t="s">
        <v>67</v>
      </c>
      <c r="B4347">
        <v>2022</v>
      </c>
      <c r="C4347" t="s">
        <v>5</v>
      </c>
      <c r="D4347" s="35">
        <v>36017185</v>
      </c>
      <c r="E4347" s="35">
        <v>22375</v>
      </c>
      <c r="F4347" s="35">
        <v>35363711.74000001</v>
      </c>
    </row>
    <row r="4348" spans="1:6" x14ac:dyDescent="0.3">
      <c r="A4348" t="s">
        <v>67</v>
      </c>
      <c r="B4348">
        <v>2022</v>
      </c>
      <c r="C4348" t="s">
        <v>17</v>
      </c>
      <c r="D4348" s="35">
        <v>1808681.59</v>
      </c>
      <c r="E4348" s="35">
        <v>55748</v>
      </c>
      <c r="F4348" s="35">
        <v>253035.32</v>
      </c>
    </row>
    <row r="4349" spans="1:6" x14ac:dyDescent="0.3">
      <c r="A4349" t="s">
        <v>67</v>
      </c>
      <c r="B4349">
        <v>2022</v>
      </c>
      <c r="C4349" t="s">
        <v>9</v>
      </c>
      <c r="D4349" s="35">
        <v>25786360.63000001</v>
      </c>
      <c r="E4349" s="35">
        <v>1312034</v>
      </c>
      <c r="F4349" s="35">
        <v>8857589.7599999979</v>
      </c>
    </row>
    <row r="4350" spans="1:6" x14ac:dyDescent="0.3">
      <c r="A4350" t="s">
        <v>67</v>
      </c>
      <c r="B4350">
        <v>2022</v>
      </c>
      <c r="C4350" t="s">
        <v>8</v>
      </c>
      <c r="D4350" s="35">
        <v>47995278.159999996</v>
      </c>
      <c r="E4350" s="35">
        <v>2784</v>
      </c>
      <c r="F4350" s="35">
        <v>47995278.159999996</v>
      </c>
    </row>
    <row r="4351" spans="1:6" x14ac:dyDescent="0.3">
      <c r="A4351" t="s">
        <v>67</v>
      </c>
      <c r="B4351">
        <v>2022</v>
      </c>
      <c r="C4351" t="s">
        <v>6</v>
      </c>
      <c r="D4351" s="35">
        <v>77969081.810000002</v>
      </c>
      <c r="E4351" s="35">
        <v>1060434</v>
      </c>
      <c r="F4351" s="35">
        <v>59491606.500000007</v>
      </c>
    </row>
    <row r="4352" spans="1:6" x14ac:dyDescent="0.3">
      <c r="A4352" t="s">
        <v>67</v>
      </c>
      <c r="B4352">
        <v>2022</v>
      </c>
      <c r="C4352" t="s">
        <v>15</v>
      </c>
      <c r="D4352" s="35">
        <v>10133546.48</v>
      </c>
      <c r="E4352" s="35">
        <v>234630</v>
      </c>
      <c r="F4352" s="35">
        <v>4430240.75</v>
      </c>
    </row>
    <row r="4353" spans="1:6" x14ac:dyDescent="0.3">
      <c r="A4353" t="s">
        <v>67</v>
      </c>
      <c r="B4353">
        <v>2022</v>
      </c>
      <c r="C4353" t="s">
        <v>18</v>
      </c>
      <c r="D4353" s="35">
        <v>1439707.22</v>
      </c>
      <c r="E4353" s="35">
        <v>20697</v>
      </c>
      <c r="F4353" s="35">
        <v>1028195.55</v>
      </c>
    </row>
    <row r="4354" spans="1:6" x14ac:dyDescent="0.3">
      <c r="A4354" t="s">
        <v>67</v>
      </c>
      <c r="B4354">
        <v>2023</v>
      </c>
      <c r="C4354" t="s">
        <v>10</v>
      </c>
      <c r="D4354" s="35">
        <v>48788051.079999998</v>
      </c>
      <c r="E4354" s="35">
        <v>899340</v>
      </c>
      <c r="F4354" s="35">
        <v>36640286.350000009</v>
      </c>
    </row>
    <row r="4355" spans="1:6" x14ac:dyDescent="0.3">
      <c r="A4355" t="s">
        <v>67</v>
      </c>
      <c r="B4355">
        <v>2023</v>
      </c>
      <c r="C4355" t="s">
        <v>4</v>
      </c>
      <c r="D4355" s="35">
        <v>150958907.90000001</v>
      </c>
      <c r="E4355" s="35">
        <v>274305</v>
      </c>
      <c r="F4355" s="35">
        <v>149728425.44999999</v>
      </c>
    </row>
    <row r="4356" spans="1:6" x14ac:dyDescent="0.3">
      <c r="A4356" t="s">
        <v>67</v>
      </c>
      <c r="B4356">
        <v>2023</v>
      </c>
      <c r="C4356" t="s">
        <v>13</v>
      </c>
      <c r="D4356" s="35">
        <v>30048036.670000009</v>
      </c>
      <c r="E4356" s="35">
        <v>278588</v>
      </c>
      <c r="F4356" s="35">
        <v>22823048.940000001</v>
      </c>
    </row>
    <row r="4357" spans="1:6" x14ac:dyDescent="0.3">
      <c r="A4357" t="s">
        <v>67</v>
      </c>
      <c r="B4357">
        <v>2023</v>
      </c>
      <c r="C4357" t="s">
        <v>16</v>
      </c>
      <c r="D4357" s="35">
        <v>8297677.3799999999</v>
      </c>
      <c r="E4357" s="35">
        <v>21221</v>
      </c>
      <c r="F4357" s="35">
        <v>7613707.5899999989</v>
      </c>
    </row>
    <row r="4358" spans="1:6" x14ac:dyDescent="0.3">
      <c r="A4358" t="s">
        <v>67</v>
      </c>
      <c r="B4358">
        <v>2023</v>
      </c>
      <c r="C4358" t="s">
        <v>14</v>
      </c>
      <c r="D4358" s="35">
        <v>18653217.870000001</v>
      </c>
      <c r="E4358" s="35">
        <v>522098</v>
      </c>
      <c r="F4358" s="35">
        <v>9233535.5899999999</v>
      </c>
    </row>
    <row r="4359" spans="1:6" x14ac:dyDescent="0.3">
      <c r="A4359" t="s">
        <v>67</v>
      </c>
      <c r="B4359">
        <v>2023</v>
      </c>
      <c r="C4359" t="s">
        <v>7</v>
      </c>
      <c r="D4359" s="35">
        <v>57420528</v>
      </c>
      <c r="E4359" s="35">
        <v>17844</v>
      </c>
      <c r="F4359" s="35">
        <v>57299074.020000003</v>
      </c>
    </row>
    <row r="4360" spans="1:6" x14ac:dyDescent="0.3">
      <c r="A4360" t="s">
        <v>67</v>
      </c>
      <c r="B4360">
        <v>2023</v>
      </c>
      <c r="C4360" t="s">
        <v>11</v>
      </c>
      <c r="D4360" s="35">
        <v>14994549.66</v>
      </c>
      <c r="E4360" s="35">
        <v>23143</v>
      </c>
      <c r="F4360" s="35">
        <v>14137687.57</v>
      </c>
    </row>
    <row r="4361" spans="1:6" x14ac:dyDescent="0.3">
      <c r="A4361" t="s">
        <v>67</v>
      </c>
      <c r="B4361">
        <v>2023</v>
      </c>
      <c r="C4361" t="s">
        <v>3</v>
      </c>
      <c r="D4361" s="35">
        <v>192361904.61000001</v>
      </c>
      <c r="E4361" s="35">
        <v>481896</v>
      </c>
      <c r="F4361" s="35">
        <v>186632807.47999999</v>
      </c>
    </row>
    <row r="4362" spans="1:6" x14ac:dyDescent="0.3">
      <c r="A4362" t="s">
        <v>67</v>
      </c>
      <c r="B4362">
        <v>2023</v>
      </c>
      <c r="C4362" t="s">
        <v>12</v>
      </c>
      <c r="D4362" s="35">
        <v>56120563.260000013</v>
      </c>
      <c r="E4362" s="35">
        <v>1147746</v>
      </c>
      <c r="F4362" s="35">
        <v>36225262.430000007</v>
      </c>
    </row>
    <row r="4363" spans="1:6" x14ac:dyDescent="0.3">
      <c r="A4363" t="s">
        <v>67</v>
      </c>
      <c r="B4363">
        <v>2023</v>
      </c>
      <c r="C4363" t="s">
        <v>2</v>
      </c>
      <c r="D4363" s="35">
        <v>257035009.84</v>
      </c>
      <c r="E4363" s="35">
        <v>2135296</v>
      </c>
      <c r="F4363" s="35">
        <v>222722723.88000011</v>
      </c>
    </row>
    <row r="4364" spans="1:6" x14ac:dyDescent="0.3">
      <c r="A4364" t="s">
        <v>67</v>
      </c>
      <c r="B4364">
        <v>2023</v>
      </c>
      <c r="C4364" t="s">
        <v>5</v>
      </c>
      <c r="D4364" s="35">
        <v>50794234.049999997</v>
      </c>
      <c r="E4364" s="35">
        <v>26415</v>
      </c>
      <c r="F4364" s="35">
        <v>50136900.089999989</v>
      </c>
    </row>
    <row r="4365" spans="1:6" x14ac:dyDescent="0.3">
      <c r="A4365" t="s">
        <v>67</v>
      </c>
      <c r="B4365">
        <v>2023</v>
      </c>
      <c r="C4365" t="s">
        <v>17</v>
      </c>
      <c r="D4365" s="35">
        <v>1939493.12</v>
      </c>
      <c r="E4365" s="35">
        <v>59676</v>
      </c>
      <c r="F4365" s="35">
        <v>329859.52000000008</v>
      </c>
    </row>
    <row r="4366" spans="1:6" x14ac:dyDescent="0.3">
      <c r="A4366" t="s">
        <v>67</v>
      </c>
      <c r="B4366">
        <v>2023</v>
      </c>
      <c r="C4366" t="s">
        <v>9</v>
      </c>
      <c r="D4366" s="35">
        <v>34285907.659999996</v>
      </c>
      <c r="E4366" s="35">
        <v>1435085</v>
      </c>
      <c r="F4366" s="35">
        <v>15187958.65</v>
      </c>
    </row>
    <row r="4367" spans="1:6" x14ac:dyDescent="0.3">
      <c r="A4367" t="s">
        <v>67</v>
      </c>
      <c r="B4367">
        <v>2023</v>
      </c>
      <c r="C4367" t="s">
        <v>8</v>
      </c>
      <c r="D4367" s="35">
        <v>54351203.729999997</v>
      </c>
      <c r="E4367" s="35">
        <v>2880</v>
      </c>
      <c r="F4367" s="35">
        <v>54351203.729999997</v>
      </c>
    </row>
    <row r="4368" spans="1:6" x14ac:dyDescent="0.3">
      <c r="A4368" t="s">
        <v>67</v>
      </c>
      <c r="B4368">
        <v>2023</v>
      </c>
      <c r="C4368" t="s">
        <v>6</v>
      </c>
      <c r="D4368" s="35">
        <v>82423303.279999986</v>
      </c>
      <c r="E4368" s="35">
        <v>1093861</v>
      </c>
      <c r="F4368" s="35">
        <v>62955852.539999977</v>
      </c>
    </row>
    <row r="4369" spans="1:6" x14ac:dyDescent="0.3">
      <c r="A4369" t="s">
        <v>67</v>
      </c>
      <c r="B4369">
        <v>2023</v>
      </c>
      <c r="C4369" t="s">
        <v>15</v>
      </c>
      <c r="D4369" s="35">
        <v>9839056.1800000016</v>
      </c>
      <c r="E4369" s="35">
        <v>208486</v>
      </c>
      <c r="F4369" s="35">
        <v>4642986.2600000007</v>
      </c>
    </row>
    <row r="4370" spans="1:6" x14ac:dyDescent="0.3">
      <c r="A4370" t="s">
        <v>67</v>
      </c>
      <c r="B4370">
        <v>2023</v>
      </c>
      <c r="C4370" t="s">
        <v>18</v>
      </c>
      <c r="D4370" s="35">
        <v>1970087</v>
      </c>
      <c r="E4370" s="35">
        <v>21551</v>
      </c>
      <c r="F4370" s="35">
        <v>1562697.83</v>
      </c>
    </row>
    <row r="4371" spans="1:6" x14ac:dyDescent="0.3">
      <c r="A4371" t="s">
        <v>67</v>
      </c>
      <c r="B4371">
        <v>2024</v>
      </c>
      <c r="C4371" t="s">
        <v>10</v>
      </c>
      <c r="D4371" s="35">
        <v>47489736.270000003</v>
      </c>
      <c r="E4371" s="35">
        <v>846906</v>
      </c>
      <c r="F4371" s="35">
        <v>37621318.999999993</v>
      </c>
    </row>
    <row r="4372" spans="1:6" x14ac:dyDescent="0.3">
      <c r="A4372" t="s">
        <v>67</v>
      </c>
      <c r="B4372">
        <v>2024</v>
      </c>
      <c r="C4372" t="s">
        <v>4</v>
      </c>
      <c r="D4372" s="35">
        <v>146298169.55000001</v>
      </c>
      <c r="E4372" s="35">
        <v>280430</v>
      </c>
      <c r="F4372" s="35">
        <v>145279171.15000001</v>
      </c>
    </row>
    <row r="4373" spans="1:6" x14ac:dyDescent="0.3">
      <c r="A4373" t="s">
        <v>67</v>
      </c>
      <c r="B4373">
        <v>2024</v>
      </c>
      <c r="C4373" t="s">
        <v>13</v>
      </c>
      <c r="D4373" s="35">
        <v>28813564.879999999</v>
      </c>
      <c r="E4373" s="35">
        <v>250819</v>
      </c>
      <c r="F4373" s="35">
        <v>23372950.600000001</v>
      </c>
    </row>
    <row r="4374" spans="1:6" x14ac:dyDescent="0.3">
      <c r="A4374" t="s">
        <v>67</v>
      </c>
      <c r="B4374">
        <v>2024</v>
      </c>
      <c r="C4374" t="s">
        <v>16</v>
      </c>
      <c r="D4374" s="35">
        <v>8851517.7699999977</v>
      </c>
      <c r="E4374" s="35">
        <v>19808</v>
      </c>
      <c r="F4374" s="35">
        <v>8322313.8400000008</v>
      </c>
    </row>
    <row r="4375" spans="1:6" x14ac:dyDescent="0.3">
      <c r="A4375" t="s">
        <v>67</v>
      </c>
      <c r="B4375">
        <v>2024</v>
      </c>
      <c r="C4375" t="s">
        <v>14</v>
      </c>
      <c r="D4375" s="35">
        <v>20878865.25</v>
      </c>
      <c r="E4375" s="35">
        <v>485923</v>
      </c>
      <c r="F4375" s="35">
        <v>13091360.619999999</v>
      </c>
    </row>
    <row r="4376" spans="1:6" x14ac:dyDescent="0.3">
      <c r="A4376" t="s">
        <v>67</v>
      </c>
      <c r="B4376">
        <v>2024</v>
      </c>
      <c r="C4376" t="s">
        <v>7</v>
      </c>
      <c r="D4376" s="35">
        <v>54701364.700000003</v>
      </c>
      <c r="E4376" s="35">
        <v>15819</v>
      </c>
      <c r="F4376" s="35">
        <v>54665029.450000003</v>
      </c>
    </row>
    <row r="4377" spans="1:6" x14ac:dyDescent="0.3">
      <c r="A4377" t="s">
        <v>67</v>
      </c>
      <c r="B4377">
        <v>2024</v>
      </c>
      <c r="C4377" t="s">
        <v>11</v>
      </c>
      <c r="D4377" s="35">
        <v>14666947.76</v>
      </c>
      <c r="E4377" s="35">
        <v>23454</v>
      </c>
      <c r="F4377" s="35">
        <v>13986547.74</v>
      </c>
    </row>
    <row r="4378" spans="1:6" x14ac:dyDescent="0.3">
      <c r="A4378" t="s">
        <v>67</v>
      </c>
      <c r="B4378">
        <v>2024</v>
      </c>
      <c r="C4378" t="s">
        <v>3</v>
      </c>
      <c r="D4378" s="35">
        <v>227624909.09999999</v>
      </c>
      <c r="E4378" s="35">
        <v>472656</v>
      </c>
      <c r="F4378" s="35">
        <v>222883681.86000001</v>
      </c>
    </row>
    <row r="4379" spans="1:6" x14ac:dyDescent="0.3">
      <c r="A4379" t="s">
        <v>67</v>
      </c>
      <c r="B4379">
        <v>2024</v>
      </c>
      <c r="C4379" t="s">
        <v>12</v>
      </c>
      <c r="D4379" s="35">
        <v>53556138.359999992</v>
      </c>
      <c r="E4379" s="35">
        <v>1059949</v>
      </c>
      <c r="F4379" s="35">
        <v>38212573.539999999</v>
      </c>
    </row>
    <row r="4380" spans="1:6" x14ac:dyDescent="0.3">
      <c r="A4380" t="s">
        <v>67</v>
      </c>
      <c r="B4380">
        <v>2024</v>
      </c>
      <c r="C4380" t="s">
        <v>2</v>
      </c>
      <c r="D4380" s="35">
        <v>266226584.53</v>
      </c>
      <c r="E4380" s="35">
        <v>2009690</v>
      </c>
      <c r="F4380" s="35">
        <v>237518330.18000001</v>
      </c>
    </row>
    <row r="4381" spans="1:6" x14ac:dyDescent="0.3">
      <c r="A4381" t="s">
        <v>67</v>
      </c>
      <c r="B4381">
        <v>2024</v>
      </c>
      <c r="C4381" t="s">
        <v>5</v>
      </c>
      <c r="D4381" s="35">
        <v>43681386.520000011</v>
      </c>
      <c r="E4381" s="35">
        <v>22656</v>
      </c>
      <c r="F4381" s="35">
        <v>42923426.600000001</v>
      </c>
    </row>
    <row r="4382" spans="1:6" x14ac:dyDescent="0.3">
      <c r="A4382" t="s">
        <v>67</v>
      </c>
      <c r="B4382">
        <v>2024</v>
      </c>
      <c r="C4382" t="s">
        <v>17</v>
      </c>
      <c r="D4382" s="35">
        <v>3060407.78</v>
      </c>
      <c r="E4382" s="35">
        <v>90919</v>
      </c>
      <c r="F4382" s="35">
        <v>340360.85</v>
      </c>
    </row>
    <row r="4383" spans="1:6" x14ac:dyDescent="0.3">
      <c r="A4383" t="s">
        <v>67</v>
      </c>
      <c r="B4383">
        <v>2024</v>
      </c>
      <c r="C4383" t="s">
        <v>9</v>
      </c>
      <c r="D4383" s="35">
        <v>29546899.379999999</v>
      </c>
      <c r="E4383" s="35">
        <v>1270689</v>
      </c>
      <c r="F4383" s="35">
        <v>14403089.640000001</v>
      </c>
    </row>
    <row r="4384" spans="1:6" x14ac:dyDescent="0.3">
      <c r="A4384" t="s">
        <v>67</v>
      </c>
      <c r="B4384">
        <v>2024</v>
      </c>
      <c r="C4384" t="s">
        <v>8</v>
      </c>
      <c r="D4384" s="35">
        <v>45434083.520000003</v>
      </c>
      <c r="E4384" s="35">
        <v>2222</v>
      </c>
      <c r="F4384" s="35">
        <v>45434083.520000003</v>
      </c>
    </row>
    <row r="4385" spans="1:6" x14ac:dyDescent="0.3">
      <c r="A4385" t="s">
        <v>67</v>
      </c>
      <c r="B4385">
        <v>2024</v>
      </c>
      <c r="C4385" t="s">
        <v>6</v>
      </c>
      <c r="D4385" s="35">
        <v>72710508.099999994</v>
      </c>
      <c r="E4385" s="35">
        <v>1018929</v>
      </c>
      <c r="F4385" s="35">
        <v>56617523.100000009</v>
      </c>
    </row>
    <row r="4386" spans="1:6" x14ac:dyDescent="0.3">
      <c r="A4386" t="s">
        <v>67</v>
      </c>
      <c r="B4386">
        <v>2024</v>
      </c>
      <c r="C4386" t="s">
        <v>15</v>
      </c>
      <c r="D4386" s="35">
        <v>8392776.8400000017</v>
      </c>
      <c r="E4386" s="35">
        <v>145299</v>
      </c>
      <c r="F4386" s="35">
        <v>4865659.17</v>
      </c>
    </row>
    <row r="4387" spans="1:6" x14ac:dyDescent="0.3">
      <c r="A4387" t="s">
        <v>67</v>
      </c>
      <c r="B4387">
        <v>2024</v>
      </c>
      <c r="C4387" t="s">
        <v>18</v>
      </c>
      <c r="D4387" s="35">
        <v>2594366.46</v>
      </c>
      <c r="E4387" s="35">
        <v>19424</v>
      </c>
      <c r="F4387" s="35">
        <v>2236885.17</v>
      </c>
    </row>
    <row r="4388" spans="1:6" x14ac:dyDescent="0.3">
      <c r="A4388" t="s">
        <v>67</v>
      </c>
      <c r="B4388">
        <v>2025</v>
      </c>
      <c r="C4388" t="s">
        <v>10</v>
      </c>
      <c r="D4388" s="35">
        <v>47380368.559999987</v>
      </c>
      <c r="E4388" s="35">
        <v>873737</v>
      </c>
      <c r="F4388" s="35">
        <v>39446030.670000002</v>
      </c>
    </row>
    <row r="4389" spans="1:6" x14ac:dyDescent="0.3">
      <c r="A4389" t="s">
        <v>67</v>
      </c>
      <c r="B4389">
        <v>2025</v>
      </c>
      <c r="C4389" t="s">
        <v>4</v>
      </c>
      <c r="D4389" s="35">
        <v>151436297.37</v>
      </c>
      <c r="E4389" s="35">
        <v>303219</v>
      </c>
      <c r="F4389" s="35">
        <v>150297175.93000001</v>
      </c>
    </row>
    <row r="4390" spans="1:6" x14ac:dyDescent="0.3">
      <c r="A4390" t="s">
        <v>67</v>
      </c>
      <c r="B4390">
        <v>2025</v>
      </c>
      <c r="C4390" t="s">
        <v>13</v>
      </c>
      <c r="D4390" s="35">
        <v>26983046.350000001</v>
      </c>
      <c r="E4390" s="35">
        <v>252463</v>
      </c>
      <c r="F4390" s="35">
        <v>22497339.600000009</v>
      </c>
    </row>
    <row r="4391" spans="1:6" x14ac:dyDescent="0.3">
      <c r="A4391" t="s">
        <v>67</v>
      </c>
      <c r="B4391">
        <v>2025</v>
      </c>
      <c r="C4391" t="s">
        <v>16</v>
      </c>
      <c r="D4391" s="35">
        <v>10383749.369999999</v>
      </c>
      <c r="E4391" s="35">
        <v>19934</v>
      </c>
      <c r="F4391" s="35">
        <v>9869088.5600000024</v>
      </c>
    </row>
    <row r="4392" spans="1:6" x14ac:dyDescent="0.3">
      <c r="A4392" t="s">
        <v>67</v>
      </c>
      <c r="B4392">
        <v>2025</v>
      </c>
      <c r="C4392" t="s">
        <v>14</v>
      </c>
      <c r="D4392" s="35">
        <v>17671407.170000009</v>
      </c>
      <c r="E4392" s="35">
        <v>473247</v>
      </c>
      <c r="F4392" s="35">
        <v>12456719.369999999</v>
      </c>
    </row>
    <row r="4393" spans="1:6" x14ac:dyDescent="0.3">
      <c r="A4393" t="s">
        <v>67</v>
      </c>
      <c r="B4393">
        <v>2025</v>
      </c>
      <c r="C4393" t="s">
        <v>7</v>
      </c>
      <c r="D4393" s="35">
        <v>50693250.349999987</v>
      </c>
      <c r="E4393" s="35">
        <v>15023</v>
      </c>
      <c r="F4393" s="35">
        <v>50672162.93</v>
      </c>
    </row>
    <row r="4394" spans="1:6" x14ac:dyDescent="0.3">
      <c r="A4394" t="s">
        <v>67</v>
      </c>
      <c r="B4394">
        <v>2025</v>
      </c>
      <c r="C4394" t="s">
        <v>11</v>
      </c>
      <c r="D4394" s="35">
        <v>7621612.9300000016</v>
      </c>
      <c r="E4394" s="35">
        <v>21456</v>
      </c>
      <c r="F4394" s="35">
        <v>7094917.7400000012</v>
      </c>
    </row>
    <row r="4395" spans="1:6" x14ac:dyDescent="0.3">
      <c r="A4395" t="s">
        <v>67</v>
      </c>
      <c r="B4395">
        <v>2025</v>
      </c>
      <c r="C4395" t="s">
        <v>3</v>
      </c>
      <c r="D4395" s="35">
        <v>234499495.88999999</v>
      </c>
      <c r="E4395" s="35">
        <v>446128</v>
      </c>
      <c r="F4395" s="35">
        <v>231027255.15000001</v>
      </c>
    </row>
    <row r="4396" spans="1:6" x14ac:dyDescent="0.3">
      <c r="A4396" t="s">
        <v>67</v>
      </c>
      <c r="B4396">
        <v>2025</v>
      </c>
      <c r="C4396" t="s">
        <v>12</v>
      </c>
      <c r="D4396" s="35">
        <v>36875225.140000001</v>
      </c>
      <c r="E4396" s="35">
        <v>1005251</v>
      </c>
      <c r="F4396" s="35">
        <v>26056175.13000001</v>
      </c>
    </row>
    <row r="4397" spans="1:6" x14ac:dyDescent="0.3">
      <c r="A4397" t="s">
        <v>67</v>
      </c>
      <c r="B4397">
        <v>2025</v>
      </c>
      <c r="C4397" t="s">
        <v>2</v>
      </c>
      <c r="D4397" s="35">
        <v>276860973.35000002</v>
      </c>
      <c r="E4397" s="35">
        <v>2045363</v>
      </c>
      <c r="F4397" s="35">
        <v>253304838.11000001</v>
      </c>
    </row>
    <row r="4398" spans="1:6" x14ac:dyDescent="0.3">
      <c r="A4398" t="s">
        <v>67</v>
      </c>
      <c r="B4398">
        <v>2025</v>
      </c>
      <c r="C4398" t="s">
        <v>5</v>
      </c>
      <c r="D4398" s="35">
        <v>31678053.329999998</v>
      </c>
      <c r="E4398" s="35">
        <v>22400</v>
      </c>
      <c r="F4398" s="35">
        <v>31153081.050000001</v>
      </c>
    </row>
    <row r="4399" spans="1:6" x14ac:dyDescent="0.3">
      <c r="A4399" t="s">
        <v>67</v>
      </c>
      <c r="B4399">
        <v>2025</v>
      </c>
      <c r="C4399" t="s">
        <v>17</v>
      </c>
      <c r="D4399" s="35">
        <v>1694417.97</v>
      </c>
      <c r="E4399" s="35">
        <v>98529</v>
      </c>
      <c r="F4399" s="35">
        <v>336838.49</v>
      </c>
    </row>
    <row r="4400" spans="1:6" x14ac:dyDescent="0.3">
      <c r="A4400" t="s">
        <v>67</v>
      </c>
      <c r="B4400">
        <v>2025</v>
      </c>
      <c r="C4400" t="s">
        <v>9</v>
      </c>
      <c r="D4400" s="35">
        <v>26694455.41</v>
      </c>
      <c r="E4400" s="35">
        <v>1291043</v>
      </c>
      <c r="F4400" s="35">
        <v>14374729.310000001</v>
      </c>
    </row>
    <row r="4401" spans="1:6" x14ac:dyDescent="0.3">
      <c r="A4401" t="s">
        <v>67</v>
      </c>
      <c r="B4401">
        <v>2025</v>
      </c>
      <c r="C4401" t="s">
        <v>8</v>
      </c>
      <c r="D4401" s="35">
        <v>36954988.770000003</v>
      </c>
      <c r="E4401" s="35">
        <v>1951</v>
      </c>
      <c r="F4401" s="35">
        <v>36954988.770000003</v>
      </c>
    </row>
    <row r="4402" spans="1:6" x14ac:dyDescent="0.3">
      <c r="A4402" t="s">
        <v>67</v>
      </c>
      <c r="B4402">
        <v>2025</v>
      </c>
      <c r="C4402" t="s">
        <v>6</v>
      </c>
      <c r="D4402" s="35">
        <v>65193741.729999997</v>
      </c>
      <c r="E4402" s="35">
        <v>964068</v>
      </c>
      <c r="F4402" s="35">
        <v>52435113.409999996</v>
      </c>
    </row>
    <row r="4403" spans="1:6" x14ac:dyDescent="0.3">
      <c r="A4403" t="s">
        <v>67</v>
      </c>
      <c r="B4403">
        <v>2025</v>
      </c>
      <c r="C4403" t="s">
        <v>15</v>
      </c>
      <c r="D4403" s="35">
        <v>8093989.9699999988</v>
      </c>
      <c r="E4403" s="35">
        <v>117126</v>
      </c>
      <c r="F4403" s="35">
        <v>5882010.2000000002</v>
      </c>
    </row>
    <row r="4404" spans="1:6" x14ac:dyDescent="0.3">
      <c r="A4404" t="s">
        <v>67</v>
      </c>
      <c r="B4404">
        <v>2025</v>
      </c>
      <c r="C4404" t="s">
        <v>18</v>
      </c>
      <c r="D4404" s="35">
        <v>2943970.35</v>
      </c>
      <c r="E4404" s="35">
        <v>22168</v>
      </c>
      <c r="F4404" s="35">
        <v>2606568.48</v>
      </c>
    </row>
    <row r="4405" spans="1:6" x14ac:dyDescent="0.3">
      <c r="A4405" t="s">
        <v>68</v>
      </c>
      <c r="B4405">
        <v>2019</v>
      </c>
      <c r="C4405" t="s">
        <v>10</v>
      </c>
      <c r="D4405" s="35">
        <v>30916175.489999991</v>
      </c>
      <c r="E4405" s="35">
        <v>1503879</v>
      </c>
      <c r="F4405" s="35">
        <v>17568899.649999999</v>
      </c>
    </row>
    <row r="4406" spans="1:6" x14ac:dyDescent="0.3">
      <c r="A4406" t="s">
        <v>68</v>
      </c>
      <c r="B4406">
        <v>2019</v>
      </c>
      <c r="C4406" t="s">
        <v>4</v>
      </c>
      <c r="D4406" s="35">
        <v>73320380.330000013</v>
      </c>
      <c r="E4406" s="35">
        <v>422004</v>
      </c>
      <c r="F4406" s="35">
        <v>71715028.530000016</v>
      </c>
    </row>
    <row r="4407" spans="1:6" x14ac:dyDescent="0.3">
      <c r="A4407" t="s">
        <v>68</v>
      </c>
      <c r="B4407">
        <v>2019</v>
      </c>
      <c r="C4407" t="s">
        <v>13</v>
      </c>
      <c r="D4407" s="35">
        <v>36369541.540000007</v>
      </c>
      <c r="E4407" s="35">
        <v>502085</v>
      </c>
      <c r="F4407" s="35">
        <v>26288304.739999998</v>
      </c>
    </row>
    <row r="4408" spans="1:6" x14ac:dyDescent="0.3">
      <c r="A4408" t="s">
        <v>68</v>
      </c>
      <c r="B4408">
        <v>2019</v>
      </c>
      <c r="C4408" t="s">
        <v>16</v>
      </c>
      <c r="D4408" s="35">
        <v>6588698.5799999991</v>
      </c>
      <c r="E4408" s="35">
        <v>18944</v>
      </c>
      <c r="F4408" s="35">
        <v>6312732.2999999998</v>
      </c>
    </row>
    <row r="4409" spans="1:6" x14ac:dyDescent="0.3">
      <c r="A4409" t="s">
        <v>68</v>
      </c>
      <c r="B4409">
        <v>2019</v>
      </c>
      <c r="C4409" t="s">
        <v>14</v>
      </c>
      <c r="D4409" s="35">
        <v>14289544.640000001</v>
      </c>
      <c r="E4409" s="35">
        <v>634212</v>
      </c>
      <c r="F4409" s="35">
        <v>7661660.9700000007</v>
      </c>
    </row>
    <row r="4410" spans="1:6" x14ac:dyDescent="0.3">
      <c r="A4410" t="s">
        <v>68</v>
      </c>
      <c r="B4410">
        <v>2019</v>
      </c>
      <c r="C4410" t="s">
        <v>7</v>
      </c>
      <c r="D4410" s="35">
        <v>45696572.79999999</v>
      </c>
      <c r="E4410" s="35">
        <v>20516</v>
      </c>
      <c r="F4410" s="35">
        <v>45185084.630000003</v>
      </c>
    </row>
    <row r="4411" spans="1:6" x14ac:dyDescent="0.3">
      <c r="A4411" t="s">
        <v>68</v>
      </c>
      <c r="B4411">
        <v>2019</v>
      </c>
      <c r="C4411" t="s">
        <v>11</v>
      </c>
      <c r="D4411" s="35">
        <v>125736688.98</v>
      </c>
      <c r="E4411" s="35">
        <v>141851</v>
      </c>
      <c r="F4411" s="35">
        <v>117039647.05</v>
      </c>
    </row>
    <row r="4412" spans="1:6" x14ac:dyDescent="0.3">
      <c r="A4412" t="s">
        <v>68</v>
      </c>
      <c r="B4412">
        <v>2019</v>
      </c>
      <c r="C4412" t="s">
        <v>3</v>
      </c>
      <c r="D4412" s="35">
        <v>89570752.62999998</v>
      </c>
      <c r="E4412" s="35">
        <v>295559</v>
      </c>
      <c r="F4412" s="35">
        <v>86272442.719999969</v>
      </c>
    </row>
    <row r="4413" spans="1:6" x14ac:dyDescent="0.3">
      <c r="A4413" t="s">
        <v>68</v>
      </c>
      <c r="B4413">
        <v>2019</v>
      </c>
      <c r="C4413" t="s">
        <v>12</v>
      </c>
      <c r="D4413" s="35">
        <v>67019656.139999993</v>
      </c>
      <c r="E4413" s="35">
        <v>692462</v>
      </c>
      <c r="F4413" s="35">
        <v>56861500.409999996</v>
      </c>
    </row>
    <row r="4414" spans="1:6" x14ac:dyDescent="0.3">
      <c r="A4414" t="s">
        <v>68</v>
      </c>
      <c r="B4414">
        <v>2019</v>
      </c>
      <c r="C4414" t="s">
        <v>2</v>
      </c>
      <c r="D4414" s="35">
        <v>156580589.66999999</v>
      </c>
      <c r="E4414" s="35">
        <v>2500591</v>
      </c>
      <c r="F4414" s="35">
        <v>110660175.17</v>
      </c>
    </row>
    <row r="4415" spans="1:6" x14ac:dyDescent="0.3">
      <c r="A4415" t="s">
        <v>68</v>
      </c>
      <c r="B4415">
        <v>2019</v>
      </c>
      <c r="C4415" t="s">
        <v>5</v>
      </c>
      <c r="D4415" s="35">
        <v>51980294.909999996</v>
      </c>
      <c r="E4415" s="35">
        <v>42960</v>
      </c>
      <c r="F4415" s="35">
        <v>49489769.869999997</v>
      </c>
    </row>
    <row r="4416" spans="1:6" x14ac:dyDescent="0.3">
      <c r="A4416" t="s">
        <v>68</v>
      </c>
      <c r="B4416">
        <v>2019</v>
      </c>
      <c r="C4416" t="s">
        <v>17</v>
      </c>
      <c r="D4416" s="35">
        <v>3529938.2400000012</v>
      </c>
      <c r="E4416" s="35">
        <v>181012</v>
      </c>
      <c r="F4416" s="35">
        <v>911150.51</v>
      </c>
    </row>
    <row r="4417" spans="1:6" x14ac:dyDescent="0.3">
      <c r="A4417" t="s">
        <v>68</v>
      </c>
      <c r="B4417">
        <v>2019</v>
      </c>
      <c r="C4417" t="s">
        <v>9</v>
      </c>
      <c r="D4417" s="35">
        <v>39309453.830000013</v>
      </c>
      <c r="E4417" s="35">
        <v>1430475</v>
      </c>
      <c r="F4417" s="35">
        <v>16038906.800000001</v>
      </c>
    </row>
    <row r="4418" spans="1:6" x14ac:dyDescent="0.3">
      <c r="A4418" t="s">
        <v>68</v>
      </c>
      <c r="B4418">
        <v>2019</v>
      </c>
      <c r="C4418" t="s">
        <v>8</v>
      </c>
      <c r="D4418" s="35">
        <v>15445630.02</v>
      </c>
      <c r="E4418" s="35">
        <v>1767</v>
      </c>
      <c r="F4418" s="35">
        <v>15445630.02</v>
      </c>
    </row>
    <row r="4419" spans="1:6" x14ac:dyDescent="0.3">
      <c r="A4419" t="s">
        <v>68</v>
      </c>
      <c r="B4419">
        <v>2019</v>
      </c>
      <c r="C4419" t="s">
        <v>6</v>
      </c>
      <c r="D4419" s="35">
        <v>69100749.679999992</v>
      </c>
      <c r="E4419" s="35">
        <v>868949</v>
      </c>
      <c r="F4419" s="35">
        <v>62864441.210000001</v>
      </c>
    </row>
    <row r="4420" spans="1:6" x14ac:dyDescent="0.3">
      <c r="A4420" t="s">
        <v>68</v>
      </c>
      <c r="B4420">
        <v>2019</v>
      </c>
      <c r="C4420" t="s">
        <v>15</v>
      </c>
      <c r="D4420" s="35">
        <v>15696595.07</v>
      </c>
      <c r="E4420" s="35">
        <v>580629</v>
      </c>
      <c r="F4420" s="35">
        <v>7672385.96</v>
      </c>
    </row>
    <row r="4421" spans="1:6" x14ac:dyDescent="0.3">
      <c r="A4421" t="s">
        <v>68</v>
      </c>
      <c r="B4421">
        <v>2019</v>
      </c>
      <c r="C4421" t="s">
        <v>18</v>
      </c>
      <c r="D4421" s="35">
        <v>29470884.699999999</v>
      </c>
      <c r="E4421" s="35">
        <v>84566</v>
      </c>
      <c r="F4421" s="35">
        <v>27420727.370000001</v>
      </c>
    </row>
    <row r="4422" spans="1:6" x14ac:dyDescent="0.3">
      <c r="A4422" t="s">
        <v>68</v>
      </c>
      <c r="B4422">
        <v>2020</v>
      </c>
      <c r="C4422" t="s">
        <v>10</v>
      </c>
      <c r="D4422" s="35">
        <v>34680925.100000001</v>
      </c>
      <c r="E4422" s="35">
        <v>1586244</v>
      </c>
      <c r="F4422" s="35">
        <v>22187957.440000001</v>
      </c>
    </row>
    <row r="4423" spans="1:6" x14ac:dyDescent="0.3">
      <c r="A4423" t="s">
        <v>68</v>
      </c>
      <c r="B4423">
        <v>2020</v>
      </c>
      <c r="C4423" t="s">
        <v>4</v>
      </c>
      <c r="D4423" s="35">
        <v>81921114.750000015</v>
      </c>
      <c r="E4423" s="35">
        <v>442291</v>
      </c>
      <c r="F4423" s="35">
        <v>80501736.099999979</v>
      </c>
    </row>
    <row r="4424" spans="1:6" x14ac:dyDescent="0.3">
      <c r="A4424" t="s">
        <v>68</v>
      </c>
      <c r="B4424">
        <v>2020</v>
      </c>
      <c r="C4424" t="s">
        <v>13</v>
      </c>
      <c r="D4424" s="35">
        <v>37654790.689999998</v>
      </c>
      <c r="E4424" s="35">
        <v>504777</v>
      </c>
      <c r="F4424" s="35">
        <v>25918530.98</v>
      </c>
    </row>
    <row r="4425" spans="1:6" x14ac:dyDescent="0.3">
      <c r="A4425" t="s">
        <v>68</v>
      </c>
      <c r="B4425">
        <v>2020</v>
      </c>
      <c r="C4425" t="s">
        <v>16</v>
      </c>
      <c r="D4425" s="35">
        <v>9419199.1499999985</v>
      </c>
      <c r="E4425" s="35">
        <v>20199</v>
      </c>
      <c r="F4425" s="35">
        <v>9101611.6799999997</v>
      </c>
    </row>
    <row r="4426" spans="1:6" x14ac:dyDescent="0.3">
      <c r="A4426" t="s">
        <v>68</v>
      </c>
      <c r="B4426">
        <v>2020</v>
      </c>
      <c r="C4426" t="s">
        <v>14</v>
      </c>
      <c r="D4426" s="35">
        <v>14613258.42</v>
      </c>
      <c r="E4426" s="35">
        <v>689015</v>
      </c>
      <c r="F4426" s="35">
        <v>7669362.5299999984</v>
      </c>
    </row>
    <row r="4427" spans="1:6" x14ac:dyDescent="0.3">
      <c r="A4427" t="s">
        <v>68</v>
      </c>
      <c r="B4427">
        <v>2020</v>
      </c>
      <c r="C4427" t="s">
        <v>7</v>
      </c>
      <c r="D4427" s="35">
        <v>52307224</v>
      </c>
      <c r="E4427" s="35">
        <v>20738</v>
      </c>
      <c r="F4427" s="35">
        <v>50766774.200000003</v>
      </c>
    </row>
    <row r="4428" spans="1:6" x14ac:dyDescent="0.3">
      <c r="A4428" t="s">
        <v>68</v>
      </c>
      <c r="B4428">
        <v>2020</v>
      </c>
      <c r="C4428" t="s">
        <v>11</v>
      </c>
      <c r="D4428" s="35">
        <v>153843672.65000001</v>
      </c>
      <c r="E4428" s="35">
        <v>153907</v>
      </c>
      <c r="F4428" s="35">
        <v>141573486.96000001</v>
      </c>
    </row>
    <row r="4429" spans="1:6" x14ac:dyDescent="0.3">
      <c r="A4429" t="s">
        <v>68</v>
      </c>
      <c r="B4429">
        <v>2020</v>
      </c>
      <c r="C4429" t="s">
        <v>3</v>
      </c>
      <c r="D4429" s="35">
        <v>105219642.54000001</v>
      </c>
      <c r="E4429" s="35">
        <v>279437</v>
      </c>
      <c r="F4429" s="35">
        <v>102163744.04000001</v>
      </c>
    </row>
    <row r="4430" spans="1:6" x14ac:dyDescent="0.3">
      <c r="A4430" t="s">
        <v>68</v>
      </c>
      <c r="B4430">
        <v>2020</v>
      </c>
      <c r="C4430" t="s">
        <v>12</v>
      </c>
      <c r="D4430" s="35">
        <v>50667918.130000003</v>
      </c>
      <c r="E4430" s="35">
        <v>613327</v>
      </c>
      <c r="F4430" s="35">
        <v>41993160.179999992</v>
      </c>
    </row>
    <row r="4431" spans="1:6" x14ac:dyDescent="0.3">
      <c r="A4431" t="s">
        <v>68</v>
      </c>
      <c r="B4431">
        <v>2020</v>
      </c>
      <c r="C4431" t="s">
        <v>2</v>
      </c>
      <c r="D4431" s="35">
        <v>167285532.38000011</v>
      </c>
      <c r="E4431" s="35">
        <v>2707153</v>
      </c>
      <c r="F4431" s="35">
        <v>119078137.23999999</v>
      </c>
    </row>
    <row r="4432" spans="1:6" x14ac:dyDescent="0.3">
      <c r="A4432" t="s">
        <v>68</v>
      </c>
      <c r="B4432">
        <v>2020</v>
      </c>
      <c r="C4432" t="s">
        <v>5</v>
      </c>
      <c r="D4432" s="35">
        <v>54114543.660000019</v>
      </c>
      <c r="E4432" s="35">
        <v>39561</v>
      </c>
      <c r="F4432" s="35">
        <v>51626757.700000003</v>
      </c>
    </row>
    <row r="4433" spans="1:6" x14ac:dyDescent="0.3">
      <c r="A4433" t="s">
        <v>68</v>
      </c>
      <c r="B4433">
        <v>2020</v>
      </c>
      <c r="C4433" t="s">
        <v>17</v>
      </c>
      <c r="D4433" s="35">
        <v>3406152.4099999992</v>
      </c>
      <c r="E4433" s="35">
        <v>185487</v>
      </c>
      <c r="F4433" s="35">
        <v>1096045.72</v>
      </c>
    </row>
    <row r="4434" spans="1:6" x14ac:dyDescent="0.3">
      <c r="A4434" t="s">
        <v>68</v>
      </c>
      <c r="B4434">
        <v>2020</v>
      </c>
      <c r="C4434" t="s">
        <v>9</v>
      </c>
      <c r="D4434" s="35">
        <v>43656753.530000001</v>
      </c>
      <c r="E4434" s="35">
        <v>1348638</v>
      </c>
      <c r="F4434" s="35">
        <v>17395810.91</v>
      </c>
    </row>
    <row r="4435" spans="1:6" x14ac:dyDescent="0.3">
      <c r="A4435" t="s">
        <v>68</v>
      </c>
      <c r="B4435">
        <v>2020</v>
      </c>
      <c r="C4435" t="s">
        <v>8</v>
      </c>
      <c r="D4435" s="35">
        <v>17669514.16</v>
      </c>
      <c r="E4435" s="35">
        <v>1813</v>
      </c>
      <c r="F4435" s="35">
        <v>17622638.219999999</v>
      </c>
    </row>
    <row r="4436" spans="1:6" x14ac:dyDescent="0.3">
      <c r="A4436" t="s">
        <v>68</v>
      </c>
      <c r="B4436">
        <v>2020</v>
      </c>
      <c r="C4436" t="s">
        <v>6</v>
      </c>
      <c r="D4436" s="35">
        <v>73448417.110000014</v>
      </c>
      <c r="E4436" s="35">
        <v>933358</v>
      </c>
      <c r="F4436" s="35">
        <v>64652608.309999987</v>
      </c>
    </row>
    <row r="4437" spans="1:6" x14ac:dyDescent="0.3">
      <c r="A4437" t="s">
        <v>68</v>
      </c>
      <c r="B4437">
        <v>2020</v>
      </c>
      <c r="C4437" t="s">
        <v>15</v>
      </c>
      <c r="D4437" s="35">
        <v>14290289.220000001</v>
      </c>
      <c r="E4437" s="35">
        <v>497181</v>
      </c>
      <c r="F4437" s="35">
        <v>6023860.339999998</v>
      </c>
    </row>
    <row r="4438" spans="1:6" x14ac:dyDescent="0.3">
      <c r="A4438" t="s">
        <v>68</v>
      </c>
      <c r="B4438">
        <v>2020</v>
      </c>
      <c r="C4438" t="s">
        <v>18</v>
      </c>
      <c r="D4438" s="35">
        <v>36799827.099999987</v>
      </c>
      <c r="E4438" s="35">
        <v>93890</v>
      </c>
      <c r="F4438" s="35">
        <v>35501869.100000001</v>
      </c>
    </row>
    <row r="4439" spans="1:6" x14ac:dyDescent="0.3">
      <c r="A4439" t="s">
        <v>68</v>
      </c>
      <c r="B4439">
        <v>2021</v>
      </c>
      <c r="C4439" t="s">
        <v>10</v>
      </c>
      <c r="D4439" s="35">
        <v>42953345.25</v>
      </c>
      <c r="E4439" s="35">
        <v>1625460</v>
      </c>
      <c r="F4439" s="35">
        <v>30768215.219999999</v>
      </c>
    </row>
    <row r="4440" spans="1:6" x14ac:dyDescent="0.3">
      <c r="A4440" t="s">
        <v>68</v>
      </c>
      <c r="B4440">
        <v>2021</v>
      </c>
      <c r="C4440" t="s">
        <v>4</v>
      </c>
      <c r="D4440" s="35">
        <v>89536449.379999995</v>
      </c>
      <c r="E4440" s="35">
        <v>444812</v>
      </c>
      <c r="F4440" s="35">
        <v>87965669.360000014</v>
      </c>
    </row>
    <row r="4441" spans="1:6" x14ac:dyDescent="0.3">
      <c r="A4441" t="s">
        <v>68</v>
      </c>
      <c r="B4441">
        <v>2021</v>
      </c>
      <c r="C4441" t="s">
        <v>13</v>
      </c>
      <c r="D4441" s="35">
        <v>34518542.68</v>
      </c>
      <c r="E4441" s="35">
        <v>515110</v>
      </c>
      <c r="F4441" s="35">
        <v>22915950.309999999</v>
      </c>
    </row>
    <row r="4442" spans="1:6" x14ac:dyDescent="0.3">
      <c r="A4442" t="s">
        <v>68</v>
      </c>
      <c r="B4442">
        <v>2021</v>
      </c>
      <c r="C4442" t="s">
        <v>16</v>
      </c>
      <c r="D4442" s="35">
        <v>11136127.26</v>
      </c>
      <c r="E4442" s="35">
        <v>21999</v>
      </c>
      <c r="F4442" s="35">
        <v>10735515.75</v>
      </c>
    </row>
    <row r="4443" spans="1:6" x14ac:dyDescent="0.3">
      <c r="A4443" t="s">
        <v>68</v>
      </c>
      <c r="B4443">
        <v>2021</v>
      </c>
      <c r="C4443" t="s">
        <v>14</v>
      </c>
      <c r="D4443" s="35">
        <v>15175497.67</v>
      </c>
      <c r="E4443" s="35">
        <v>727477</v>
      </c>
      <c r="F4443" s="35">
        <v>8206328.9099999992</v>
      </c>
    </row>
    <row r="4444" spans="1:6" x14ac:dyDescent="0.3">
      <c r="A4444" t="s">
        <v>68</v>
      </c>
      <c r="B4444">
        <v>2021</v>
      </c>
      <c r="C4444" t="s">
        <v>7</v>
      </c>
      <c r="D4444" s="35">
        <v>49279613.899999999</v>
      </c>
      <c r="E4444" s="35">
        <v>20366</v>
      </c>
      <c r="F4444" s="35">
        <v>45645562.559999987</v>
      </c>
    </row>
    <row r="4445" spans="1:6" x14ac:dyDescent="0.3">
      <c r="A4445" t="s">
        <v>68</v>
      </c>
      <c r="B4445">
        <v>2021</v>
      </c>
      <c r="C4445" t="s">
        <v>11</v>
      </c>
      <c r="D4445" s="35">
        <v>150123339.49000001</v>
      </c>
      <c r="E4445" s="35">
        <v>179328</v>
      </c>
      <c r="F4445" s="35">
        <v>140664838.91</v>
      </c>
    </row>
    <row r="4446" spans="1:6" x14ac:dyDescent="0.3">
      <c r="A4446" t="s">
        <v>68</v>
      </c>
      <c r="B4446">
        <v>2021</v>
      </c>
      <c r="C4446" t="s">
        <v>3</v>
      </c>
      <c r="D4446" s="35">
        <v>124587222.54000001</v>
      </c>
      <c r="E4446" s="35">
        <v>288362</v>
      </c>
      <c r="F4446" s="35">
        <v>121219519.47</v>
      </c>
    </row>
    <row r="4447" spans="1:6" x14ac:dyDescent="0.3">
      <c r="A4447" t="s">
        <v>68</v>
      </c>
      <c r="B4447">
        <v>2021</v>
      </c>
      <c r="C4447" t="s">
        <v>12</v>
      </c>
      <c r="D4447" s="35">
        <v>38456476.530000001</v>
      </c>
      <c r="E4447" s="35">
        <v>602817</v>
      </c>
      <c r="F4447" s="35">
        <v>30070157.879999999</v>
      </c>
    </row>
    <row r="4448" spans="1:6" x14ac:dyDescent="0.3">
      <c r="A4448" t="s">
        <v>68</v>
      </c>
      <c r="B4448">
        <v>2021</v>
      </c>
      <c r="C4448" t="s">
        <v>2</v>
      </c>
      <c r="D4448" s="35">
        <v>187909337.12000009</v>
      </c>
      <c r="E4448" s="35">
        <v>2899669</v>
      </c>
      <c r="F4448" s="35">
        <v>139269189.83000001</v>
      </c>
    </row>
    <row r="4449" spans="1:6" x14ac:dyDescent="0.3">
      <c r="A4449" t="s">
        <v>68</v>
      </c>
      <c r="B4449">
        <v>2021</v>
      </c>
      <c r="C4449" t="s">
        <v>5</v>
      </c>
      <c r="D4449" s="35">
        <v>56296572.019999988</v>
      </c>
      <c r="E4449" s="35">
        <v>42316</v>
      </c>
      <c r="F4449" s="35">
        <v>53850271.400000013</v>
      </c>
    </row>
    <row r="4450" spans="1:6" x14ac:dyDescent="0.3">
      <c r="A4450" t="s">
        <v>68</v>
      </c>
      <c r="B4450">
        <v>2021</v>
      </c>
      <c r="C4450" t="s">
        <v>17</v>
      </c>
      <c r="D4450" s="35">
        <v>3143749.95</v>
      </c>
      <c r="E4450" s="35">
        <v>178591</v>
      </c>
      <c r="F4450" s="35">
        <v>1156050.26</v>
      </c>
    </row>
    <row r="4451" spans="1:6" x14ac:dyDescent="0.3">
      <c r="A4451" t="s">
        <v>68</v>
      </c>
      <c r="B4451">
        <v>2021</v>
      </c>
      <c r="C4451" t="s">
        <v>9</v>
      </c>
      <c r="D4451" s="35">
        <v>42754742.820000008</v>
      </c>
      <c r="E4451" s="35">
        <v>1268141</v>
      </c>
      <c r="F4451" s="35">
        <v>16266210.24</v>
      </c>
    </row>
    <row r="4452" spans="1:6" x14ac:dyDescent="0.3">
      <c r="A4452" t="s">
        <v>68</v>
      </c>
      <c r="B4452">
        <v>2021</v>
      </c>
      <c r="C4452" t="s">
        <v>8</v>
      </c>
      <c r="D4452" s="35">
        <v>20875988.739999998</v>
      </c>
      <c r="E4452" s="35">
        <v>1812</v>
      </c>
      <c r="F4452" s="35">
        <v>20275715.620000001</v>
      </c>
    </row>
    <row r="4453" spans="1:6" x14ac:dyDescent="0.3">
      <c r="A4453" t="s">
        <v>68</v>
      </c>
      <c r="B4453">
        <v>2021</v>
      </c>
      <c r="C4453" t="s">
        <v>6</v>
      </c>
      <c r="D4453" s="35">
        <v>71778935.430000022</v>
      </c>
      <c r="E4453" s="35">
        <v>896415</v>
      </c>
      <c r="F4453" s="35">
        <v>61848142.119999997</v>
      </c>
    </row>
    <row r="4454" spans="1:6" x14ac:dyDescent="0.3">
      <c r="A4454" t="s">
        <v>68</v>
      </c>
      <c r="B4454">
        <v>2021</v>
      </c>
      <c r="C4454" t="s">
        <v>15</v>
      </c>
      <c r="D4454" s="35">
        <v>14387418.529999999</v>
      </c>
      <c r="E4454" s="35">
        <v>460729</v>
      </c>
      <c r="F4454" s="35">
        <v>6550299.6500000013</v>
      </c>
    </row>
    <row r="4455" spans="1:6" x14ac:dyDescent="0.3">
      <c r="A4455" t="s">
        <v>68</v>
      </c>
      <c r="B4455">
        <v>2021</v>
      </c>
      <c r="C4455" t="s">
        <v>18</v>
      </c>
      <c r="D4455" s="35">
        <v>9446934</v>
      </c>
      <c r="E4455" s="35">
        <v>83843</v>
      </c>
      <c r="F4455" s="35">
        <v>8302559.9400000004</v>
      </c>
    </row>
    <row r="4456" spans="1:6" x14ac:dyDescent="0.3">
      <c r="A4456" t="s">
        <v>68</v>
      </c>
      <c r="B4456">
        <v>2022</v>
      </c>
      <c r="C4456" t="s">
        <v>10</v>
      </c>
      <c r="D4456" s="35">
        <v>54730922.32</v>
      </c>
      <c r="E4456" s="35">
        <v>1662864</v>
      </c>
      <c r="F4456" s="35">
        <v>40159651.990000002</v>
      </c>
    </row>
    <row r="4457" spans="1:6" x14ac:dyDescent="0.3">
      <c r="A4457" t="s">
        <v>68</v>
      </c>
      <c r="B4457">
        <v>2022</v>
      </c>
      <c r="C4457" t="s">
        <v>4</v>
      </c>
      <c r="D4457" s="35">
        <v>96139676.090000004</v>
      </c>
      <c r="E4457" s="35">
        <v>459140</v>
      </c>
      <c r="F4457" s="35">
        <v>94372715.300000027</v>
      </c>
    </row>
    <row r="4458" spans="1:6" x14ac:dyDescent="0.3">
      <c r="A4458" t="s">
        <v>68</v>
      </c>
      <c r="B4458">
        <v>2022</v>
      </c>
      <c r="C4458" t="s">
        <v>13</v>
      </c>
      <c r="D4458" s="35">
        <v>33081575.239999991</v>
      </c>
      <c r="E4458" s="35">
        <v>525355</v>
      </c>
      <c r="F4458" s="35">
        <v>21466354.719999999</v>
      </c>
    </row>
    <row r="4459" spans="1:6" x14ac:dyDescent="0.3">
      <c r="A4459" t="s">
        <v>68</v>
      </c>
      <c r="B4459">
        <v>2022</v>
      </c>
      <c r="C4459" t="s">
        <v>16</v>
      </c>
      <c r="D4459" s="35">
        <v>12216967</v>
      </c>
      <c r="E4459" s="35">
        <v>23300</v>
      </c>
      <c r="F4459" s="35">
        <v>11823563.619999999</v>
      </c>
    </row>
    <row r="4460" spans="1:6" x14ac:dyDescent="0.3">
      <c r="A4460" t="s">
        <v>68</v>
      </c>
      <c r="B4460">
        <v>2022</v>
      </c>
      <c r="C4460" t="s">
        <v>14</v>
      </c>
      <c r="D4460" s="35">
        <v>15476222.789999999</v>
      </c>
      <c r="E4460" s="35">
        <v>763276</v>
      </c>
      <c r="F4460" s="35">
        <v>7984889.3200000003</v>
      </c>
    </row>
    <row r="4461" spans="1:6" x14ac:dyDescent="0.3">
      <c r="A4461" t="s">
        <v>68</v>
      </c>
      <c r="B4461">
        <v>2022</v>
      </c>
      <c r="C4461" t="s">
        <v>7</v>
      </c>
      <c r="D4461" s="35">
        <v>50796985.590000004</v>
      </c>
      <c r="E4461" s="35">
        <v>22460</v>
      </c>
      <c r="F4461" s="35">
        <v>49220779.310000002</v>
      </c>
    </row>
    <row r="4462" spans="1:6" x14ac:dyDescent="0.3">
      <c r="A4462" t="s">
        <v>68</v>
      </c>
      <c r="B4462">
        <v>2022</v>
      </c>
      <c r="C4462" t="s">
        <v>11</v>
      </c>
      <c r="D4462" s="35">
        <v>27161495.620000001</v>
      </c>
      <c r="E4462" s="35">
        <v>173702</v>
      </c>
      <c r="F4462" s="35">
        <v>25728479.149999999</v>
      </c>
    </row>
    <row r="4463" spans="1:6" x14ac:dyDescent="0.3">
      <c r="A4463" t="s">
        <v>68</v>
      </c>
      <c r="B4463">
        <v>2022</v>
      </c>
      <c r="C4463" t="s">
        <v>3</v>
      </c>
      <c r="D4463" s="35">
        <v>141413799.65000001</v>
      </c>
      <c r="E4463" s="35">
        <v>311405</v>
      </c>
      <c r="F4463" s="35">
        <v>138087832.31999999</v>
      </c>
    </row>
    <row r="4464" spans="1:6" x14ac:dyDescent="0.3">
      <c r="A4464" t="s">
        <v>68</v>
      </c>
      <c r="B4464">
        <v>2022</v>
      </c>
      <c r="C4464" t="s">
        <v>12</v>
      </c>
      <c r="D4464" s="35">
        <v>35531396.570000008</v>
      </c>
      <c r="E4464" s="35">
        <v>685789</v>
      </c>
      <c r="F4464" s="35">
        <v>26385706.800000001</v>
      </c>
    </row>
    <row r="4465" spans="1:6" x14ac:dyDescent="0.3">
      <c r="A4465" t="s">
        <v>68</v>
      </c>
      <c r="B4465">
        <v>2022</v>
      </c>
      <c r="C4465" t="s">
        <v>2</v>
      </c>
      <c r="D4465" s="35">
        <v>188479892.22999999</v>
      </c>
      <c r="E4465" s="35">
        <v>2983553</v>
      </c>
      <c r="F4465" s="35">
        <v>140181402.21000001</v>
      </c>
    </row>
    <row r="4466" spans="1:6" x14ac:dyDescent="0.3">
      <c r="A4466" t="s">
        <v>68</v>
      </c>
      <c r="B4466">
        <v>2022</v>
      </c>
      <c r="C4466" t="s">
        <v>5</v>
      </c>
      <c r="D4466" s="35">
        <v>58367307.290000007</v>
      </c>
      <c r="E4466" s="35">
        <v>41764</v>
      </c>
      <c r="F4466" s="35">
        <v>55697031.099999987</v>
      </c>
    </row>
    <row r="4467" spans="1:6" x14ac:dyDescent="0.3">
      <c r="A4467" t="s">
        <v>68</v>
      </c>
      <c r="B4467">
        <v>2022</v>
      </c>
      <c r="C4467" t="s">
        <v>17</v>
      </c>
      <c r="D4467" s="35">
        <v>2603185.16</v>
      </c>
      <c r="E4467" s="35">
        <v>170590</v>
      </c>
      <c r="F4467" s="35">
        <v>1027012.48</v>
      </c>
    </row>
    <row r="4468" spans="1:6" x14ac:dyDescent="0.3">
      <c r="A4468" t="s">
        <v>68</v>
      </c>
      <c r="B4468">
        <v>2022</v>
      </c>
      <c r="C4468" t="s">
        <v>9</v>
      </c>
      <c r="D4468" s="35">
        <v>33727603.789999999</v>
      </c>
      <c r="E4468" s="35">
        <v>1187952</v>
      </c>
      <c r="F4468" s="35">
        <v>7260497.2400000012</v>
      </c>
    </row>
    <row r="4469" spans="1:6" x14ac:dyDescent="0.3">
      <c r="A4469" t="s">
        <v>68</v>
      </c>
      <c r="B4469">
        <v>2022</v>
      </c>
      <c r="C4469" t="s">
        <v>8</v>
      </c>
      <c r="D4469" s="35">
        <v>24362307.469999999</v>
      </c>
      <c r="E4469" s="35">
        <v>1888</v>
      </c>
      <c r="F4469" s="35">
        <v>23566403.920000002</v>
      </c>
    </row>
    <row r="4470" spans="1:6" x14ac:dyDescent="0.3">
      <c r="A4470" t="s">
        <v>68</v>
      </c>
      <c r="B4470">
        <v>2022</v>
      </c>
      <c r="C4470" t="s">
        <v>6</v>
      </c>
      <c r="D4470" s="35">
        <v>73388776.939999998</v>
      </c>
      <c r="E4470" s="35">
        <v>971156</v>
      </c>
      <c r="F4470" s="35">
        <v>62414781.700000003</v>
      </c>
    </row>
    <row r="4471" spans="1:6" x14ac:dyDescent="0.3">
      <c r="A4471" t="s">
        <v>68</v>
      </c>
      <c r="B4471">
        <v>2022</v>
      </c>
      <c r="C4471" t="s">
        <v>15</v>
      </c>
      <c r="D4471" s="35">
        <v>10766256.279999999</v>
      </c>
      <c r="E4471" s="35">
        <v>408190</v>
      </c>
      <c r="F4471" s="35">
        <v>4426396.1500000004</v>
      </c>
    </row>
    <row r="4472" spans="1:6" x14ac:dyDescent="0.3">
      <c r="A4472" t="s">
        <v>68</v>
      </c>
      <c r="B4472">
        <v>2022</v>
      </c>
      <c r="C4472" t="s">
        <v>18</v>
      </c>
      <c r="D4472" s="35">
        <v>6053706.9699999997</v>
      </c>
      <c r="E4472" s="35">
        <v>73284</v>
      </c>
      <c r="F4472" s="35">
        <v>4728625.29</v>
      </c>
    </row>
    <row r="4473" spans="1:6" x14ac:dyDescent="0.3">
      <c r="A4473" t="s">
        <v>68</v>
      </c>
      <c r="B4473">
        <v>2023</v>
      </c>
      <c r="C4473" t="s">
        <v>10</v>
      </c>
      <c r="D4473" s="35">
        <v>64467979.349999987</v>
      </c>
      <c r="E4473" s="35">
        <v>1736377</v>
      </c>
      <c r="F4473" s="35">
        <v>50642335.549999997</v>
      </c>
    </row>
    <row r="4474" spans="1:6" x14ac:dyDescent="0.3">
      <c r="A4474" t="s">
        <v>68</v>
      </c>
      <c r="B4474">
        <v>2023</v>
      </c>
      <c r="C4474" t="s">
        <v>4</v>
      </c>
      <c r="D4474" s="35">
        <v>113895338.18000001</v>
      </c>
      <c r="E4474" s="35">
        <v>487653</v>
      </c>
      <c r="F4474" s="35">
        <v>112288816</v>
      </c>
    </row>
    <row r="4475" spans="1:6" x14ac:dyDescent="0.3">
      <c r="A4475" t="s">
        <v>68</v>
      </c>
      <c r="B4475">
        <v>2023</v>
      </c>
      <c r="C4475" t="s">
        <v>13</v>
      </c>
      <c r="D4475" s="35">
        <v>30446974.399999999</v>
      </c>
      <c r="E4475" s="35">
        <v>565776</v>
      </c>
      <c r="F4475" s="35">
        <v>19595034.66</v>
      </c>
    </row>
    <row r="4476" spans="1:6" x14ac:dyDescent="0.3">
      <c r="A4476" t="s">
        <v>68</v>
      </c>
      <c r="B4476">
        <v>2023</v>
      </c>
      <c r="C4476" t="s">
        <v>16</v>
      </c>
      <c r="D4476" s="35">
        <v>16033388.16</v>
      </c>
      <c r="E4476" s="35">
        <v>27311</v>
      </c>
      <c r="F4476" s="35">
        <v>15598424.109999999</v>
      </c>
    </row>
    <row r="4477" spans="1:6" x14ac:dyDescent="0.3">
      <c r="A4477" t="s">
        <v>68</v>
      </c>
      <c r="B4477">
        <v>2023</v>
      </c>
      <c r="C4477" t="s">
        <v>14</v>
      </c>
      <c r="D4477" s="35">
        <v>15000997.390000001</v>
      </c>
      <c r="E4477" s="35">
        <v>807578</v>
      </c>
      <c r="F4477" s="35">
        <v>7595024.7999999989</v>
      </c>
    </row>
    <row r="4478" spans="1:6" x14ac:dyDescent="0.3">
      <c r="A4478" t="s">
        <v>68</v>
      </c>
      <c r="B4478">
        <v>2023</v>
      </c>
      <c r="C4478" t="s">
        <v>7</v>
      </c>
      <c r="D4478" s="35">
        <v>56162118.679999977</v>
      </c>
      <c r="E4478" s="35">
        <v>24287</v>
      </c>
      <c r="F4478" s="35">
        <v>54645381.039999977</v>
      </c>
    </row>
    <row r="4479" spans="1:6" x14ac:dyDescent="0.3">
      <c r="A4479" t="s">
        <v>68</v>
      </c>
      <c r="B4479">
        <v>2023</v>
      </c>
      <c r="C4479" t="s">
        <v>11</v>
      </c>
      <c r="D4479" s="35">
        <v>13584842.800000001</v>
      </c>
      <c r="E4479" s="35">
        <v>144654</v>
      </c>
      <c r="F4479" s="35">
        <v>12752033.98</v>
      </c>
    </row>
    <row r="4480" spans="1:6" x14ac:dyDescent="0.3">
      <c r="A4480" t="s">
        <v>68</v>
      </c>
      <c r="B4480">
        <v>2023</v>
      </c>
      <c r="C4480" t="s">
        <v>3</v>
      </c>
      <c r="D4480" s="35">
        <v>148217151.38</v>
      </c>
      <c r="E4480" s="35">
        <v>327791</v>
      </c>
      <c r="F4480" s="35">
        <v>145185439.40000001</v>
      </c>
    </row>
    <row r="4481" spans="1:6" x14ac:dyDescent="0.3">
      <c r="A4481" t="s">
        <v>68</v>
      </c>
      <c r="B4481">
        <v>2023</v>
      </c>
      <c r="C4481" t="s">
        <v>12</v>
      </c>
      <c r="D4481" s="35">
        <v>32390367.16</v>
      </c>
      <c r="E4481" s="35">
        <v>751559</v>
      </c>
      <c r="F4481" s="35">
        <v>24640304.16</v>
      </c>
    </row>
    <row r="4482" spans="1:6" x14ac:dyDescent="0.3">
      <c r="A4482" t="s">
        <v>68</v>
      </c>
      <c r="B4482">
        <v>2023</v>
      </c>
      <c r="C4482" t="s">
        <v>2</v>
      </c>
      <c r="D4482" s="35">
        <v>183423750.38000011</v>
      </c>
      <c r="E4482" s="35">
        <v>3205315</v>
      </c>
      <c r="F4482" s="35">
        <v>130878466.03</v>
      </c>
    </row>
    <row r="4483" spans="1:6" x14ac:dyDescent="0.3">
      <c r="A4483" t="s">
        <v>68</v>
      </c>
      <c r="B4483">
        <v>2023</v>
      </c>
      <c r="C4483" t="s">
        <v>5</v>
      </c>
      <c r="D4483" s="35">
        <v>75047699.289999992</v>
      </c>
      <c r="E4483" s="35">
        <v>44459</v>
      </c>
      <c r="F4483" s="35">
        <v>71096438.989999995</v>
      </c>
    </row>
    <row r="4484" spans="1:6" x14ac:dyDescent="0.3">
      <c r="A4484" t="s">
        <v>68</v>
      </c>
      <c r="B4484">
        <v>2023</v>
      </c>
      <c r="C4484" t="s">
        <v>17</v>
      </c>
      <c r="D4484" s="35">
        <v>2633096.81</v>
      </c>
      <c r="E4484" s="35">
        <v>177869</v>
      </c>
      <c r="F4484" s="35">
        <v>1081389.6299999999</v>
      </c>
    </row>
    <row r="4485" spans="1:6" x14ac:dyDescent="0.3">
      <c r="A4485" t="s">
        <v>68</v>
      </c>
      <c r="B4485">
        <v>2023</v>
      </c>
      <c r="C4485" t="s">
        <v>9</v>
      </c>
      <c r="D4485" s="35">
        <v>31019398.960000001</v>
      </c>
      <c r="E4485" s="35">
        <v>1169103</v>
      </c>
      <c r="F4485" s="35">
        <v>2794608.0699999989</v>
      </c>
    </row>
    <row r="4486" spans="1:6" x14ac:dyDescent="0.3">
      <c r="A4486" t="s">
        <v>68</v>
      </c>
      <c r="B4486">
        <v>2023</v>
      </c>
      <c r="C4486" t="s">
        <v>8</v>
      </c>
      <c r="D4486" s="35">
        <v>31419485.690000001</v>
      </c>
      <c r="E4486" s="35">
        <v>2086</v>
      </c>
      <c r="F4486" s="35">
        <v>30874105.640000001</v>
      </c>
    </row>
    <row r="4487" spans="1:6" x14ac:dyDescent="0.3">
      <c r="A4487" t="s">
        <v>68</v>
      </c>
      <c r="B4487">
        <v>2023</v>
      </c>
      <c r="C4487" t="s">
        <v>6</v>
      </c>
      <c r="D4487" s="35">
        <v>75768788.139999986</v>
      </c>
      <c r="E4487" s="35">
        <v>1023195</v>
      </c>
      <c r="F4487" s="35">
        <v>63572297.950000003</v>
      </c>
    </row>
    <row r="4488" spans="1:6" x14ac:dyDescent="0.3">
      <c r="A4488" t="s">
        <v>68</v>
      </c>
      <c r="B4488">
        <v>2023</v>
      </c>
      <c r="C4488" t="s">
        <v>15</v>
      </c>
      <c r="D4488" s="35">
        <v>9125901.8599999994</v>
      </c>
      <c r="E4488" s="35">
        <v>322644</v>
      </c>
      <c r="F4488" s="35">
        <v>4322024.1899999985</v>
      </c>
    </row>
    <row r="4489" spans="1:6" x14ac:dyDescent="0.3">
      <c r="A4489" t="s">
        <v>68</v>
      </c>
      <c r="B4489">
        <v>2023</v>
      </c>
      <c r="C4489" t="s">
        <v>18</v>
      </c>
      <c r="D4489" s="35">
        <v>3069496.0100000012</v>
      </c>
      <c r="E4489" s="35">
        <v>54676</v>
      </c>
      <c r="F4489" s="35">
        <v>1710693.49</v>
      </c>
    </row>
    <row r="4490" spans="1:6" x14ac:dyDescent="0.3">
      <c r="A4490" t="s">
        <v>68</v>
      </c>
      <c r="B4490">
        <v>2024</v>
      </c>
      <c r="C4490" t="s">
        <v>10</v>
      </c>
      <c r="D4490" s="35">
        <v>77766838.360000014</v>
      </c>
      <c r="E4490" s="35">
        <v>1699472</v>
      </c>
      <c r="F4490" s="35">
        <v>61413599.229999982</v>
      </c>
    </row>
    <row r="4491" spans="1:6" x14ac:dyDescent="0.3">
      <c r="A4491" t="s">
        <v>68</v>
      </c>
      <c r="B4491">
        <v>2024</v>
      </c>
      <c r="C4491" t="s">
        <v>4</v>
      </c>
      <c r="D4491" s="35">
        <v>115524554.95</v>
      </c>
      <c r="E4491" s="35">
        <v>491160</v>
      </c>
      <c r="F4491" s="35">
        <v>113620262.89</v>
      </c>
    </row>
    <row r="4492" spans="1:6" x14ac:dyDescent="0.3">
      <c r="A4492" t="s">
        <v>68</v>
      </c>
      <c r="B4492">
        <v>2024</v>
      </c>
      <c r="C4492" t="s">
        <v>13</v>
      </c>
      <c r="D4492" s="35">
        <v>33802148.18</v>
      </c>
      <c r="E4492" s="35">
        <v>572854</v>
      </c>
      <c r="F4492" s="35">
        <v>22509333.989999998</v>
      </c>
    </row>
    <row r="4493" spans="1:6" x14ac:dyDescent="0.3">
      <c r="A4493" t="s">
        <v>68</v>
      </c>
      <c r="B4493">
        <v>2024</v>
      </c>
      <c r="C4493" t="s">
        <v>16</v>
      </c>
      <c r="D4493" s="35">
        <v>19082773.600000001</v>
      </c>
      <c r="E4493" s="35">
        <v>31252</v>
      </c>
      <c r="F4493" s="35">
        <v>18470188.129999999</v>
      </c>
    </row>
    <row r="4494" spans="1:6" x14ac:dyDescent="0.3">
      <c r="A4494" t="s">
        <v>68</v>
      </c>
      <c r="B4494">
        <v>2024</v>
      </c>
      <c r="C4494" t="s">
        <v>14</v>
      </c>
      <c r="D4494" s="35">
        <v>16611094.35</v>
      </c>
      <c r="E4494" s="35">
        <v>825712</v>
      </c>
      <c r="F4494" s="35">
        <v>7910827.3699999992</v>
      </c>
    </row>
    <row r="4495" spans="1:6" x14ac:dyDescent="0.3">
      <c r="A4495" t="s">
        <v>68</v>
      </c>
      <c r="B4495">
        <v>2024</v>
      </c>
      <c r="C4495" t="s">
        <v>7</v>
      </c>
      <c r="D4495" s="35">
        <v>54330385.640000008</v>
      </c>
      <c r="E4495" s="35">
        <v>23481</v>
      </c>
      <c r="F4495" s="35">
        <v>53869543.140000008</v>
      </c>
    </row>
    <row r="4496" spans="1:6" x14ac:dyDescent="0.3">
      <c r="A4496" t="s">
        <v>68</v>
      </c>
      <c r="B4496">
        <v>2024</v>
      </c>
      <c r="C4496" t="s">
        <v>11</v>
      </c>
      <c r="D4496" s="35">
        <v>13776516.449999999</v>
      </c>
      <c r="E4496" s="35">
        <v>144511</v>
      </c>
      <c r="F4496" s="35">
        <v>12973546.92</v>
      </c>
    </row>
    <row r="4497" spans="1:6" x14ac:dyDescent="0.3">
      <c r="A4497" t="s">
        <v>68</v>
      </c>
      <c r="B4497">
        <v>2024</v>
      </c>
      <c r="C4497" t="s">
        <v>3</v>
      </c>
      <c r="D4497" s="35">
        <v>138788850.28999999</v>
      </c>
      <c r="E4497" s="35">
        <v>343985</v>
      </c>
      <c r="F4497" s="35">
        <v>135646035.25</v>
      </c>
    </row>
    <row r="4498" spans="1:6" x14ac:dyDescent="0.3">
      <c r="A4498" t="s">
        <v>68</v>
      </c>
      <c r="B4498">
        <v>2024</v>
      </c>
      <c r="C4498" t="s">
        <v>12</v>
      </c>
      <c r="D4498" s="35">
        <v>34375502.260000013</v>
      </c>
      <c r="E4498" s="35">
        <v>839397</v>
      </c>
      <c r="F4498" s="35">
        <v>25514376.27</v>
      </c>
    </row>
    <row r="4499" spans="1:6" x14ac:dyDescent="0.3">
      <c r="A4499" t="s">
        <v>68</v>
      </c>
      <c r="B4499">
        <v>2024</v>
      </c>
      <c r="C4499" t="s">
        <v>2</v>
      </c>
      <c r="D4499" s="35">
        <v>198328751.47000009</v>
      </c>
      <c r="E4499" s="35">
        <v>3339693</v>
      </c>
      <c r="F4499" s="35">
        <v>142291786.38</v>
      </c>
    </row>
    <row r="4500" spans="1:6" x14ac:dyDescent="0.3">
      <c r="A4500" t="s">
        <v>68</v>
      </c>
      <c r="B4500">
        <v>2024</v>
      </c>
      <c r="C4500" t="s">
        <v>5</v>
      </c>
      <c r="D4500" s="35">
        <v>86525128.320000008</v>
      </c>
      <c r="E4500" s="35">
        <v>43960</v>
      </c>
      <c r="F4500" s="35">
        <v>83045397.099999994</v>
      </c>
    </row>
    <row r="4501" spans="1:6" x14ac:dyDescent="0.3">
      <c r="A4501" t="s">
        <v>68</v>
      </c>
      <c r="B4501">
        <v>2024</v>
      </c>
      <c r="C4501" t="s">
        <v>17</v>
      </c>
      <c r="D4501" s="35">
        <v>2802588.78</v>
      </c>
      <c r="E4501" s="35">
        <v>150759</v>
      </c>
      <c r="F4501" s="35">
        <v>1314087.3799999999</v>
      </c>
    </row>
    <row r="4502" spans="1:6" x14ac:dyDescent="0.3">
      <c r="A4502" t="s">
        <v>68</v>
      </c>
      <c r="B4502">
        <v>2024</v>
      </c>
      <c r="C4502" t="s">
        <v>9</v>
      </c>
      <c r="D4502" s="35">
        <v>30619916.929999989</v>
      </c>
      <c r="E4502" s="35">
        <v>1144067</v>
      </c>
      <c r="F4502" s="35">
        <v>5040705.6399999987</v>
      </c>
    </row>
    <row r="4503" spans="1:6" x14ac:dyDescent="0.3">
      <c r="A4503" t="s">
        <v>68</v>
      </c>
      <c r="B4503">
        <v>2024</v>
      </c>
      <c r="C4503" t="s">
        <v>8</v>
      </c>
      <c r="D4503" s="35">
        <v>39482805.539999999</v>
      </c>
      <c r="E4503" s="35">
        <v>2224</v>
      </c>
      <c r="F4503" s="35">
        <v>38517151.719999991</v>
      </c>
    </row>
    <row r="4504" spans="1:6" x14ac:dyDescent="0.3">
      <c r="A4504" t="s">
        <v>68</v>
      </c>
      <c r="B4504">
        <v>2024</v>
      </c>
      <c r="C4504" t="s">
        <v>6</v>
      </c>
      <c r="D4504" s="35">
        <v>76497826.890000001</v>
      </c>
      <c r="E4504" s="35">
        <v>1090664</v>
      </c>
      <c r="F4504" s="35">
        <v>60672774.270000011</v>
      </c>
    </row>
    <row r="4505" spans="1:6" x14ac:dyDescent="0.3">
      <c r="A4505" t="s">
        <v>68</v>
      </c>
      <c r="B4505">
        <v>2024</v>
      </c>
      <c r="C4505" t="s">
        <v>15</v>
      </c>
      <c r="D4505" s="35">
        <v>8594369.3099999987</v>
      </c>
      <c r="E4505" s="35">
        <v>282410</v>
      </c>
      <c r="F4505" s="35">
        <v>4804863.7099999981</v>
      </c>
    </row>
    <row r="4506" spans="1:6" x14ac:dyDescent="0.3">
      <c r="A4506" t="s">
        <v>68</v>
      </c>
      <c r="B4506">
        <v>2024</v>
      </c>
      <c r="C4506" t="s">
        <v>18</v>
      </c>
      <c r="D4506" s="35">
        <v>3064015.560000001</v>
      </c>
      <c r="E4506" s="35">
        <v>55893</v>
      </c>
      <c r="F4506" s="35">
        <v>2098445.38</v>
      </c>
    </row>
    <row r="4507" spans="1:6" x14ac:dyDescent="0.3">
      <c r="A4507" t="s">
        <v>68</v>
      </c>
      <c r="B4507">
        <v>2025</v>
      </c>
      <c r="C4507" t="s">
        <v>10</v>
      </c>
      <c r="D4507" s="35">
        <v>81800491.190000013</v>
      </c>
      <c r="E4507" s="35">
        <v>1601267</v>
      </c>
      <c r="F4507" s="35">
        <v>66612547.669999987</v>
      </c>
    </row>
    <row r="4508" spans="1:6" x14ac:dyDescent="0.3">
      <c r="A4508" t="s">
        <v>68</v>
      </c>
      <c r="B4508">
        <v>2025</v>
      </c>
      <c r="C4508" t="s">
        <v>4</v>
      </c>
      <c r="D4508" s="35">
        <v>130201311.11</v>
      </c>
      <c r="E4508" s="35">
        <v>484085</v>
      </c>
      <c r="F4508" s="35">
        <v>126140241.88</v>
      </c>
    </row>
    <row r="4509" spans="1:6" x14ac:dyDescent="0.3">
      <c r="A4509" t="s">
        <v>68</v>
      </c>
      <c r="B4509">
        <v>2025</v>
      </c>
      <c r="C4509" t="s">
        <v>13</v>
      </c>
      <c r="D4509" s="35">
        <v>37906234.550000012</v>
      </c>
      <c r="E4509" s="35">
        <v>595786</v>
      </c>
      <c r="F4509" s="35">
        <v>25609130.620000001</v>
      </c>
    </row>
    <row r="4510" spans="1:6" x14ac:dyDescent="0.3">
      <c r="A4510" t="s">
        <v>68</v>
      </c>
      <c r="B4510">
        <v>2025</v>
      </c>
      <c r="C4510" t="s">
        <v>16</v>
      </c>
      <c r="D4510" s="35">
        <v>20898004.52</v>
      </c>
      <c r="E4510" s="35">
        <v>32196</v>
      </c>
      <c r="F4510" s="35">
        <v>20175809.75</v>
      </c>
    </row>
    <row r="4511" spans="1:6" x14ac:dyDescent="0.3">
      <c r="A4511" t="s">
        <v>68</v>
      </c>
      <c r="B4511">
        <v>2025</v>
      </c>
      <c r="C4511" t="s">
        <v>14</v>
      </c>
      <c r="D4511" s="35">
        <v>16392887.960000001</v>
      </c>
      <c r="E4511" s="35">
        <v>810962</v>
      </c>
      <c r="F4511" s="35">
        <v>8552413.6699999999</v>
      </c>
    </row>
    <row r="4512" spans="1:6" x14ac:dyDescent="0.3">
      <c r="A4512" t="s">
        <v>68</v>
      </c>
      <c r="B4512">
        <v>2025</v>
      </c>
      <c r="C4512" t="s">
        <v>7</v>
      </c>
      <c r="D4512" s="35">
        <v>60666851.899999999</v>
      </c>
      <c r="E4512" s="35">
        <v>25779</v>
      </c>
      <c r="F4512" s="35">
        <v>59946053.100000001</v>
      </c>
    </row>
    <row r="4513" spans="1:6" x14ac:dyDescent="0.3">
      <c r="A4513" t="s">
        <v>68</v>
      </c>
      <c r="B4513">
        <v>2025</v>
      </c>
      <c r="C4513" t="s">
        <v>11</v>
      </c>
      <c r="D4513" s="35">
        <v>12758842.220000001</v>
      </c>
      <c r="E4513" s="35">
        <v>153645</v>
      </c>
      <c r="F4513" s="35">
        <v>10974261.35</v>
      </c>
    </row>
    <row r="4514" spans="1:6" x14ac:dyDescent="0.3">
      <c r="A4514" t="s">
        <v>68</v>
      </c>
      <c r="B4514">
        <v>2025</v>
      </c>
      <c r="C4514" t="s">
        <v>3</v>
      </c>
      <c r="D4514" s="35">
        <v>140686618.3300001</v>
      </c>
      <c r="E4514" s="35">
        <v>350046</v>
      </c>
      <c r="F4514" s="35">
        <v>137633047.72999999</v>
      </c>
    </row>
    <row r="4515" spans="1:6" x14ac:dyDescent="0.3">
      <c r="A4515" t="s">
        <v>68</v>
      </c>
      <c r="B4515">
        <v>2025</v>
      </c>
      <c r="C4515" t="s">
        <v>12</v>
      </c>
      <c r="D4515" s="35">
        <v>29213862.699999999</v>
      </c>
      <c r="E4515" s="35">
        <v>842296</v>
      </c>
      <c r="F4515" s="35">
        <v>21066190.670000009</v>
      </c>
    </row>
    <row r="4516" spans="1:6" x14ac:dyDescent="0.3">
      <c r="A4516" t="s">
        <v>68</v>
      </c>
      <c r="B4516">
        <v>2025</v>
      </c>
      <c r="C4516" t="s">
        <v>2</v>
      </c>
      <c r="D4516" s="35">
        <v>234060008.99000001</v>
      </c>
      <c r="E4516" s="35">
        <v>3533950</v>
      </c>
      <c r="F4516" s="35">
        <v>170488655.03999999</v>
      </c>
    </row>
    <row r="4517" spans="1:6" x14ac:dyDescent="0.3">
      <c r="A4517" t="s">
        <v>68</v>
      </c>
      <c r="B4517">
        <v>2025</v>
      </c>
      <c r="C4517" t="s">
        <v>5</v>
      </c>
      <c r="D4517" s="35">
        <v>103926663.5</v>
      </c>
      <c r="E4517" s="35">
        <v>42856</v>
      </c>
      <c r="F4517" s="35">
        <v>98348549.37000002</v>
      </c>
    </row>
    <row r="4518" spans="1:6" x14ac:dyDescent="0.3">
      <c r="A4518" t="s">
        <v>68</v>
      </c>
      <c r="B4518">
        <v>2025</v>
      </c>
      <c r="C4518" t="s">
        <v>17</v>
      </c>
      <c r="D4518" s="35">
        <v>2919868.18</v>
      </c>
      <c r="E4518" s="35">
        <v>139899</v>
      </c>
      <c r="F4518" s="35">
        <v>1401617.25</v>
      </c>
    </row>
    <row r="4519" spans="1:6" x14ac:dyDescent="0.3">
      <c r="A4519" t="s">
        <v>68</v>
      </c>
      <c r="B4519">
        <v>2025</v>
      </c>
      <c r="C4519" t="s">
        <v>9</v>
      </c>
      <c r="D4519" s="35">
        <v>27922848.48</v>
      </c>
      <c r="E4519" s="35">
        <v>1146584</v>
      </c>
      <c r="F4519" s="35">
        <v>5423984.1599999992</v>
      </c>
    </row>
    <row r="4520" spans="1:6" x14ac:dyDescent="0.3">
      <c r="A4520" t="s">
        <v>68</v>
      </c>
      <c r="B4520">
        <v>2025</v>
      </c>
      <c r="C4520" t="s">
        <v>8</v>
      </c>
      <c r="D4520" s="35">
        <v>32735529.260000002</v>
      </c>
      <c r="E4520" s="35">
        <v>2097</v>
      </c>
      <c r="F4520" s="35">
        <v>31378569.539999999</v>
      </c>
    </row>
    <row r="4521" spans="1:6" x14ac:dyDescent="0.3">
      <c r="A4521" t="s">
        <v>68</v>
      </c>
      <c r="B4521">
        <v>2025</v>
      </c>
      <c r="C4521" t="s">
        <v>6</v>
      </c>
      <c r="D4521" s="35">
        <v>76638994.890000015</v>
      </c>
      <c r="E4521" s="35">
        <v>1081585</v>
      </c>
      <c r="F4521" s="35">
        <v>60941567.500000007</v>
      </c>
    </row>
    <row r="4522" spans="1:6" x14ac:dyDescent="0.3">
      <c r="A4522" t="s">
        <v>68</v>
      </c>
      <c r="B4522">
        <v>2025</v>
      </c>
      <c r="C4522" t="s">
        <v>15</v>
      </c>
      <c r="D4522" s="35">
        <v>9616730.8600000013</v>
      </c>
      <c r="E4522" s="35">
        <v>244770</v>
      </c>
      <c r="F4522" s="35">
        <v>6541151.0500000017</v>
      </c>
    </row>
    <row r="4523" spans="1:6" x14ac:dyDescent="0.3">
      <c r="A4523" t="s">
        <v>68</v>
      </c>
      <c r="B4523">
        <v>2025</v>
      </c>
      <c r="C4523" t="s">
        <v>18</v>
      </c>
      <c r="D4523" s="35">
        <v>3051021.1100000008</v>
      </c>
      <c r="E4523" s="35">
        <v>63699</v>
      </c>
      <c r="F4523" s="35">
        <v>1343607.08</v>
      </c>
    </row>
    <row r="4524" spans="1:6" x14ac:dyDescent="0.3">
      <c r="A4524" t="s">
        <v>69</v>
      </c>
      <c r="B4524">
        <v>2019</v>
      </c>
      <c r="C4524" t="s">
        <v>10</v>
      </c>
      <c r="D4524" s="35">
        <v>124437444.90000001</v>
      </c>
      <c r="E4524" s="35">
        <v>5058278</v>
      </c>
      <c r="F4524" s="35">
        <v>83188710.260000005</v>
      </c>
    </row>
    <row r="4525" spans="1:6" x14ac:dyDescent="0.3">
      <c r="A4525" t="s">
        <v>69</v>
      </c>
      <c r="B4525">
        <v>2019</v>
      </c>
      <c r="C4525" t="s">
        <v>4</v>
      </c>
      <c r="D4525" s="35">
        <v>394579820.07000011</v>
      </c>
      <c r="E4525" s="35">
        <v>1463828</v>
      </c>
      <c r="F4525" s="35">
        <v>390045200.95999992</v>
      </c>
    </row>
    <row r="4526" spans="1:6" x14ac:dyDescent="0.3">
      <c r="A4526" t="s">
        <v>69</v>
      </c>
      <c r="B4526">
        <v>2019</v>
      </c>
      <c r="C4526" t="s">
        <v>13</v>
      </c>
      <c r="D4526" s="35">
        <v>113630079.40000001</v>
      </c>
      <c r="E4526" s="35">
        <v>1509612</v>
      </c>
      <c r="F4526" s="35">
        <v>88223181.370000005</v>
      </c>
    </row>
    <row r="4527" spans="1:6" x14ac:dyDescent="0.3">
      <c r="A4527" t="s">
        <v>69</v>
      </c>
      <c r="B4527">
        <v>2019</v>
      </c>
      <c r="C4527" t="s">
        <v>16</v>
      </c>
      <c r="D4527" s="35">
        <v>41150819.030000009</v>
      </c>
      <c r="E4527" s="35">
        <v>149738</v>
      </c>
      <c r="F4527" s="35">
        <v>36232417.450000003</v>
      </c>
    </row>
    <row r="4528" spans="1:6" x14ac:dyDescent="0.3">
      <c r="A4528" t="s">
        <v>69</v>
      </c>
      <c r="B4528">
        <v>2019</v>
      </c>
      <c r="C4528" t="s">
        <v>14</v>
      </c>
      <c r="D4528" s="35">
        <v>83832901.360000014</v>
      </c>
      <c r="E4528" s="35">
        <v>2045663</v>
      </c>
      <c r="F4528" s="35">
        <v>58504702.619999997</v>
      </c>
    </row>
    <row r="4529" spans="1:6" x14ac:dyDescent="0.3">
      <c r="A4529" t="s">
        <v>69</v>
      </c>
      <c r="B4529">
        <v>2019</v>
      </c>
      <c r="C4529" t="s">
        <v>7</v>
      </c>
      <c r="D4529" s="35">
        <v>305265711.77999997</v>
      </c>
      <c r="E4529" s="35">
        <v>140554</v>
      </c>
      <c r="F4529" s="35">
        <v>303727647.88999999</v>
      </c>
    </row>
    <row r="4530" spans="1:6" x14ac:dyDescent="0.3">
      <c r="A4530" t="s">
        <v>69</v>
      </c>
      <c r="B4530">
        <v>2019</v>
      </c>
      <c r="C4530" t="s">
        <v>11</v>
      </c>
      <c r="D4530" s="35">
        <v>148069876.31</v>
      </c>
      <c r="E4530" s="35">
        <v>126023</v>
      </c>
      <c r="F4530" s="35">
        <v>144926460.47999999</v>
      </c>
    </row>
    <row r="4531" spans="1:6" x14ac:dyDescent="0.3">
      <c r="A4531" t="s">
        <v>69</v>
      </c>
      <c r="B4531">
        <v>2019</v>
      </c>
      <c r="C4531" t="s">
        <v>3</v>
      </c>
      <c r="D4531" s="35">
        <v>325982183.31</v>
      </c>
      <c r="E4531" s="35">
        <v>1188540</v>
      </c>
      <c r="F4531" s="35">
        <v>310870718.49999988</v>
      </c>
    </row>
    <row r="4532" spans="1:6" x14ac:dyDescent="0.3">
      <c r="A4532" t="s">
        <v>69</v>
      </c>
      <c r="B4532">
        <v>2019</v>
      </c>
      <c r="C4532" t="s">
        <v>12</v>
      </c>
      <c r="D4532" s="35">
        <v>220377307.82000011</v>
      </c>
      <c r="E4532" s="35">
        <v>2840384</v>
      </c>
      <c r="F4532" s="35">
        <v>172414257.53999999</v>
      </c>
    </row>
    <row r="4533" spans="1:6" x14ac:dyDescent="0.3">
      <c r="A4533" t="s">
        <v>69</v>
      </c>
      <c r="B4533">
        <v>2019</v>
      </c>
      <c r="C4533" t="s">
        <v>2</v>
      </c>
      <c r="D4533" s="35">
        <v>652599467.18000007</v>
      </c>
      <c r="E4533" s="35">
        <v>9306941</v>
      </c>
      <c r="F4533" s="35">
        <v>479926015.00000012</v>
      </c>
    </row>
    <row r="4534" spans="1:6" x14ac:dyDescent="0.3">
      <c r="A4534" t="s">
        <v>69</v>
      </c>
      <c r="B4534">
        <v>2019</v>
      </c>
      <c r="C4534" t="s">
        <v>5</v>
      </c>
      <c r="D4534" s="35">
        <v>183018577.96000001</v>
      </c>
      <c r="E4534" s="35">
        <v>119631</v>
      </c>
      <c r="F4534" s="35">
        <v>169862525.66999999</v>
      </c>
    </row>
    <row r="4535" spans="1:6" x14ac:dyDescent="0.3">
      <c r="A4535" t="s">
        <v>69</v>
      </c>
      <c r="B4535">
        <v>2019</v>
      </c>
      <c r="C4535" t="s">
        <v>17</v>
      </c>
      <c r="D4535" s="35">
        <v>9739317.0600000005</v>
      </c>
      <c r="E4535" s="35">
        <v>496715</v>
      </c>
      <c r="F4535" s="35">
        <v>3179021.23</v>
      </c>
    </row>
    <row r="4536" spans="1:6" x14ac:dyDescent="0.3">
      <c r="A4536" t="s">
        <v>69</v>
      </c>
      <c r="B4536">
        <v>2019</v>
      </c>
      <c r="C4536" t="s">
        <v>9</v>
      </c>
      <c r="D4536" s="35">
        <v>182116331.62</v>
      </c>
      <c r="E4536" s="35">
        <v>3310122</v>
      </c>
      <c r="F4536" s="35">
        <v>124783359.59</v>
      </c>
    </row>
    <row r="4537" spans="1:6" x14ac:dyDescent="0.3">
      <c r="A4537" t="s">
        <v>69</v>
      </c>
      <c r="B4537">
        <v>2019</v>
      </c>
      <c r="C4537" t="s">
        <v>8</v>
      </c>
      <c r="D4537" s="35">
        <v>133684283.2</v>
      </c>
      <c r="E4537" s="35">
        <v>15288</v>
      </c>
      <c r="F4537" s="35">
        <v>132819243.51000001</v>
      </c>
    </row>
    <row r="4538" spans="1:6" x14ac:dyDescent="0.3">
      <c r="A4538" t="s">
        <v>69</v>
      </c>
      <c r="B4538">
        <v>2019</v>
      </c>
      <c r="C4538" t="s">
        <v>6</v>
      </c>
      <c r="D4538" s="35">
        <v>286860161.19999999</v>
      </c>
      <c r="E4538" s="35">
        <v>4204747</v>
      </c>
      <c r="F4538" s="35">
        <v>248118562.56</v>
      </c>
    </row>
    <row r="4539" spans="1:6" x14ac:dyDescent="0.3">
      <c r="A4539" t="s">
        <v>69</v>
      </c>
      <c r="B4539">
        <v>2019</v>
      </c>
      <c r="C4539" t="s">
        <v>15</v>
      </c>
      <c r="D4539" s="35">
        <v>79271142.099999994</v>
      </c>
      <c r="E4539" s="35">
        <v>2267392</v>
      </c>
      <c r="F4539" s="35">
        <v>42285814.700000003</v>
      </c>
    </row>
    <row r="4540" spans="1:6" x14ac:dyDescent="0.3">
      <c r="A4540" t="s">
        <v>69</v>
      </c>
      <c r="B4540">
        <v>2019</v>
      </c>
      <c r="C4540" t="s">
        <v>18</v>
      </c>
      <c r="D4540" s="35">
        <v>21234053.390000001</v>
      </c>
      <c r="E4540" s="35">
        <v>153161</v>
      </c>
      <c r="F4540" s="35">
        <v>11235809.109999999</v>
      </c>
    </row>
    <row r="4541" spans="1:6" x14ac:dyDescent="0.3">
      <c r="A4541" t="s">
        <v>69</v>
      </c>
      <c r="B4541">
        <v>2020</v>
      </c>
      <c r="C4541" t="s">
        <v>10</v>
      </c>
      <c r="D4541" s="35">
        <v>148504307.08000001</v>
      </c>
      <c r="E4541" s="35">
        <v>4968595</v>
      </c>
      <c r="F4541" s="35">
        <v>100163770.05</v>
      </c>
    </row>
    <row r="4542" spans="1:6" x14ac:dyDescent="0.3">
      <c r="A4542" t="s">
        <v>69</v>
      </c>
      <c r="B4542">
        <v>2020</v>
      </c>
      <c r="C4542" t="s">
        <v>4</v>
      </c>
      <c r="D4542" s="35">
        <v>483777311.61000007</v>
      </c>
      <c r="E4542" s="35">
        <v>1468833</v>
      </c>
      <c r="F4542" s="35">
        <v>479126274.61000007</v>
      </c>
    </row>
    <row r="4543" spans="1:6" x14ac:dyDescent="0.3">
      <c r="A4543" t="s">
        <v>69</v>
      </c>
      <c r="B4543">
        <v>2020</v>
      </c>
      <c r="C4543" t="s">
        <v>13</v>
      </c>
      <c r="D4543" s="35">
        <v>122036687.34999999</v>
      </c>
      <c r="E4543" s="35">
        <v>1499740</v>
      </c>
      <c r="F4543" s="35">
        <v>96370019.010000035</v>
      </c>
    </row>
    <row r="4544" spans="1:6" x14ac:dyDescent="0.3">
      <c r="A4544" t="s">
        <v>69</v>
      </c>
      <c r="B4544">
        <v>2020</v>
      </c>
      <c r="C4544" t="s">
        <v>16</v>
      </c>
      <c r="D4544" s="35">
        <v>42239823.729999997</v>
      </c>
      <c r="E4544" s="35">
        <v>140717</v>
      </c>
      <c r="F4544" s="35">
        <v>38962271.289999999</v>
      </c>
    </row>
    <row r="4545" spans="1:6" x14ac:dyDescent="0.3">
      <c r="A4545" t="s">
        <v>69</v>
      </c>
      <c r="B4545">
        <v>2020</v>
      </c>
      <c r="C4545" t="s">
        <v>14</v>
      </c>
      <c r="D4545" s="35">
        <v>96606101.370000005</v>
      </c>
      <c r="E4545" s="35">
        <v>2260720</v>
      </c>
      <c r="F4545" s="35">
        <v>62933438.020000003</v>
      </c>
    </row>
    <row r="4546" spans="1:6" x14ac:dyDescent="0.3">
      <c r="A4546" t="s">
        <v>69</v>
      </c>
      <c r="B4546">
        <v>2020</v>
      </c>
      <c r="C4546" t="s">
        <v>7</v>
      </c>
      <c r="D4546" s="35">
        <v>350701307.37</v>
      </c>
      <c r="E4546" s="35">
        <v>145927</v>
      </c>
      <c r="F4546" s="35">
        <v>348859401.32999998</v>
      </c>
    </row>
    <row r="4547" spans="1:6" x14ac:dyDescent="0.3">
      <c r="A4547" t="s">
        <v>69</v>
      </c>
      <c r="B4547">
        <v>2020</v>
      </c>
      <c r="C4547" t="s">
        <v>11</v>
      </c>
      <c r="D4547" s="35">
        <v>159948209.63999999</v>
      </c>
      <c r="E4547" s="35">
        <v>112659</v>
      </c>
      <c r="F4547" s="35">
        <v>152897744.88999999</v>
      </c>
    </row>
    <row r="4548" spans="1:6" x14ac:dyDescent="0.3">
      <c r="A4548" t="s">
        <v>69</v>
      </c>
      <c r="B4548">
        <v>2020</v>
      </c>
      <c r="C4548" t="s">
        <v>3</v>
      </c>
      <c r="D4548" s="35">
        <v>392341166.66000003</v>
      </c>
      <c r="E4548" s="35">
        <v>1097253</v>
      </c>
      <c r="F4548" s="35">
        <v>375403891.42000002</v>
      </c>
    </row>
    <row r="4549" spans="1:6" x14ac:dyDescent="0.3">
      <c r="A4549" t="s">
        <v>69</v>
      </c>
      <c r="B4549">
        <v>2020</v>
      </c>
      <c r="C4549" t="s">
        <v>12</v>
      </c>
      <c r="D4549" s="35">
        <v>188897407.3000001</v>
      </c>
      <c r="E4549" s="35">
        <v>2397257</v>
      </c>
      <c r="F4549" s="35">
        <v>145451095.09</v>
      </c>
    </row>
    <row r="4550" spans="1:6" x14ac:dyDescent="0.3">
      <c r="A4550" t="s">
        <v>69</v>
      </c>
      <c r="B4550">
        <v>2020</v>
      </c>
      <c r="C4550" t="s">
        <v>2</v>
      </c>
      <c r="D4550" s="35">
        <v>682977359.11000013</v>
      </c>
      <c r="E4550" s="35">
        <v>9388562</v>
      </c>
      <c r="F4550" s="35">
        <v>499049515.05000001</v>
      </c>
    </row>
    <row r="4551" spans="1:6" x14ac:dyDescent="0.3">
      <c r="A4551" t="s">
        <v>69</v>
      </c>
      <c r="B4551">
        <v>2020</v>
      </c>
      <c r="C4551" t="s">
        <v>5</v>
      </c>
      <c r="D4551" s="35">
        <v>198920383.44</v>
      </c>
      <c r="E4551" s="35">
        <v>117253</v>
      </c>
      <c r="F4551" s="35">
        <v>184399895.47</v>
      </c>
    </row>
    <row r="4552" spans="1:6" x14ac:dyDescent="0.3">
      <c r="A4552" t="s">
        <v>69</v>
      </c>
      <c r="B4552">
        <v>2020</v>
      </c>
      <c r="C4552" t="s">
        <v>17</v>
      </c>
      <c r="D4552" s="35">
        <v>9762360.0700000003</v>
      </c>
      <c r="E4552" s="35">
        <v>512329</v>
      </c>
      <c r="F4552" s="35">
        <v>2889984.84</v>
      </c>
    </row>
    <row r="4553" spans="1:6" x14ac:dyDescent="0.3">
      <c r="A4553" t="s">
        <v>69</v>
      </c>
      <c r="B4553">
        <v>2020</v>
      </c>
      <c r="C4553" t="s">
        <v>9</v>
      </c>
      <c r="D4553" s="35">
        <v>205977816.36000001</v>
      </c>
      <c r="E4553" s="35">
        <v>3218212</v>
      </c>
      <c r="F4553" s="35">
        <v>94468152.250000015</v>
      </c>
    </row>
    <row r="4554" spans="1:6" x14ac:dyDescent="0.3">
      <c r="A4554" t="s">
        <v>69</v>
      </c>
      <c r="B4554">
        <v>2020</v>
      </c>
      <c r="C4554" t="s">
        <v>8</v>
      </c>
      <c r="D4554" s="35">
        <v>183157554.58000001</v>
      </c>
      <c r="E4554" s="35">
        <v>17512</v>
      </c>
      <c r="F4554" s="35">
        <v>182580077.43000001</v>
      </c>
    </row>
    <row r="4555" spans="1:6" x14ac:dyDescent="0.3">
      <c r="A4555" t="s">
        <v>69</v>
      </c>
      <c r="B4555">
        <v>2020</v>
      </c>
      <c r="C4555" t="s">
        <v>6</v>
      </c>
      <c r="D4555" s="35">
        <v>306526815.23999989</v>
      </c>
      <c r="E4555" s="35">
        <v>4300086</v>
      </c>
      <c r="F4555" s="35">
        <v>267863947.49000001</v>
      </c>
    </row>
    <row r="4556" spans="1:6" x14ac:dyDescent="0.3">
      <c r="A4556" t="s">
        <v>69</v>
      </c>
      <c r="B4556">
        <v>2020</v>
      </c>
      <c r="C4556" t="s">
        <v>15</v>
      </c>
      <c r="D4556" s="35">
        <v>62925109.329999998</v>
      </c>
      <c r="E4556" s="35">
        <v>1816732</v>
      </c>
      <c r="F4556" s="35">
        <v>30988902.649999991</v>
      </c>
    </row>
    <row r="4557" spans="1:6" x14ac:dyDescent="0.3">
      <c r="A4557" t="s">
        <v>69</v>
      </c>
      <c r="B4557">
        <v>2020</v>
      </c>
      <c r="C4557" t="s">
        <v>18</v>
      </c>
      <c r="D4557" s="35">
        <v>24482158.359999988</v>
      </c>
      <c r="E4557" s="35">
        <v>157465</v>
      </c>
      <c r="F4557" s="35">
        <v>11765446.9</v>
      </c>
    </row>
    <row r="4558" spans="1:6" x14ac:dyDescent="0.3">
      <c r="A4558" t="s">
        <v>69</v>
      </c>
      <c r="B4558">
        <v>2021</v>
      </c>
      <c r="C4558" t="s">
        <v>10</v>
      </c>
      <c r="D4558" s="35">
        <v>178384632.01999989</v>
      </c>
      <c r="E4558" s="35">
        <v>5104800</v>
      </c>
      <c r="F4558" s="35">
        <v>124371727.3</v>
      </c>
    </row>
    <row r="4559" spans="1:6" x14ac:dyDescent="0.3">
      <c r="A4559" t="s">
        <v>69</v>
      </c>
      <c r="B4559">
        <v>2021</v>
      </c>
      <c r="C4559" t="s">
        <v>4</v>
      </c>
      <c r="D4559" s="35">
        <v>589528060.25000024</v>
      </c>
      <c r="E4559" s="35">
        <v>1585245</v>
      </c>
      <c r="F4559" s="35">
        <v>582754614.13999999</v>
      </c>
    </row>
    <row r="4560" spans="1:6" x14ac:dyDescent="0.3">
      <c r="A4560" t="s">
        <v>69</v>
      </c>
      <c r="B4560">
        <v>2021</v>
      </c>
      <c r="C4560" t="s">
        <v>13</v>
      </c>
      <c r="D4560" s="35">
        <v>135742705.68999991</v>
      </c>
      <c r="E4560" s="35">
        <v>1546073</v>
      </c>
      <c r="F4560" s="35">
        <v>106373104.52</v>
      </c>
    </row>
    <row r="4561" spans="1:6" x14ac:dyDescent="0.3">
      <c r="A4561" t="s">
        <v>69</v>
      </c>
      <c r="B4561">
        <v>2021</v>
      </c>
      <c r="C4561" t="s">
        <v>16</v>
      </c>
      <c r="D4561" s="35">
        <v>53784018.040000007</v>
      </c>
      <c r="E4561" s="35">
        <v>159756</v>
      </c>
      <c r="F4561" s="35">
        <v>50518483.520000003</v>
      </c>
    </row>
    <row r="4562" spans="1:6" x14ac:dyDescent="0.3">
      <c r="A4562" t="s">
        <v>69</v>
      </c>
      <c r="B4562">
        <v>2021</v>
      </c>
      <c r="C4562" t="s">
        <v>14</v>
      </c>
      <c r="D4562" s="35">
        <v>113142788.81</v>
      </c>
      <c r="E4562" s="35">
        <v>2525273</v>
      </c>
      <c r="F4562" s="35">
        <v>72156598.359999999</v>
      </c>
    </row>
    <row r="4563" spans="1:6" x14ac:dyDescent="0.3">
      <c r="A4563" t="s">
        <v>69</v>
      </c>
      <c r="B4563">
        <v>2021</v>
      </c>
      <c r="C4563" t="s">
        <v>7</v>
      </c>
      <c r="D4563" s="35">
        <v>368074265.98999989</v>
      </c>
      <c r="E4563" s="35">
        <v>146236</v>
      </c>
      <c r="F4563" s="35">
        <v>362428105.36000001</v>
      </c>
    </row>
    <row r="4564" spans="1:6" x14ac:dyDescent="0.3">
      <c r="A4564" t="s">
        <v>69</v>
      </c>
      <c r="B4564">
        <v>2021</v>
      </c>
      <c r="C4564" t="s">
        <v>11</v>
      </c>
      <c r="D4564" s="35">
        <v>163619297.47</v>
      </c>
      <c r="E4564" s="35">
        <v>159431</v>
      </c>
      <c r="F4564" s="35">
        <v>155803902.22999999</v>
      </c>
    </row>
    <row r="4565" spans="1:6" x14ac:dyDescent="0.3">
      <c r="A4565" t="s">
        <v>69</v>
      </c>
      <c r="B4565">
        <v>2021</v>
      </c>
      <c r="C4565" t="s">
        <v>3</v>
      </c>
      <c r="D4565" s="35">
        <v>526545089.12</v>
      </c>
      <c r="E4565" s="35">
        <v>1256303</v>
      </c>
      <c r="F4565" s="35">
        <v>508419818.07999998</v>
      </c>
    </row>
    <row r="4566" spans="1:6" x14ac:dyDescent="0.3">
      <c r="A4566" t="s">
        <v>69</v>
      </c>
      <c r="B4566">
        <v>2021</v>
      </c>
      <c r="C4566" t="s">
        <v>12</v>
      </c>
      <c r="D4566" s="35">
        <v>193832225.12</v>
      </c>
      <c r="E4566" s="35">
        <v>2532382</v>
      </c>
      <c r="F4566" s="35">
        <v>151847229.77000001</v>
      </c>
    </row>
    <row r="4567" spans="1:6" x14ac:dyDescent="0.3">
      <c r="A4567" t="s">
        <v>69</v>
      </c>
      <c r="B4567">
        <v>2021</v>
      </c>
      <c r="C4567" t="s">
        <v>2</v>
      </c>
      <c r="D4567" s="35">
        <v>717149528.82999992</v>
      </c>
      <c r="E4567" s="35">
        <v>9619698</v>
      </c>
      <c r="F4567" s="35">
        <v>523604751.75</v>
      </c>
    </row>
    <row r="4568" spans="1:6" x14ac:dyDescent="0.3">
      <c r="A4568" t="s">
        <v>69</v>
      </c>
      <c r="B4568">
        <v>2021</v>
      </c>
      <c r="C4568" t="s">
        <v>5</v>
      </c>
      <c r="D4568" s="35">
        <v>252910543.44999999</v>
      </c>
      <c r="E4568" s="35">
        <v>139559</v>
      </c>
      <c r="F4568" s="35">
        <v>236346493.75000009</v>
      </c>
    </row>
    <row r="4569" spans="1:6" x14ac:dyDescent="0.3">
      <c r="A4569" t="s">
        <v>69</v>
      </c>
      <c r="B4569">
        <v>2021</v>
      </c>
      <c r="C4569" t="s">
        <v>17</v>
      </c>
      <c r="D4569" s="35">
        <v>11169127.73</v>
      </c>
      <c r="E4569" s="35">
        <v>558996</v>
      </c>
      <c r="F4569" s="35">
        <v>3032429.3499999992</v>
      </c>
    </row>
    <row r="4570" spans="1:6" x14ac:dyDescent="0.3">
      <c r="A4570" t="s">
        <v>69</v>
      </c>
      <c r="B4570">
        <v>2021</v>
      </c>
      <c r="C4570" t="s">
        <v>9</v>
      </c>
      <c r="D4570" s="35">
        <v>237597633.65000001</v>
      </c>
      <c r="E4570" s="35">
        <v>3399700</v>
      </c>
      <c r="F4570" s="35">
        <v>115929441.06999999</v>
      </c>
    </row>
    <row r="4571" spans="1:6" x14ac:dyDescent="0.3">
      <c r="A4571" t="s">
        <v>69</v>
      </c>
      <c r="B4571">
        <v>2021</v>
      </c>
      <c r="C4571" t="s">
        <v>8</v>
      </c>
      <c r="D4571" s="35">
        <v>226102063.88</v>
      </c>
      <c r="E4571" s="35">
        <v>15427</v>
      </c>
      <c r="F4571" s="35">
        <v>224846335.30000001</v>
      </c>
    </row>
    <row r="4572" spans="1:6" x14ac:dyDescent="0.3">
      <c r="A4572" t="s">
        <v>69</v>
      </c>
      <c r="B4572">
        <v>2021</v>
      </c>
      <c r="C4572" t="s">
        <v>6</v>
      </c>
      <c r="D4572" s="35">
        <v>353859834.56</v>
      </c>
      <c r="E4572" s="35">
        <v>4531860</v>
      </c>
      <c r="F4572" s="35">
        <v>308020828.98000008</v>
      </c>
    </row>
    <row r="4573" spans="1:6" x14ac:dyDescent="0.3">
      <c r="A4573" t="s">
        <v>69</v>
      </c>
      <c r="B4573">
        <v>2021</v>
      </c>
      <c r="C4573" t="s">
        <v>15</v>
      </c>
      <c r="D4573" s="35">
        <v>60759442.760000013</v>
      </c>
      <c r="E4573" s="35">
        <v>1659257</v>
      </c>
      <c r="F4573" s="35">
        <v>29254137.699999999</v>
      </c>
    </row>
    <row r="4574" spans="1:6" x14ac:dyDescent="0.3">
      <c r="A4574" t="s">
        <v>69</v>
      </c>
      <c r="B4574">
        <v>2021</v>
      </c>
      <c r="C4574" t="s">
        <v>18</v>
      </c>
      <c r="D4574" s="35">
        <v>23927400.579999991</v>
      </c>
      <c r="E4574" s="35">
        <v>157567</v>
      </c>
      <c r="F4574" s="35">
        <v>13934300.949999999</v>
      </c>
    </row>
    <row r="4575" spans="1:6" x14ac:dyDescent="0.3">
      <c r="A4575" t="s">
        <v>69</v>
      </c>
      <c r="B4575">
        <v>2022</v>
      </c>
      <c r="C4575" t="s">
        <v>10</v>
      </c>
      <c r="D4575" s="35">
        <v>211748597.71000001</v>
      </c>
      <c r="E4575" s="35">
        <v>5228089</v>
      </c>
      <c r="F4575" s="35">
        <v>152434652.91</v>
      </c>
    </row>
    <row r="4576" spans="1:6" x14ac:dyDescent="0.3">
      <c r="A4576" t="s">
        <v>69</v>
      </c>
      <c r="B4576">
        <v>2022</v>
      </c>
      <c r="C4576" t="s">
        <v>4</v>
      </c>
      <c r="D4576" s="35">
        <v>647598017.6099999</v>
      </c>
      <c r="E4576" s="35">
        <v>1665820</v>
      </c>
      <c r="F4576" s="35">
        <v>640861954.09000015</v>
      </c>
    </row>
    <row r="4577" spans="1:6" x14ac:dyDescent="0.3">
      <c r="A4577" t="s">
        <v>69</v>
      </c>
      <c r="B4577">
        <v>2022</v>
      </c>
      <c r="C4577" t="s">
        <v>13</v>
      </c>
      <c r="D4577" s="35">
        <v>142042760.13</v>
      </c>
      <c r="E4577" s="35">
        <v>1540490</v>
      </c>
      <c r="F4577" s="35">
        <v>113748686.48</v>
      </c>
    </row>
    <row r="4578" spans="1:6" x14ac:dyDescent="0.3">
      <c r="A4578" t="s">
        <v>69</v>
      </c>
      <c r="B4578">
        <v>2022</v>
      </c>
      <c r="C4578" t="s">
        <v>16</v>
      </c>
      <c r="D4578" s="35">
        <v>60897018.329999998</v>
      </c>
      <c r="E4578" s="35">
        <v>170773</v>
      </c>
      <c r="F4578" s="35">
        <v>57519554.059999987</v>
      </c>
    </row>
    <row r="4579" spans="1:6" x14ac:dyDescent="0.3">
      <c r="A4579" t="s">
        <v>69</v>
      </c>
      <c r="B4579">
        <v>2022</v>
      </c>
      <c r="C4579" t="s">
        <v>14</v>
      </c>
      <c r="D4579" s="35">
        <v>124507226.34</v>
      </c>
      <c r="E4579" s="35">
        <v>2692436</v>
      </c>
      <c r="F4579" s="35">
        <v>80519818.879999995</v>
      </c>
    </row>
    <row r="4580" spans="1:6" x14ac:dyDescent="0.3">
      <c r="A4580" t="s">
        <v>69</v>
      </c>
      <c r="B4580">
        <v>2022</v>
      </c>
      <c r="C4580" t="s">
        <v>7</v>
      </c>
      <c r="D4580" s="35">
        <v>392620077.91000009</v>
      </c>
      <c r="E4580" s="35">
        <v>146700</v>
      </c>
      <c r="F4580" s="35">
        <v>387518254.74000001</v>
      </c>
    </row>
    <row r="4581" spans="1:6" x14ac:dyDescent="0.3">
      <c r="A4581" t="s">
        <v>69</v>
      </c>
      <c r="B4581">
        <v>2022</v>
      </c>
      <c r="C4581" t="s">
        <v>11</v>
      </c>
      <c r="D4581" s="35">
        <v>183207974.25000009</v>
      </c>
      <c r="E4581" s="35">
        <v>183372</v>
      </c>
      <c r="F4581" s="35">
        <v>175672604.58000001</v>
      </c>
    </row>
    <row r="4582" spans="1:6" x14ac:dyDescent="0.3">
      <c r="A4582" t="s">
        <v>69</v>
      </c>
      <c r="B4582">
        <v>2022</v>
      </c>
      <c r="C4582" t="s">
        <v>3</v>
      </c>
      <c r="D4582" s="35">
        <v>678847540.14999986</v>
      </c>
      <c r="E4582" s="35">
        <v>1407387</v>
      </c>
      <c r="F4582" s="35">
        <v>659465123.87000012</v>
      </c>
    </row>
    <row r="4583" spans="1:6" x14ac:dyDescent="0.3">
      <c r="A4583" t="s">
        <v>69</v>
      </c>
      <c r="B4583">
        <v>2022</v>
      </c>
      <c r="C4583" t="s">
        <v>12</v>
      </c>
      <c r="D4583" s="35">
        <v>203656258.83000001</v>
      </c>
      <c r="E4583" s="35">
        <v>3043143</v>
      </c>
      <c r="F4583" s="35">
        <v>155190620.02000001</v>
      </c>
    </row>
    <row r="4584" spans="1:6" x14ac:dyDescent="0.3">
      <c r="A4584" t="s">
        <v>69</v>
      </c>
      <c r="B4584">
        <v>2022</v>
      </c>
      <c r="C4584" t="s">
        <v>2</v>
      </c>
      <c r="D4584" s="35">
        <v>786033044.34000003</v>
      </c>
      <c r="E4584" s="35">
        <v>9786352</v>
      </c>
      <c r="F4584" s="35">
        <v>589496119.63999999</v>
      </c>
    </row>
    <row r="4585" spans="1:6" x14ac:dyDescent="0.3">
      <c r="A4585" t="s">
        <v>69</v>
      </c>
      <c r="B4585">
        <v>2022</v>
      </c>
      <c r="C4585" t="s">
        <v>5</v>
      </c>
      <c r="D4585" s="35">
        <v>275824831.66000003</v>
      </c>
      <c r="E4585" s="35">
        <v>138900</v>
      </c>
      <c r="F4585" s="35">
        <v>257451991.97999999</v>
      </c>
    </row>
    <row r="4586" spans="1:6" x14ac:dyDescent="0.3">
      <c r="A4586" t="s">
        <v>69</v>
      </c>
      <c r="B4586">
        <v>2022</v>
      </c>
      <c r="C4586" t="s">
        <v>17</v>
      </c>
      <c r="D4586" s="35">
        <v>9892658.6199999992</v>
      </c>
      <c r="E4586" s="35">
        <v>523802</v>
      </c>
      <c r="F4586" s="35">
        <v>2781026.7600000012</v>
      </c>
    </row>
    <row r="4587" spans="1:6" x14ac:dyDescent="0.3">
      <c r="A4587" t="s">
        <v>69</v>
      </c>
      <c r="B4587">
        <v>2022</v>
      </c>
      <c r="C4587" t="s">
        <v>9</v>
      </c>
      <c r="D4587" s="35">
        <v>240074458.7100001</v>
      </c>
      <c r="E4587" s="35">
        <v>3602904</v>
      </c>
      <c r="F4587" s="35">
        <v>106752732.87</v>
      </c>
    </row>
    <row r="4588" spans="1:6" x14ac:dyDescent="0.3">
      <c r="A4588" t="s">
        <v>69</v>
      </c>
      <c r="B4588">
        <v>2022</v>
      </c>
      <c r="C4588" t="s">
        <v>8</v>
      </c>
      <c r="D4588" s="35">
        <v>261992368.83000001</v>
      </c>
      <c r="E4588" s="35">
        <v>14948</v>
      </c>
      <c r="F4588" s="35">
        <v>259420708.55000001</v>
      </c>
    </row>
    <row r="4589" spans="1:6" x14ac:dyDescent="0.3">
      <c r="A4589" t="s">
        <v>69</v>
      </c>
      <c r="B4589">
        <v>2022</v>
      </c>
      <c r="C4589" t="s">
        <v>6</v>
      </c>
      <c r="D4589" s="35">
        <v>390204196.80000001</v>
      </c>
      <c r="E4589" s="35">
        <v>4927358</v>
      </c>
      <c r="F4589" s="35">
        <v>335817767.10000008</v>
      </c>
    </row>
    <row r="4590" spans="1:6" x14ac:dyDescent="0.3">
      <c r="A4590" t="s">
        <v>69</v>
      </c>
      <c r="B4590">
        <v>2022</v>
      </c>
      <c r="C4590" t="s">
        <v>15</v>
      </c>
      <c r="D4590" s="35">
        <v>51500451.179999977</v>
      </c>
      <c r="E4590" s="35">
        <v>1525680</v>
      </c>
      <c r="F4590" s="35">
        <v>22017322.030000001</v>
      </c>
    </row>
    <row r="4591" spans="1:6" x14ac:dyDescent="0.3">
      <c r="A4591" t="s">
        <v>69</v>
      </c>
      <c r="B4591">
        <v>2022</v>
      </c>
      <c r="C4591" t="s">
        <v>18</v>
      </c>
      <c r="D4591" s="35">
        <v>28683853.66</v>
      </c>
      <c r="E4591" s="35">
        <v>171300</v>
      </c>
      <c r="F4591" s="35">
        <v>20119341.100000001</v>
      </c>
    </row>
    <row r="4592" spans="1:6" x14ac:dyDescent="0.3">
      <c r="A4592" t="s">
        <v>69</v>
      </c>
      <c r="B4592">
        <v>2023</v>
      </c>
      <c r="C4592" t="s">
        <v>10</v>
      </c>
      <c r="D4592" s="35">
        <v>222592794.39999989</v>
      </c>
      <c r="E4592" s="35">
        <v>5243472</v>
      </c>
      <c r="F4592" s="35">
        <v>167500407.75</v>
      </c>
    </row>
    <row r="4593" spans="1:6" x14ac:dyDescent="0.3">
      <c r="A4593" t="s">
        <v>69</v>
      </c>
      <c r="B4593">
        <v>2023</v>
      </c>
      <c r="C4593" t="s">
        <v>4</v>
      </c>
      <c r="D4593" s="35">
        <v>866798681.30999994</v>
      </c>
      <c r="E4593" s="35">
        <v>1852960</v>
      </c>
      <c r="F4593" s="35">
        <v>860413779.5999999</v>
      </c>
    </row>
    <row r="4594" spans="1:6" x14ac:dyDescent="0.3">
      <c r="A4594" t="s">
        <v>69</v>
      </c>
      <c r="B4594">
        <v>2023</v>
      </c>
      <c r="C4594" t="s">
        <v>13</v>
      </c>
      <c r="D4594" s="35">
        <v>133807285.29000001</v>
      </c>
      <c r="E4594" s="35">
        <v>1519065</v>
      </c>
      <c r="F4594" s="35">
        <v>109081242.78</v>
      </c>
    </row>
    <row r="4595" spans="1:6" x14ac:dyDescent="0.3">
      <c r="A4595" t="s">
        <v>69</v>
      </c>
      <c r="B4595">
        <v>2023</v>
      </c>
      <c r="C4595" t="s">
        <v>16</v>
      </c>
      <c r="D4595" s="35">
        <v>61334858.950000003</v>
      </c>
      <c r="E4595" s="35">
        <v>177950</v>
      </c>
      <c r="F4595" s="35">
        <v>58122235.210000001</v>
      </c>
    </row>
    <row r="4596" spans="1:6" x14ac:dyDescent="0.3">
      <c r="A4596" t="s">
        <v>69</v>
      </c>
      <c r="B4596">
        <v>2023</v>
      </c>
      <c r="C4596" t="s">
        <v>14</v>
      </c>
      <c r="D4596" s="35">
        <v>124116329.95999999</v>
      </c>
      <c r="E4596" s="35">
        <v>2827510</v>
      </c>
      <c r="F4596" s="35">
        <v>82824251.979999989</v>
      </c>
    </row>
    <row r="4597" spans="1:6" x14ac:dyDescent="0.3">
      <c r="A4597" t="s">
        <v>69</v>
      </c>
      <c r="B4597">
        <v>2023</v>
      </c>
      <c r="C4597" t="s">
        <v>7</v>
      </c>
      <c r="D4597" s="35">
        <v>394804836.97000009</v>
      </c>
      <c r="E4597" s="35">
        <v>138909</v>
      </c>
      <c r="F4597" s="35">
        <v>390588473.69999999</v>
      </c>
    </row>
    <row r="4598" spans="1:6" x14ac:dyDescent="0.3">
      <c r="A4598" t="s">
        <v>69</v>
      </c>
      <c r="B4598">
        <v>2023</v>
      </c>
      <c r="C4598" t="s">
        <v>11</v>
      </c>
      <c r="D4598" s="35">
        <v>165638771.06</v>
      </c>
      <c r="E4598" s="35">
        <v>223305</v>
      </c>
      <c r="F4598" s="35">
        <v>159611522.06999999</v>
      </c>
    </row>
    <row r="4599" spans="1:6" x14ac:dyDescent="0.3">
      <c r="A4599" t="s">
        <v>69</v>
      </c>
      <c r="B4599">
        <v>2023</v>
      </c>
      <c r="C4599" t="s">
        <v>3</v>
      </c>
      <c r="D4599" s="35">
        <v>759296696.56999993</v>
      </c>
      <c r="E4599" s="35">
        <v>1444437</v>
      </c>
      <c r="F4599" s="35">
        <v>739468309.30999982</v>
      </c>
    </row>
    <row r="4600" spans="1:6" x14ac:dyDescent="0.3">
      <c r="A4600" t="s">
        <v>69</v>
      </c>
      <c r="B4600">
        <v>2023</v>
      </c>
      <c r="C4600" t="s">
        <v>12</v>
      </c>
      <c r="D4600" s="35">
        <v>198046911.08000001</v>
      </c>
      <c r="E4600" s="35">
        <v>3347372</v>
      </c>
      <c r="F4600" s="35">
        <v>148988735.91999999</v>
      </c>
    </row>
    <row r="4601" spans="1:6" x14ac:dyDescent="0.3">
      <c r="A4601" t="s">
        <v>69</v>
      </c>
      <c r="B4601">
        <v>2023</v>
      </c>
      <c r="C4601" t="s">
        <v>2</v>
      </c>
      <c r="D4601" s="35">
        <v>795036654.61999989</v>
      </c>
      <c r="E4601" s="35">
        <v>9815434</v>
      </c>
      <c r="F4601" s="35">
        <v>603098397.29999995</v>
      </c>
    </row>
    <row r="4602" spans="1:6" x14ac:dyDescent="0.3">
      <c r="A4602" t="s">
        <v>69</v>
      </c>
      <c r="B4602">
        <v>2023</v>
      </c>
      <c r="C4602" t="s">
        <v>5</v>
      </c>
      <c r="D4602" s="35">
        <v>236330335.85000011</v>
      </c>
      <c r="E4602" s="35">
        <v>120713</v>
      </c>
      <c r="F4602" s="35">
        <v>220586594.68000001</v>
      </c>
    </row>
    <row r="4603" spans="1:6" x14ac:dyDescent="0.3">
      <c r="A4603" t="s">
        <v>69</v>
      </c>
      <c r="B4603">
        <v>2023</v>
      </c>
      <c r="C4603" t="s">
        <v>17</v>
      </c>
      <c r="D4603" s="35">
        <v>8242065.7499999991</v>
      </c>
      <c r="E4603" s="35">
        <v>552836</v>
      </c>
      <c r="F4603" s="35">
        <v>2624681.13</v>
      </c>
    </row>
    <row r="4604" spans="1:6" x14ac:dyDescent="0.3">
      <c r="A4604" t="s">
        <v>69</v>
      </c>
      <c r="B4604">
        <v>2023</v>
      </c>
      <c r="C4604" t="s">
        <v>9</v>
      </c>
      <c r="D4604" s="35">
        <v>291738812.27999997</v>
      </c>
      <c r="E4604" s="35">
        <v>3767254</v>
      </c>
      <c r="F4604" s="35">
        <v>161001822.47</v>
      </c>
    </row>
    <row r="4605" spans="1:6" x14ac:dyDescent="0.3">
      <c r="A4605" t="s">
        <v>69</v>
      </c>
      <c r="B4605">
        <v>2023</v>
      </c>
      <c r="C4605" t="s">
        <v>8</v>
      </c>
      <c r="D4605" s="35">
        <v>277814093.56999999</v>
      </c>
      <c r="E4605" s="35">
        <v>14270</v>
      </c>
      <c r="F4605" s="35">
        <v>275596777.67000002</v>
      </c>
    </row>
    <row r="4606" spans="1:6" x14ac:dyDescent="0.3">
      <c r="A4606" t="s">
        <v>69</v>
      </c>
      <c r="B4606">
        <v>2023</v>
      </c>
      <c r="C4606" t="s">
        <v>6</v>
      </c>
      <c r="D4606" s="35">
        <v>393733418.57000011</v>
      </c>
      <c r="E4606" s="35">
        <v>4999958</v>
      </c>
      <c r="F4606" s="35">
        <v>335052442.06999999</v>
      </c>
    </row>
    <row r="4607" spans="1:6" x14ac:dyDescent="0.3">
      <c r="A4607" t="s">
        <v>69</v>
      </c>
      <c r="B4607">
        <v>2023</v>
      </c>
      <c r="C4607" t="s">
        <v>15</v>
      </c>
      <c r="D4607" s="35">
        <v>44403168.130000003</v>
      </c>
      <c r="E4607" s="35">
        <v>1275290</v>
      </c>
      <c r="F4607" s="35">
        <v>20835034.039999999</v>
      </c>
    </row>
    <row r="4608" spans="1:6" x14ac:dyDescent="0.3">
      <c r="A4608" t="s">
        <v>69</v>
      </c>
      <c r="B4608">
        <v>2023</v>
      </c>
      <c r="C4608" t="s">
        <v>18</v>
      </c>
      <c r="D4608" s="35">
        <v>32419541.109999999</v>
      </c>
      <c r="E4608" s="35">
        <v>164275</v>
      </c>
      <c r="F4608" s="35">
        <v>26277118.079999998</v>
      </c>
    </row>
    <row r="4609" spans="1:6" x14ac:dyDescent="0.3">
      <c r="A4609" t="s">
        <v>69</v>
      </c>
      <c r="B4609">
        <v>2024</v>
      </c>
      <c r="C4609" t="s">
        <v>10</v>
      </c>
      <c r="D4609" s="35">
        <v>223322852.43999991</v>
      </c>
      <c r="E4609" s="35">
        <v>4746031</v>
      </c>
      <c r="F4609" s="35">
        <v>177145683.15000001</v>
      </c>
    </row>
    <row r="4610" spans="1:6" x14ac:dyDescent="0.3">
      <c r="A4610" t="s">
        <v>69</v>
      </c>
      <c r="B4610">
        <v>2024</v>
      </c>
      <c r="C4610" t="s">
        <v>4</v>
      </c>
      <c r="D4610" s="35">
        <v>933948359.37</v>
      </c>
      <c r="E4610" s="35">
        <v>1858435</v>
      </c>
      <c r="F4610" s="35">
        <v>928892103.20000005</v>
      </c>
    </row>
    <row r="4611" spans="1:6" x14ac:dyDescent="0.3">
      <c r="A4611" t="s">
        <v>69</v>
      </c>
      <c r="B4611">
        <v>2024</v>
      </c>
      <c r="C4611" t="s">
        <v>13</v>
      </c>
      <c r="D4611" s="35">
        <v>135443796.12</v>
      </c>
      <c r="E4611" s="35">
        <v>1331940</v>
      </c>
      <c r="F4611" s="35">
        <v>113033460.23</v>
      </c>
    </row>
    <row r="4612" spans="1:6" x14ac:dyDescent="0.3">
      <c r="A4612" t="s">
        <v>69</v>
      </c>
      <c r="B4612">
        <v>2024</v>
      </c>
      <c r="C4612" t="s">
        <v>16</v>
      </c>
      <c r="D4612" s="35">
        <v>61054834.29999999</v>
      </c>
      <c r="E4612" s="35">
        <v>163215</v>
      </c>
      <c r="F4612" s="35">
        <v>58118592.920000017</v>
      </c>
    </row>
    <row r="4613" spans="1:6" x14ac:dyDescent="0.3">
      <c r="A4613" t="s">
        <v>69</v>
      </c>
      <c r="B4613">
        <v>2024</v>
      </c>
      <c r="C4613" t="s">
        <v>14</v>
      </c>
      <c r="D4613" s="35">
        <v>117357722.91</v>
      </c>
      <c r="E4613" s="35">
        <v>2654797</v>
      </c>
      <c r="F4613" s="35">
        <v>83824217</v>
      </c>
    </row>
    <row r="4614" spans="1:6" x14ac:dyDescent="0.3">
      <c r="A4614" t="s">
        <v>69</v>
      </c>
      <c r="B4614">
        <v>2024</v>
      </c>
      <c r="C4614" t="s">
        <v>7</v>
      </c>
      <c r="D4614" s="35">
        <v>352895116.12</v>
      </c>
      <c r="E4614" s="35">
        <v>115770</v>
      </c>
      <c r="F4614" s="35">
        <v>350691306.30000001</v>
      </c>
    </row>
    <row r="4615" spans="1:6" x14ac:dyDescent="0.3">
      <c r="A4615" t="s">
        <v>69</v>
      </c>
      <c r="B4615">
        <v>2024</v>
      </c>
      <c r="C4615" t="s">
        <v>11</v>
      </c>
      <c r="D4615" s="35">
        <v>161608133.99000001</v>
      </c>
      <c r="E4615" s="35">
        <v>231232</v>
      </c>
      <c r="F4615" s="35">
        <v>156779492.38</v>
      </c>
    </row>
    <row r="4616" spans="1:6" x14ac:dyDescent="0.3">
      <c r="A4616" t="s">
        <v>69</v>
      </c>
      <c r="B4616">
        <v>2024</v>
      </c>
      <c r="C4616" t="s">
        <v>3</v>
      </c>
      <c r="D4616" s="35">
        <v>768057979.83000004</v>
      </c>
      <c r="E4616" s="35">
        <v>1341826</v>
      </c>
      <c r="F4616" s="35">
        <v>751512242.02999985</v>
      </c>
    </row>
    <row r="4617" spans="1:6" x14ac:dyDescent="0.3">
      <c r="A4617" t="s">
        <v>69</v>
      </c>
      <c r="B4617">
        <v>2024</v>
      </c>
      <c r="C4617" t="s">
        <v>12</v>
      </c>
      <c r="D4617" s="35">
        <v>170745155.38</v>
      </c>
      <c r="E4617" s="35">
        <v>3078900</v>
      </c>
      <c r="F4617" s="35">
        <v>126579711.94</v>
      </c>
    </row>
    <row r="4618" spans="1:6" x14ac:dyDescent="0.3">
      <c r="A4618" t="s">
        <v>69</v>
      </c>
      <c r="B4618">
        <v>2024</v>
      </c>
      <c r="C4618" t="s">
        <v>2</v>
      </c>
      <c r="D4618" s="35">
        <v>769466058.78999996</v>
      </c>
      <c r="E4618" s="35">
        <v>9096566</v>
      </c>
      <c r="F4618" s="35">
        <v>619388724.13</v>
      </c>
    </row>
    <row r="4619" spans="1:6" x14ac:dyDescent="0.3">
      <c r="A4619" t="s">
        <v>69</v>
      </c>
      <c r="B4619">
        <v>2024</v>
      </c>
      <c r="C4619" t="s">
        <v>5</v>
      </c>
      <c r="D4619" s="35">
        <v>231659109.5</v>
      </c>
      <c r="E4619" s="35">
        <v>108182</v>
      </c>
      <c r="F4619" s="35">
        <v>221529542.44999999</v>
      </c>
    </row>
    <row r="4620" spans="1:6" x14ac:dyDescent="0.3">
      <c r="A4620" t="s">
        <v>69</v>
      </c>
      <c r="B4620">
        <v>2024</v>
      </c>
      <c r="C4620" t="s">
        <v>17</v>
      </c>
      <c r="D4620" s="35">
        <v>8746560.2999999989</v>
      </c>
      <c r="E4620" s="35">
        <v>502250</v>
      </c>
      <c r="F4620" s="35">
        <v>2493276.69</v>
      </c>
    </row>
    <row r="4621" spans="1:6" x14ac:dyDescent="0.3">
      <c r="A4621" t="s">
        <v>69</v>
      </c>
      <c r="B4621">
        <v>2024</v>
      </c>
      <c r="C4621" t="s">
        <v>9</v>
      </c>
      <c r="D4621" s="35">
        <v>260784027.86000001</v>
      </c>
      <c r="E4621" s="35">
        <v>3586285</v>
      </c>
      <c r="F4621" s="35">
        <v>164105562.73999989</v>
      </c>
    </row>
    <row r="4622" spans="1:6" x14ac:dyDescent="0.3">
      <c r="A4622" t="s">
        <v>69</v>
      </c>
      <c r="B4622">
        <v>2024</v>
      </c>
      <c r="C4622" t="s">
        <v>8</v>
      </c>
      <c r="D4622" s="35">
        <v>284772594.72000003</v>
      </c>
      <c r="E4622" s="35">
        <v>13687</v>
      </c>
      <c r="F4622" s="35">
        <v>280472099.64999998</v>
      </c>
    </row>
    <row r="4623" spans="1:6" x14ac:dyDescent="0.3">
      <c r="A4623" t="s">
        <v>69</v>
      </c>
      <c r="B4623">
        <v>2024</v>
      </c>
      <c r="C4623" t="s">
        <v>6</v>
      </c>
      <c r="D4623" s="35">
        <v>322259038.07999998</v>
      </c>
      <c r="E4623" s="35">
        <v>4554298</v>
      </c>
      <c r="F4623" s="35">
        <v>269915648.56</v>
      </c>
    </row>
    <row r="4624" spans="1:6" x14ac:dyDescent="0.3">
      <c r="A4624" t="s">
        <v>69</v>
      </c>
      <c r="B4624">
        <v>2024</v>
      </c>
      <c r="C4624" t="s">
        <v>15</v>
      </c>
      <c r="D4624" s="35">
        <v>34835650.850000001</v>
      </c>
      <c r="E4624" s="35">
        <v>1018528</v>
      </c>
      <c r="F4624" s="35">
        <v>17378176.59</v>
      </c>
    </row>
    <row r="4625" spans="1:6" x14ac:dyDescent="0.3">
      <c r="A4625" t="s">
        <v>69</v>
      </c>
      <c r="B4625">
        <v>2024</v>
      </c>
      <c r="C4625" t="s">
        <v>18</v>
      </c>
      <c r="D4625" s="35">
        <v>33621858.820000008</v>
      </c>
      <c r="E4625" s="35">
        <v>155625</v>
      </c>
      <c r="F4625" s="35">
        <v>28958220.940000001</v>
      </c>
    </row>
    <row r="4626" spans="1:6" x14ac:dyDescent="0.3">
      <c r="A4626" t="s">
        <v>69</v>
      </c>
      <c r="B4626">
        <v>2025</v>
      </c>
      <c r="C4626" t="s">
        <v>10</v>
      </c>
      <c r="D4626" s="35">
        <v>227116171.99000001</v>
      </c>
      <c r="E4626" s="35">
        <v>4506339</v>
      </c>
      <c r="F4626" s="35">
        <v>181110813.69999999</v>
      </c>
    </row>
    <row r="4627" spans="1:6" x14ac:dyDescent="0.3">
      <c r="A4627" t="s">
        <v>69</v>
      </c>
      <c r="B4627">
        <v>2025</v>
      </c>
      <c r="C4627" t="s">
        <v>4</v>
      </c>
      <c r="D4627" s="35">
        <v>1241301026.54</v>
      </c>
      <c r="E4627" s="35">
        <v>2022508</v>
      </c>
      <c r="F4627" s="35">
        <v>1235805474.6500001</v>
      </c>
    </row>
    <row r="4628" spans="1:6" x14ac:dyDescent="0.3">
      <c r="A4628" t="s">
        <v>69</v>
      </c>
      <c r="B4628">
        <v>2025</v>
      </c>
      <c r="C4628" t="s">
        <v>13</v>
      </c>
      <c r="D4628" s="35">
        <v>145550505.09</v>
      </c>
      <c r="E4628" s="35">
        <v>1285765</v>
      </c>
      <c r="F4628" s="35">
        <v>122310870.79000001</v>
      </c>
    </row>
    <row r="4629" spans="1:6" x14ac:dyDescent="0.3">
      <c r="A4629" t="s">
        <v>69</v>
      </c>
      <c r="B4629">
        <v>2025</v>
      </c>
      <c r="C4629" t="s">
        <v>16</v>
      </c>
      <c r="D4629" s="35">
        <v>68965370.939999998</v>
      </c>
      <c r="E4629" s="35">
        <v>167139</v>
      </c>
      <c r="F4629" s="35">
        <v>65535500.789999992</v>
      </c>
    </row>
    <row r="4630" spans="1:6" x14ac:dyDescent="0.3">
      <c r="A4630" t="s">
        <v>69</v>
      </c>
      <c r="B4630">
        <v>2025</v>
      </c>
      <c r="C4630" t="s">
        <v>14</v>
      </c>
      <c r="D4630" s="35">
        <v>119451183.56</v>
      </c>
      <c r="E4630" s="35">
        <v>2611259</v>
      </c>
      <c r="F4630" s="35">
        <v>86938704.350000024</v>
      </c>
    </row>
    <row r="4631" spans="1:6" x14ac:dyDescent="0.3">
      <c r="A4631" t="s">
        <v>69</v>
      </c>
      <c r="B4631">
        <v>2025</v>
      </c>
      <c r="C4631" t="s">
        <v>7</v>
      </c>
      <c r="D4631" s="35">
        <v>362585045.11999989</v>
      </c>
      <c r="E4631" s="35">
        <v>111968</v>
      </c>
      <c r="F4631" s="35">
        <v>360788939.38999999</v>
      </c>
    </row>
    <row r="4632" spans="1:6" x14ac:dyDescent="0.3">
      <c r="A4632" t="s">
        <v>69</v>
      </c>
      <c r="B4632">
        <v>2025</v>
      </c>
      <c r="C4632" t="s">
        <v>11</v>
      </c>
      <c r="D4632" s="35">
        <v>155509678.56</v>
      </c>
      <c r="E4632" s="35">
        <v>235705</v>
      </c>
      <c r="F4632" s="35">
        <v>150195133.09</v>
      </c>
    </row>
    <row r="4633" spans="1:6" x14ac:dyDescent="0.3">
      <c r="A4633" t="s">
        <v>69</v>
      </c>
      <c r="B4633">
        <v>2025</v>
      </c>
      <c r="C4633" t="s">
        <v>3</v>
      </c>
      <c r="D4633" s="35">
        <v>820399163.88000011</v>
      </c>
      <c r="E4633" s="35">
        <v>1293640</v>
      </c>
      <c r="F4633" s="35">
        <v>805130000.01000011</v>
      </c>
    </row>
    <row r="4634" spans="1:6" x14ac:dyDescent="0.3">
      <c r="A4634" t="s">
        <v>69</v>
      </c>
      <c r="B4634">
        <v>2025</v>
      </c>
      <c r="C4634" t="s">
        <v>12</v>
      </c>
      <c r="D4634" s="35">
        <v>141500247.00999999</v>
      </c>
      <c r="E4634" s="35">
        <v>2779937</v>
      </c>
      <c r="F4634" s="35">
        <v>102985007.20999999</v>
      </c>
    </row>
    <row r="4635" spans="1:6" x14ac:dyDescent="0.3">
      <c r="A4635" t="s">
        <v>69</v>
      </c>
      <c r="B4635">
        <v>2025</v>
      </c>
      <c r="C4635" t="s">
        <v>2</v>
      </c>
      <c r="D4635" s="35">
        <v>829022713.46999967</v>
      </c>
      <c r="E4635" s="35">
        <v>8864579</v>
      </c>
      <c r="F4635" s="35">
        <v>676388895.54999995</v>
      </c>
    </row>
    <row r="4636" spans="1:6" x14ac:dyDescent="0.3">
      <c r="A4636" t="s">
        <v>69</v>
      </c>
      <c r="B4636">
        <v>2025</v>
      </c>
      <c r="C4636" t="s">
        <v>5</v>
      </c>
      <c r="D4636" s="35">
        <v>260173849.5200001</v>
      </c>
      <c r="E4636" s="35">
        <v>108142</v>
      </c>
      <c r="F4636" s="35">
        <v>249521386.55000001</v>
      </c>
    </row>
    <row r="4637" spans="1:6" x14ac:dyDescent="0.3">
      <c r="A4637" t="s">
        <v>69</v>
      </c>
      <c r="B4637">
        <v>2025</v>
      </c>
      <c r="C4637" t="s">
        <v>17</v>
      </c>
      <c r="D4637" s="35">
        <v>7266812.3699999973</v>
      </c>
      <c r="E4637" s="35">
        <v>465722</v>
      </c>
      <c r="F4637" s="35">
        <v>2215303.830000001</v>
      </c>
    </row>
    <row r="4638" spans="1:6" x14ac:dyDescent="0.3">
      <c r="A4638" t="s">
        <v>69</v>
      </c>
      <c r="B4638">
        <v>2025</v>
      </c>
      <c r="C4638" t="s">
        <v>9</v>
      </c>
      <c r="D4638" s="35">
        <v>269808472.38</v>
      </c>
      <c r="E4638" s="35">
        <v>3581508</v>
      </c>
      <c r="F4638" s="35">
        <v>181709027.71000001</v>
      </c>
    </row>
    <row r="4639" spans="1:6" x14ac:dyDescent="0.3">
      <c r="A4639" t="s">
        <v>69</v>
      </c>
      <c r="B4639">
        <v>2025</v>
      </c>
      <c r="C4639" t="s">
        <v>8</v>
      </c>
      <c r="D4639" s="35">
        <v>309884163.55000001</v>
      </c>
      <c r="E4639" s="35">
        <v>14002</v>
      </c>
      <c r="F4639" s="35">
        <v>303502986.06</v>
      </c>
    </row>
    <row r="4640" spans="1:6" x14ac:dyDescent="0.3">
      <c r="A4640" t="s">
        <v>69</v>
      </c>
      <c r="B4640">
        <v>2025</v>
      </c>
      <c r="C4640" t="s">
        <v>6</v>
      </c>
      <c r="D4640" s="35">
        <v>328676669.52999997</v>
      </c>
      <c r="E4640" s="35">
        <v>4335903</v>
      </c>
      <c r="F4640" s="35">
        <v>277702938.04000008</v>
      </c>
    </row>
    <row r="4641" spans="1:6" x14ac:dyDescent="0.3">
      <c r="A4641" t="s">
        <v>69</v>
      </c>
      <c r="B4641">
        <v>2025</v>
      </c>
      <c r="C4641" t="s">
        <v>15</v>
      </c>
      <c r="D4641" s="35">
        <v>46186040.859999992</v>
      </c>
      <c r="E4641" s="35">
        <v>910955</v>
      </c>
      <c r="F4641" s="35">
        <v>28625139.699999999</v>
      </c>
    </row>
    <row r="4642" spans="1:6" x14ac:dyDescent="0.3">
      <c r="A4642" t="s">
        <v>69</v>
      </c>
      <c r="B4642">
        <v>2025</v>
      </c>
      <c r="C4642" t="s">
        <v>18</v>
      </c>
      <c r="D4642" s="35">
        <v>34607993.009999998</v>
      </c>
      <c r="E4642" s="35">
        <v>151968</v>
      </c>
      <c r="F4642" s="35">
        <v>30371931.98</v>
      </c>
    </row>
    <row r="4643" spans="1:6" x14ac:dyDescent="0.3">
      <c r="A4643" t="s">
        <v>70</v>
      </c>
      <c r="B4643">
        <v>2019</v>
      </c>
      <c r="C4643" t="s">
        <v>10</v>
      </c>
      <c r="D4643" s="35">
        <v>9348437.0699999984</v>
      </c>
      <c r="E4643" s="35">
        <v>459504</v>
      </c>
      <c r="F4643" s="35">
        <v>5109498.5599999996</v>
      </c>
    </row>
    <row r="4644" spans="1:6" x14ac:dyDescent="0.3">
      <c r="A4644" t="s">
        <v>70</v>
      </c>
      <c r="B4644">
        <v>2019</v>
      </c>
      <c r="C4644" t="s">
        <v>4</v>
      </c>
      <c r="D4644" s="35">
        <v>22609649.210000001</v>
      </c>
      <c r="E4644" s="35">
        <v>130961</v>
      </c>
      <c r="F4644" s="35">
        <v>22155786.829999991</v>
      </c>
    </row>
    <row r="4645" spans="1:6" x14ac:dyDescent="0.3">
      <c r="A4645" t="s">
        <v>70</v>
      </c>
      <c r="B4645">
        <v>2019</v>
      </c>
      <c r="C4645" t="s">
        <v>13</v>
      </c>
      <c r="D4645" s="35">
        <v>9929882.1100000013</v>
      </c>
      <c r="E4645" s="35">
        <v>172644</v>
      </c>
      <c r="F4645" s="35">
        <v>6861702.6599999992</v>
      </c>
    </row>
    <row r="4646" spans="1:6" x14ac:dyDescent="0.3">
      <c r="A4646" t="s">
        <v>70</v>
      </c>
      <c r="B4646">
        <v>2019</v>
      </c>
      <c r="C4646" t="s">
        <v>16</v>
      </c>
      <c r="D4646" s="35">
        <v>2832940.54</v>
      </c>
      <c r="E4646" s="35">
        <v>17213</v>
      </c>
      <c r="F4646" s="35">
        <v>2253258.4299999988</v>
      </c>
    </row>
    <row r="4647" spans="1:6" x14ac:dyDescent="0.3">
      <c r="A4647" t="s">
        <v>70</v>
      </c>
      <c r="B4647">
        <v>2019</v>
      </c>
      <c r="C4647" t="s">
        <v>14</v>
      </c>
      <c r="D4647" s="35">
        <v>5656287.9199999999</v>
      </c>
      <c r="E4647" s="35">
        <v>202950</v>
      </c>
      <c r="F4647" s="35">
        <v>3588105.24</v>
      </c>
    </row>
    <row r="4648" spans="1:6" x14ac:dyDescent="0.3">
      <c r="A4648" t="s">
        <v>70</v>
      </c>
      <c r="B4648">
        <v>2019</v>
      </c>
      <c r="C4648" t="s">
        <v>7</v>
      </c>
      <c r="D4648" s="35">
        <v>23876122.050000001</v>
      </c>
      <c r="E4648" s="35">
        <v>9824</v>
      </c>
      <c r="F4648" s="35">
        <v>23762164.829999998</v>
      </c>
    </row>
    <row r="4649" spans="1:6" x14ac:dyDescent="0.3">
      <c r="A4649" t="s">
        <v>70</v>
      </c>
      <c r="B4649">
        <v>2019</v>
      </c>
      <c r="C4649" t="s">
        <v>11</v>
      </c>
      <c r="D4649" s="35">
        <v>1292401.0900000001</v>
      </c>
      <c r="E4649" s="35">
        <v>4597</v>
      </c>
      <c r="F4649" s="35">
        <v>1132739.92</v>
      </c>
    </row>
    <row r="4650" spans="1:6" x14ac:dyDescent="0.3">
      <c r="A4650" t="s">
        <v>70</v>
      </c>
      <c r="B4650">
        <v>2019</v>
      </c>
      <c r="C4650" t="s">
        <v>3</v>
      </c>
      <c r="D4650" s="35">
        <v>32037965.329999998</v>
      </c>
      <c r="E4650" s="35">
        <v>120265</v>
      </c>
      <c r="F4650" s="35">
        <v>30432259.850000009</v>
      </c>
    </row>
    <row r="4651" spans="1:6" x14ac:dyDescent="0.3">
      <c r="A4651" t="s">
        <v>70</v>
      </c>
      <c r="B4651">
        <v>2019</v>
      </c>
      <c r="C4651" t="s">
        <v>12</v>
      </c>
      <c r="D4651" s="35">
        <v>18913961.440000001</v>
      </c>
      <c r="E4651" s="35">
        <v>274635</v>
      </c>
      <c r="F4651" s="35">
        <v>14137484.49</v>
      </c>
    </row>
    <row r="4652" spans="1:6" x14ac:dyDescent="0.3">
      <c r="A4652" t="s">
        <v>70</v>
      </c>
      <c r="B4652">
        <v>2019</v>
      </c>
      <c r="C4652" t="s">
        <v>2</v>
      </c>
      <c r="D4652" s="35">
        <v>51880756.450000003</v>
      </c>
      <c r="E4652" s="35">
        <v>887604</v>
      </c>
      <c r="F4652" s="35">
        <v>34257588.140000001</v>
      </c>
    </row>
    <row r="4653" spans="1:6" x14ac:dyDescent="0.3">
      <c r="A4653" t="s">
        <v>70</v>
      </c>
      <c r="B4653">
        <v>2019</v>
      </c>
      <c r="C4653" t="s">
        <v>5</v>
      </c>
      <c r="D4653" s="35">
        <v>5078806.22</v>
      </c>
      <c r="E4653" s="35">
        <v>7433</v>
      </c>
      <c r="F4653" s="35">
        <v>4491116.12</v>
      </c>
    </row>
    <row r="4654" spans="1:6" x14ac:dyDescent="0.3">
      <c r="A4654" t="s">
        <v>70</v>
      </c>
      <c r="B4654">
        <v>2019</v>
      </c>
      <c r="C4654" t="s">
        <v>17</v>
      </c>
      <c r="D4654" s="35">
        <v>261926.15</v>
      </c>
      <c r="E4654" s="35">
        <v>28685</v>
      </c>
      <c r="F4654" s="35">
        <v>106970.76</v>
      </c>
    </row>
    <row r="4655" spans="1:6" x14ac:dyDescent="0.3">
      <c r="A4655" t="s">
        <v>70</v>
      </c>
      <c r="B4655">
        <v>2019</v>
      </c>
      <c r="C4655" t="s">
        <v>9</v>
      </c>
      <c r="D4655" s="35">
        <v>18635310.670000002</v>
      </c>
      <c r="E4655" s="35">
        <v>363609</v>
      </c>
      <c r="F4655" s="35">
        <v>13357512.98</v>
      </c>
    </row>
    <row r="4656" spans="1:6" x14ac:dyDescent="0.3">
      <c r="A4656" t="s">
        <v>70</v>
      </c>
      <c r="B4656">
        <v>2019</v>
      </c>
      <c r="C4656" t="s">
        <v>8</v>
      </c>
      <c r="D4656" s="35">
        <v>1304038.6599999999</v>
      </c>
      <c r="E4656" s="35">
        <v>362</v>
      </c>
      <c r="F4656" s="35">
        <v>1304038.6599999999</v>
      </c>
    </row>
    <row r="4657" spans="1:6" x14ac:dyDescent="0.3">
      <c r="A4657" t="s">
        <v>70</v>
      </c>
      <c r="B4657">
        <v>2019</v>
      </c>
      <c r="C4657" t="s">
        <v>6</v>
      </c>
      <c r="D4657" s="35">
        <v>27991224.039999999</v>
      </c>
      <c r="E4657" s="35">
        <v>456237</v>
      </c>
      <c r="F4657" s="35">
        <v>22851375.419999991</v>
      </c>
    </row>
    <row r="4658" spans="1:6" x14ac:dyDescent="0.3">
      <c r="A4658" t="s">
        <v>70</v>
      </c>
      <c r="B4658">
        <v>2019</v>
      </c>
      <c r="C4658" t="s">
        <v>15</v>
      </c>
      <c r="D4658" s="35">
        <v>4845065.7699999996</v>
      </c>
      <c r="E4658" s="35">
        <v>210803</v>
      </c>
      <c r="F4658" s="35">
        <v>1976523.11</v>
      </c>
    </row>
    <row r="4659" spans="1:6" x14ac:dyDescent="0.3">
      <c r="A4659" t="s">
        <v>70</v>
      </c>
      <c r="B4659">
        <v>2019</v>
      </c>
      <c r="C4659" t="s">
        <v>18</v>
      </c>
      <c r="D4659" s="35">
        <v>757311.99000000011</v>
      </c>
      <c r="E4659" s="35">
        <v>9832</v>
      </c>
      <c r="F4659" s="35">
        <v>432858.17999999988</v>
      </c>
    </row>
    <row r="4660" spans="1:6" x14ac:dyDescent="0.3">
      <c r="A4660" t="s">
        <v>70</v>
      </c>
      <c r="B4660">
        <v>2020</v>
      </c>
      <c r="C4660" t="s">
        <v>10</v>
      </c>
      <c r="D4660" s="35">
        <v>10972779.449999999</v>
      </c>
      <c r="E4660" s="35">
        <v>485506</v>
      </c>
      <c r="F4660" s="35">
        <v>6134034.3599999975</v>
      </c>
    </row>
    <row r="4661" spans="1:6" x14ac:dyDescent="0.3">
      <c r="A4661" t="s">
        <v>70</v>
      </c>
      <c r="B4661">
        <v>2020</v>
      </c>
      <c r="C4661" t="s">
        <v>4</v>
      </c>
      <c r="D4661" s="35">
        <v>25890243.66</v>
      </c>
      <c r="E4661" s="35">
        <v>136709</v>
      </c>
      <c r="F4661" s="35">
        <v>25331923.219999999</v>
      </c>
    </row>
    <row r="4662" spans="1:6" x14ac:dyDescent="0.3">
      <c r="A4662" t="s">
        <v>70</v>
      </c>
      <c r="B4662">
        <v>2020</v>
      </c>
      <c r="C4662" t="s">
        <v>13</v>
      </c>
      <c r="D4662" s="35">
        <v>9816452.2300000023</v>
      </c>
      <c r="E4662" s="35">
        <v>163206</v>
      </c>
      <c r="F4662" s="35">
        <v>6474740.3899999997</v>
      </c>
    </row>
    <row r="4663" spans="1:6" x14ac:dyDescent="0.3">
      <c r="A4663" t="s">
        <v>70</v>
      </c>
      <c r="B4663">
        <v>2020</v>
      </c>
      <c r="C4663" t="s">
        <v>16</v>
      </c>
      <c r="D4663" s="35">
        <v>2451519.4100000011</v>
      </c>
      <c r="E4663" s="35">
        <v>17769</v>
      </c>
      <c r="F4663" s="35">
        <v>1927035.320000001</v>
      </c>
    </row>
    <row r="4664" spans="1:6" x14ac:dyDescent="0.3">
      <c r="A4664" t="s">
        <v>70</v>
      </c>
      <c r="B4664">
        <v>2020</v>
      </c>
      <c r="C4664" t="s">
        <v>14</v>
      </c>
      <c r="D4664" s="35">
        <v>6536355.7400000002</v>
      </c>
      <c r="E4664" s="35">
        <v>221746</v>
      </c>
      <c r="F4664" s="35">
        <v>3796818.680000002</v>
      </c>
    </row>
    <row r="4665" spans="1:6" x14ac:dyDescent="0.3">
      <c r="A4665" t="s">
        <v>70</v>
      </c>
      <c r="B4665">
        <v>2020</v>
      </c>
      <c r="C4665" t="s">
        <v>7</v>
      </c>
      <c r="D4665" s="35">
        <v>25056715.260000002</v>
      </c>
      <c r="E4665" s="35">
        <v>9576</v>
      </c>
      <c r="F4665" s="35">
        <v>24532091.960000001</v>
      </c>
    </row>
    <row r="4666" spans="1:6" x14ac:dyDescent="0.3">
      <c r="A4666" t="s">
        <v>70</v>
      </c>
      <c r="B4666">
        <v>2020</v>
      </c>
      <c r="C4666" t="s">
        <v>11</v>
      </c>
      <c r="D4666" s="35">
        <v>2069667.76</v>
      </c>
      <c r="E4666" s="35">
        <v>5612</v>
      </c>
      <c r="F4666" s="35">
        <v>1928583.01</v>
      </c>
    </row>
    <row r="4667" spans="1:6" x14ac:dyDescent="0.3">
      <c r="A4667" t="s">
        <v>70</v>
      </c>
      <c r="B4667">
        <v>2020</v>
      </c>
      <c r="C4667" t="s">
        <v>3</v>
      </c>
      <c r="D4667" s="35">
        <v>42007661.780000009</v>
      </c>
      <c r="E4667" s="35">
        <v>111187</v>
      </c>
      <c r="F4667" s="35">
        <v>40531467.469999999</v>
      </c>
    </row>
    <row r="4668" spans="1:6" x14ac:dyDescent="0.3">
      <c r="A4668" t="s">
        <v>70</v>
      </c>
      <c r="B4668">
        <v>2020</v>
      </c>
      <c r="C4668" t="s">
        <v>12</v>
      </c>
      <c r="D4668" s="35">
        <v>12746635.92</v>
      </c>
      <c r="E4668" s="35">
        <v>225961</v>
      </c>
      <c r="F4668" s="35">
        <v>9070489.5300000012</v>
      </c>
    </row>
    <row r="4669" spans="1:6" x14ac:dyDescent="0.3">
      <c r="A4669" t="s">
        <v>70</v>
      </c>
      <c r="B4669">
        <v>2020</v>
      </c>
      <c r="C4669" t="s">
        <v>2</v>
      </c>
      <c r="D4669" s="35">
        <v>53504250.990000017</v>
      </c>
      <c r="E4669" s="35">
        <v>923203</v>
      </c>
      <c r="F4669" s="35">
        <v>35693195.389999993</v>
      </c>
    </row>
    <row r="4670" spans="1:6" x14ac:dyDescent="0.3">
      <c r="A4670" t="s">
        <v>70</v>
      </c>
      <c r="B4670">
        <v>2020</v>
      </c>
      <c r="C4670" t="s">
        <v>5</v>
      </c>
      <c r="D4670" s="35">
        <v>6284943.7699999996</v>
      </c>
      <c r="E4670" s="35">
        <v>7364</v>
      </c>
      <c r="F4670" s="35">
        <v>5719473.0099999988</v>
      </c>
    </row>
    <row r="4671" spans="1:6" x14ac:dyDescent="0.3">
      <c r="A4671" t="s">
        <v>70</v>
      </c>
      <c r="B4671">
        <v>2020</v>
      </c>
      <c r="C4671" t="s">
        <v>17</v>
      </c>
      <c r="D4671" s="35">
        <v>277341.53000000009</v>
      </c>
      <c r="E4671" s="35">
        <v>32933</v>
      </c>
      <c r="F4671" s="35">
        <v>68831.88</v>
      </c>
    </row>
    <row r="4672" spans="1:6" x14ac:dyDescent="0.3">
      <c r="A4672" t="s">
        <v>70</v>
      </c>
      <c r="B4672">
        <v>2020</v>
      </c>
      <c r="C4672" t="s">
        <v>9</v>
      </c>
      <c r="D4672" s="35">
        <v>15158036.35</v>
      </c>
      <c r="E4672" s="35">
        <v>340781</v>
      </c>
      <c r="F4672" s="35">
        <v>7085464.9999999991</v>
      </c>
    </row>
    <row r="4673" spans="1:6" x14ac:dyDescent="0.3">
      <c r="A4673" t="s">
        <v>70</v>
      </c>
      <c r="B4673">
        <v>2020</v>
      </c>
      <c r="C4673" t="s">
        <v>8</v>
      </c>
      <c r="D4673" s="35">
        <v>5043901.4000000004</v>
      </c>
      <c r="E4673" s="35">
        <v>673</v>
      </c>
      <c r="F4673" s="35">
        <v>5043901.4000000004</v>
      </c>
    </row>
    <row r="4674" spans="1:6" x14ac:dyDescent="0.3">
      <c r="A4674" t="s">
        <v>70</v>
      </c>
      <c r="B4674">
        <v>2020</v>
      </c>
      <c r="C4674" t="s">
        <v>6</v>
      </c>
      <c r="D4674" s="35">
        <v>30066409.949999992</v>
      </c>
      <c r="E4674" s="35">
        <v>471574</v>
      </c>
      <c r="F4674" s="35">
        <v>24224158.699999999</v>
      </c>
    </row>
    <row r="4675" spans="1:6" x14ac:dyDescent="0.3">
      <c r="A4675" t="s">
        <v>70</v>
      </c>
      <c r="B4675">
        <v>2020</v>
      </c>
      <c r="C4675" t="s">
        <v>15</v>
      </c>
      <c r="D4675" s="35">
        <v>3067606.439999999</v>
      </c>
      <c r="E4675" s="35">
        <v>152309</v>
      </c>
      <c r="F4675" s="35">
        <v>1129168.8600000001</v>
      </c>
    </row>
    <row r="4676" spans="1:6" x14ac:dyDescent="0.3">
      <c r="A4676" t="s">
        <v>70</v>
      </c>
      <c r="B4676">
        <v>2020</v>
      </c>
      <c r="C4676" t="s">
        <v>18</v>
      </c>
      <c r="D4676" s="35">
        <v>710972.86000000022</v>
      </c>
      <c r="E4676" s="35">
        <v>10468</v>
      </c>
      <c r="F4676" s="35">
        <v>481835.63</v>
      </c>
    </row>
    <row r="4677" spans="1:6" x14ac:dyDescent="0.3">
      <c r="A4677" t="s">
        <v>70</v>
      </c>
      <c r="B4677">
        <v>2021</v>
      </c>
      <c r="C4677" t="s">
        <v>10</v>
      </c>
      <c r="D4677" s="35">
        <v>12910001.58</v>
      </c>
      <c r="E4677" s="35">
        <v>533835</v>
      </c>
      <c r="F4677" s="35">
        <v>7507719.5199999996</v>
      </c>
    </row>
    <row r="4678" spans="1:6" x14ac:dyDescent="0.3">
      <c r="A4678" t="s">
        <v>70</v>
      </c>
      <c r="B4678">
        <v>2021</v>
      </c>
      <c r="C4678" t="s">
        <v>4</v>
      </c>
      <c r="D4678" s="35">
        <v>31857871.239999998</v>
      </c>
      <c r="E4678" s="35">
        <v>147814</v>
      </c>
      <c r="F4678" s="35">
        <v>31249718.43</v>
      </c>
    </row>
    <row r="4679" spans="1:6" x14ac:dyDescent="0.3">
      <c r="A4679" t="s">
        <v>70</v>
      </c>
      <c r="B4679">
        <v>2021</v>
      </c>
      <c r="C4679" t="s">
        <v>13</v>
      </c>
      <c r="D4679" s="35">
        <v>8816623.8399999999</v>
      </c>
      <c r="E4679" s="35">
        <v>177306</v>
      </c>
      <c r="F4679" s="35">
        <v>5338437.9400000004</v>
      </c>
    </row>
    <row r="4680" spans="1:6" x14ac:dyDescent="0.3">
      <c r="A4680" t="s">
        <v>70</v>
      </c>
      <c r="B4680">
        <v>2021</v>
      </c>
      <c r="C4680" t="s">
        <v>16</v>
      </c>
      <c r="D4680" s="35">
        <v>2927213.8699999992</v>
      </c>
      <c r="E4680" s="35">
        <v>20733</v>
      </c>
      <c r="F4680" s="35">
        <v>2326320.8199999998</v>
      </c>
    </row>
    <row r="4681" spans="1:6" x14ac:dyDescent="0.3">
      <c r="A4681" t="s">
        <v>70</v>
      </c>
      <c r="B4681">
        <v>2021</v>
      </c>
      <c r="C4681" t="s">
        <v>14</v>
      </c>
      <c r="D4681" s="35">
        <v>7266164.0599999977</v>
      </c>
      <c r="E4681" s="35">
        <v>248667</v>
      </c>
      <c r="F4681" s="35">
        <v>4418395.0299999993</v>
      </c>
    </row>
    <row r="4682" spans="1:6" x14ac:dyDescent="0.3">
      <c r="A4682" t="s">
        <v>70</v>
      </c>
      <c r="B4682">
        <v>2021</v>
      </c>
      <c r="C4682" t="s">
        <v>7</v>
      </c>
      <c r="D4682" s="35">
        <v>25518950.75</v>
      </c>
      <c r="E4682" s="35">
        <v>10000</v>
      </c>
      <c r="F4682" s="35">
        <v>23921971.629999999</v>
      </c>
    </row>
    <row r="4683" spans="1:6" x14ac:dyDescent="0.3">
      <c r="A4683" t="s">
        <v>70</v>
      </c>
      <c r="B4683">
        <v>2021</v>
      </c>
      <c r="C4683" t="s">
        <v>11</v>
      </c>
      <c r="D4683" s="35">
        <v>3036185.46</v>
      </c>
      <c r="E4683" s="35">
        <v>5845</v>
      </c>
      <c r="F4683" s="35">
        <v>2897581.34</v>
      </c>
    </row>
    <row r="4684" spans="1:6" x14ac:dyDescent="0.3">
      <c r="A4684" t="s">
        <v>70</v>
      </c>
      <c r="B4684">
        <v>2021</v>
      </c>
      <c r="C4684" t="s">
        <v>3</v>
      </c>
      <c r="D4684" s="35">
        <v>57650263.669999987</v>
      </c>
      <c r="E4684" s="35">
        <v>123855</v>
      </c>
      <c r="F4684" s="35">
        <v>55965014.500000007</v>
      </c>
    </row>
    <row r="4685" spans="1:6" x14ac:dyDescent="0.3">
      <c r="A4685" t="s">
        <v>70</v>
      </c>
      <c r="B4685">
        <v>2021</v>
      </c>
      <c r="C4685" t="s">
        <v>12</v>
      </c>
      <c r="D4685" s="35">
        <v>12598013.52</v>
      </c>
      <c r="E4685" s="35">
        <v>234574</v>
      </c>
      <c r="F4685" s="35">
        <v>9323860.3499999959</v>
      </c>
    </row>
    <row r="4686" spans="1:6" x14ac:dyDescent="0.3">
      <c r="A4686" t="s">
        <v>70</v>
      </c>
      <c r="B4686">
        <v>2021</v>
      </c>
      <c r="C4686" t="s">
        <v>2</v>
      </c>
      <c r="D4686" s="35">
        <v>55365663.659999989</v>
      </c>
      <c r="E4686" s="35">
        <v>959663</v>
      </c>
      <c r="F4686" s="35">
        <v>36335759.490000002</v>
      </c>
    </row>
    <row r="4687" spans="1:6" x14ac:dyDescent="0.3">
      <c r="A4687" t="s">
        <v>70</v>
      </c>
      <c r="B4687">
        <v>2021</v>
      </c>
      <c r="C4687" t="s">
        <v>5</v>
      </c>
      <c r="D4687" s="35">
        <v>5836150.7800000003</v>
      </c>
      <c r="E4687" s="35">
        <v>6666</v>
      </c>
      <c r="F4687" s="35">
        <v>5205644.7899999991</v>
      </c>
    </row>
    <row r="4688" spans="1:6" x14ac:dyDescent="0.3">
      <c r="A4688" t="s">
        <v>70</v>
      </c>
      <c r="B4688">
        <v>2021</v>
      </c>
      <c r="C4688" t="s">
        <v>17</v>
      </c>
      <c r="D4688" s="35">
        <v>303460.47999999998</v>
      </c>
      <c r="E4688" s="35">
        <v>32062</v>
      </c>
      <c r="F4688" s="35">
        <v>115017.99</v>
      </c>
    </row>
    <row r="4689" spans="1:6" x14ac:dyDescent="0.3">
      <c r="A4689" t="s">
        <v>70</v>
      </c>
      <c r="B4689">
        <v>2021</v>
      </c>
      <c r="C4689" t="s">
        <v>9</v>
      </c>
      <c r="D4689" s="35">
        <v>13175708.41</v>
      </c>
      <c r="E4689" s="35">
        <v>359574</v>
      </c>
      <c r="F4689" s="35">
        <v>5473130.2599999998</v>
      </c>
    </row>
    <row r="4690" spans="1:6" x14ac:dyDescent="0.3">
      <c r="A4690" t="s">
        <v>70</v>
      </c>
      <c r="B4690">
        <v>2021</v>
      </c>
      <c r="C4690" t="s">
        <v>8</v>
      </c>
      <c r="D4690" s="35">
        <v>6259808.5299999993</v>
      </c>
      <c r="E4690" s="35">
        <v>661</v>
      </c>
      <c r="F4690" s="35">
        <v>6209622.4800000004</v>
      </c>
    </row>
    <row r="4691" spans="1:6" x14ac:dyDescent="0.3">
      <c r="A4691" t="s">
        <v>70</v>
      </c>
      <c r="B4691">
        <v>2021</v>
      </c>
      <c r="C4691" t="s">
        <v>6</v>
      </c>
      <c r="D4691" s="35">
        <v>30896432.41</v>
      </c>
      <c r="E4691" s="35">
        <v>485455</v>
      </c>
      <c r="F4691" s="35">
        <v>24582457.640000001</v>
      </c>
    </row>
    <row r="4692" spans="1:6" x14ac:dyDescent="0.3">
      <c r="A4692" t="s">
        <v>70</v>
      </c>
      <c r="B4692">
        <v>2021</v>
      </c>
      <c r="C4692" t="s">
        <v>15</v>
      </c>
      <c r="D4692" s="35">
        <v>3054311.82</v>
      </c>
      <c r="E4692" s="35">
        <v>139713</v>
      </c>
      <c r="F4692" s="35">
        <v>966790.19999999984</v>
      </c>
    </row>
    <row r="4693" spans="1:6" x14ac:dyDescent="0.3">
      <c r="A4693" t="s">
        <v>70</v>
      </c>
      <c r="B4693">
        <v>2021</v>
      </c>
      <c r="C4693" t="s">
        <v>18</v>
      </c>
      <c r="D4693" s="35">
        <v>918073.17999999993</v>
      </c>
      <c r="E4693" s="35">
        <v>10830</v>
      </c>
      <c r="F4693" s="35">
        <v>651777.1100000001</v>
      </c>
    </row>
    <row r="4694" spans="1:6" x14ac:dyDescent="0.3">
      <c r="A4694" t="s">
        <v>70</v>
      </c>
      <c r="B4694">
        <v>2022</v>
      </c>
      <c r="C4694" t="s">
        <v>10</v>
      </c>
      <c r="D4694" s="35">
        <v>15747853.630000001</v>
      </c>
      <c r="E4694" s="35">
        <v>592404</v>
      </c>
      <c r="F4694" s="35">
        <v>9493194.7799999975</v>
      </c>
    </row>
    <row r="4695" spans="1:6" x14ac:dyDescent="0.3">
      <c r="A4695" t="s">
        <v>70</v>
      </c>
      <c r="B4695">
        <v>2022</v>
      </c>
      <c r="C4695" t="s">
        <v>4</v>
      </c>
      <c r="D4695" s="35">
        <v>42855702.659999996</v>
      </c>
      <c r="E4695" s="35">
        <v>171996</v>
      </c>
      <c r="F4695" s="35">
        <v>42230489.510000013</v>
      </c>
    </row>
    <row r="4696" spans="1:6" x14ac:dyDescent="0.3">
      <c r="A4696" t="s">
        <v>70</v>
      </c>
      <c r="B4696">
        <v>2022</v>
      </c>
      <c r="C4696" t="s">
        <v>13</v>
      </c>
      <c r="D4696" s="35">
        <v>10033415.75</v>
      </c>
      <c r="E4696" s="35">
        <v>192762</v>
      </c>
      <c r="F4696" s="35">
        <v>6360464.1599999983</v>
      </c>
    </row>
    <row r="4697" spans="1:6" x14ac:dyDescent="0.3">
      <c r="A4697" t="s">
        <v>70</v>
      </c>
      <c r="B4697">
        <v>2022</v>
      </c>
      <c r="C4697" t="s">
        <v>16</v>
      </c>
      <c r="D4697" s="35">
        <v>3295206.99</v>
      </c>
      <c r="E4697" s="35">
        <v>22469</v>
      </c>
      <c r="F4697" s="35">
        <v>2800347.62</v>
      </c>
    </row>
    <row r="4698" spans="1:6" x14ac:dyDescent="0.3">
      <c r="A4698" t="s">
        <v>70</v>
      </c>
      <c r="B4698">
        <v>2022</v>
      </c>
      <c r="C4698" t="s">
        <v>14</v>
      </c>
      <c r="D4698" s="35">
        <v>8040146.0700000031</v>
      </c>
      <c r="E4698" s="35">
        <v>282907</v>
      </c>
      <c r="F4698" s="35">
        <v>4920041.5999999996</v>
      </c>
    </row>
    <row r="4699" spans="1:6" x14ac:dyDescent="0.3">
      <c r="A4699" t="s">
        <v>70</v>
      </c>
      <c r="B4699">
        <v>2022</v>
      </c>
      <c r="C4699" t="s">
        <v>7</v>
      </c>
      <c r="D4699" s="35">
        <v>29065751.690000001</v>
      </c>
      <c r="E4699" s="35">
        <v>11260</v>
      </c>
      <c r="F4699" s="35">
        <v>28018205.379999999</v>
      </c>
    </row>
    <row r="4700" spans="1:6" x14ac:dyDescent="0.3">
      <c r="A4700" t="s">
        <v>70</v>
      </c>
      <c r="B4700">
        <v>2022</v>
      </c>
      <c r="C4700" t="s">
        <v>11</v>
      </c>
      <c r="D4700" s="35">
        <v>3301096.86</v>
      </c>
      <c r="E4700" s="35">
        <v>6286</v>
      </c>
      <c r="F4700" s="35">
        <v>3114167.36</v>
      </c>
    </row>
    <row r="4701" spans="1:6" x14ac:dyDescent="0.3">
      <c r="A4701" t="s">
        <v>70</v>
      </c>
      <c r="B4701">
        <v>2022</v>
      </c>
      <c r="C4701" t="s">
        <v>3</v>
      </c>
      <c r="D4701" s="35">
        <v>79106930.450000003</v>
      </c>
      <c r="E4701" s="35">
        <v>151999</v>
      </c>
      <c r="F4701" s="35">
        <v>77054404.250000015</v>
      </c>
    </row>
    <row r="4702" spans="1:6" x14ac:dyDescent="0.3">
      <c r="A4702" t="s">
        <v>70</v>
      </c>
      <c r="B4702">
        <v>2022</v>
      </c>
      <c r="C4702" t="s">
        <v>12</v>
      </c>
      <c r="D4702" s="35">
        <v>12866022.949999999</v>
      </c>
      <c r="E4702" s="35">
        <v>294294</v>
      </c>
      <c r="F4702" s="35">
        <v>8523787.9299999997</v>
      </c>
    </row>
    <row r="4703" spans="1:6" x14ac:dyDescent="0.3">
      <c r="A4703" t="s">
        <v>70</v>
      </c>
      <c r="B4703">
        <v>2022</v>
      </c>
      <c r="C4703" t="s">
        <v>2</v>
      </c>
      <c r="D4703" s="35">
        <v>69260102.280000016</v>
      </c>
      <c r="E4703" s="35">
        <v>1036037</v>
      </c>
      <c r="F4703" s="35">
        <v>49608674.829999998</v>
      </c>
    </row>
    <row r="4704" spans="1:6" x14ac:dyDescent="0.3">
      <c r="A4704" t="s">
        <v>70</v>
      </c>
      <c r="B4704">
        <v>2022</v>
      </c>
      <c r="C4704" t="s">
        <v>5</v>
      </c>
      <c r="D4704" s="35">
        <v>9442738.7499999981</v>
      </c>
      <c r="E4704" s="35">
        <v>8141</v>
      </c>
      <c r="F4704" s="35">
        <v>8908557.7699999996</v>
      </c>
    </row>
    <row r="4705" spans="1:6" x14ac:dyDescent="0.3">
      <c r="A4705" t="s">
        <v>70</v>
      </c>
      <c r="B4705">
        <v>2022</v>
      </c>
      <c r="C4705" t="s">
        <v>17</v>
      </c>
      <c r="D4705" s="35">
        <v>411035.73</v>
      </c>
      <c r="E4705" s="35">
        <v>31621</v>
      </c>
      <c r="F4705" s="35">
        <v>228516.13</v>
      </c>
    </row>
    <row r="4706" spans="1:6" x14ac:dyDescent="0.3">
      <c r="A4706" t="s">
        <v>70</v>
      </c>
      <c r="B4706">
        <v>2022</v>
      </c>
      <c r="C4706" t="s">
        <v>9</v>
      </c>
      <c r="D4706" s="35">
        <v>13249407.75</v>
      </c>
      <c r="E4706" s="35">
        <v>411841</v>
      </c>
      <c r="F4706" s="35">
        <v>4911138.6399999997</v>
      </c>
    </row>
    <row r="4707" spans="1:6" x14ac:dyDescent="0.3">
      <c r="A4707" t="s">
        <v>70</v>
      </c>
      <c r="B4707">
        <v>2022</v>
      </c>
      <c r="C4707" t="s">
        <v>8</v>
      </c>
      <c r="D4707" s="35">
        <v>5343498.5</v>
      </c>
      <c r="E4707" s="35">
        <v>479</v>
      </c>
      <c r="F4707" s="35">
        <v>5343498.5</v>
      </c>
    </row>
    <row r="4708" spans="1:6" x14ac:dyDescent="0.3">
      <c r="A4708" t="s">
        <v>70</v>
      </c>
      <c r="B4708">
        <v>2022</v>
      </c>
      <c r="C4708" t="s">
        <v>6</v>
      </c>
      <c r="D4708" s="35">
        <v>33088799.699999999</v>
      </c>
      <c r="E4708" s="35">
        <v>555751</v>
      </c>
      <c r="F4708" s="35">
        <v>26842074.960000001</v>
      </c>
    </row>
    <row r="4709" spans="1:6" x14ac:dyDescent="0.3">
      <c r="A4709" t="s">
        <v>70</v>
      </c>
      <c r="B4709">
        <v>2022</v>
      </c>
      <c r="C4709" t="s">
        <v>15</v>
      </c>
      <c r="D4709" s="35">
        <v>2978175.35</v>
      </c>
      <c r="E4709" s="35">
        <v>124012</v>
      </c>
      <c r="F4709" s="35">
        <v>968301.79999999993</v>
      </c>
    </row>
    <row r="4710" spans="1:6" x14ac:dyDescent="0.3">
      <c r="A4710" t="s">
        <v>70</v>
      </c>
      <c r="B4710">
        <v>2022</v>
      </c>
      <c r="C4710" t="s">
        <v>18</v>
      </c>
      <c r="D4710" s="35">
        <v>1121592.93</v>
      </c>
      <c r="E4710" s="35">
        <v>12056</v>
      </c>
      <c r="F4710" s="35">
        <v>716382.60999999987</v>
      </c>
    </row>
    <row r="4711" spans="1:6" x14ac:dyDescent="0.3">
      <c r="A4711" t="s">
        <v>70</v>
      </c>
      <c r="B4711">
        <v>2023</v>
      </c>
      <c r="C4711" t="s">
        <v>10</v>
      </c>
      <c r="D4711" s="35">
        <v>15956912.26</v>
      </c>
      <c r="E4711" s="35">
        <v>593956</v>
      </c>
      <c r="F4711" s="35">
        <v>10895074.060000001</v>
      </c>
    </row>
    <row r="4712" spans="1:6" x14ac:dyDescent="0.3">
      <c r="A4712" t="s">
        <v>70</v>
      </c>
      <c r="B4712">
        <v>2023</v>
      </c>
      <c r="C4712" t="s">
        <v>4</v>
      </c>
      <c r="D4712" s="35">
        <v>56159480.200000003</v>
      </c>
      <c r="E4712" s="35">
        <v>185285</v>
      </c>
      <c r="F4712" s="35">
        <v>55450636.460000023</v>
      </c>
    </row>
    <row r="4713" spans="1:6" x14ac:dyDescent="0.3">
      <c r="A4713" t="s">
        <v>70</v>
      </c>
      <c r="B4713">
        <v>2023</v>
      </c>
      <c r="C4713" t="s">
        <v>13</v>
      </c>
      <c r="D4713" s="35">
        <v>7578984.1699999999</v>
      </c>
      <c r="E4713" s="35">
        <v>193511</v>
      </c>
      <c r="F4713" s="35">
        <v>4203417.59</v>
      </c>
    </row>
    <row r="4714" spans="1:6" x14ac:dyDescent="0.3">
      <c r="A4714" t="s">
        <v>70</v>
      </c>
      <c r="B4714">
        <v>2023</v>
      </c>
      <c r="C4714" t="s">
        <v>16</v>
      </c>
      <c r="D4714" s="35">
        <v>3261225.5</v>
      </c>
      <c r="E4714" s="35">
        <v>21469</v>
      </c>
      <c r="F4714" s="35">
        <v>2949414.59</v>
      </c>
    </row>
    <row r="4715" spans="1:6" x14ac:dyDescent="0.3">
      <c r="A4715" t="s">
        <v>70</v>
      </c>
      <c r="B4715">
        <v>2023</v>
      </c>
      <c r="C4715" t="s">
        <v>14</v>
      </c>
      <c r="D4715" s="35">
        <v>10152967.189999999</v>
      </c>
      <c r="E4715" s="35">
        <v>285513</v>
      </c>
      <c r="F4715" s="35">
        <v>7372791.3799999999</v>
      </c>
    </row>
    <row r="4716" spans="1:6" x14ac:dyDescent="0.3">
      <c r="A4716" t="s">
        <v>70</v>
      </c>
      <c r="B4716">
        <v>2023</v>
      </c>
      <c r="C4716" t="s">
        <v>7</v>
      </c>
      <c r="D4716" s="35">
        <v>29033803.34</v>
      </c>
      <c r="E4716" s="35">
        <v>10731</v>
      </c>
      <c r="F4716" s="35">
        <v>28012980.859999999</v>
      </c>
    </row>
    <row r="4717" spans="1:6" x14ac:dyDescent="0.3">
      <c r="A4717" t="s">
        <v>70</v>
      </c>
      <c r="B4717">
        <v>2023</v>
      </c>
      <c r="C4717" t="s">
        <v>11</v>
      </c>
      <c r="D4717" s="35">
        <v>1890734.56</v>
      </c>
      <c r="E4717" s="35">
        <v>7727</v>
      </c>
      <c r="F4717" s="35">
        <v>1645680.07</v>
      </c>
    </row>
    <row r="4718" spans="1:6" x14ac:dyDescent="0.3">
      <c r="A4718" t="s">
        <v>70</v>
      </c>
      <c r="B4718">
        <v>2023</v>
      </c>
      <c r="C4718" t="s">
        <v>3</v>
      </c>
      <c r="D4718" s="35">
        <v>76618401.809999987</v>
      </c>
      <c r="E4718" s="35">
        <v>155958</v>
      </c>
      <c r="F4718" s="35">
        <v>74758766.780000001</v>
      </c>
    </row>
    <row r="4719" spans="1:6" x14ac:dyDescent="0.3">
      <c r="A4719" t="s">
        <v>70</v>
      </c>
      <c r="B4719">
        <v>2023</v>
      </c>
      <c r="C4719" t="s">
        <v>12</v>
      </c>
      <c r="D4719" s="35">
        <v>11046822.99</v>
      </c>
      <c r="E4719" s="35">
        <v>319569</v>
      </c>
      <c r="F4719" s="35">
        <v>7121291.0599999996</v>
      </c>
    </row>
    <row r="4720" spans="1:6" x14ac:dyDescent="0.3">
      <c r="A4720" t="s">
        <v>70</v>
      </c>
      <c r="B4720">
        <v>2023</v>
      </c>
      <c r="C4720" t="s">
        <v>2</v>
      </c>
      <c r="D4720" s="35">
        <v>69003491.719999999</v>
      </c>
      <c r="E4720" s="35">
        <v>1026286</v>
      </c>
      <c r="F4720" s="35">
        <v>51734761.369999997</v>
      </c>
    </row>
    <row r="4721" spans="1:6" x14ac:dyDescent="0.3">
      <c r="A4721" t="s">
        <v>70</v>
      </c>
      <c r="B4721">
        <v>2023</v>
      </c>
      <c r="C4721" t="s">
        <v>5</v>
      </c>
      <c r="D4721" s="35">
        <v>4362255.12</v>
      </c>
      <c r="E4721" s="35">
        <v>7988</v>
      </c>
      <c r="F4721" s="35">
        <v>4034523.91</v>
      </c>
    </row>
    <row r="4722" spans="1:6" x14ac:dyDescent="0.3">
      <c r="A4722" t="s">
        <v>70</v>
      </c>
      <c r="B4722">
        <v>2023</v>
      </c>
      <c r="C4722" t="s">
        <v>17</v>
      </c>
      <c r="D4722" s="35">
        <v>565237.46</v>
      </c>
      <c r="E4722" s="35">
        <v>32119</v>
      </c>
      <c r="F4722" s="35">
        <v>346238.68999999989</v>
      </c>
    </row>
    <row r="4723" spans="1:6" x14ac:dyDescent="0.3">
      <c r="A4723" t="s">
        <v>70</v>
      </c>
      <c r="B4723">
        <v>2023</v>
      </c>
      <c r="C4723" t="s">
        <v>9</v>
      </c>
      <c r="D4723" s="35">
        <v>13558883.26</v>
      </c>
      <c r="E4723" s="35">
        <v>419146</v>
      </c>
      <c r="F4723" s="35">
        <v>4432444.05</v>
      </c>
    </row>
    <row r="4724" spans="1:6" x14ac:dyDescent="0.3">
      <c r="A4724" t="s">
        <v>70</v>
      </c>
      <c r="B4724">
        <v>2023</v>
      </c>
      <c r="C4724" t="s">
        <v>8</v>
      </c>
      <c r="D4724" s="35">
        <v>1052430.94</v>
      </c>
      <c r="E4724" s="35">
        <v>115</v>
      </c>
      <c r="F4724" s="35">
        <v>1052430.94</v>
      </c>
    </row>
    <row r="4725" spans="1:6" x14ac:dyDescent="0.3">
      <c r="A4725" t="s">
        <v>70</v>
      </c>
      <c r="B4725">
        <v>2023</v>
      </c>
      <c r="C4725" t="s">
        <v>6</v>
      </c>
      <c r="D4725" s="35">
        <v>29766130.170000002</v>
      </c>
      <c r="E4725" s="35">
        <v>557050</v>
      </c>
      <c r="F4725" s="35">
        <v>24212039.960000001</v>
      </c>
    </row>
    <row r="4726" spans="1:6" x14ac:dyDescent="0.3">
      <c r="A4726" t="s">
        <v>70</v>
      </c>
      <c r="B4726">
        <v>2023</v>
      </c>
      <c r="C4726" t="s">
        <v>15</v>
      </c>
      <c r="D4726" s="35">
        <v>1851114.4200000011</v>
      </c>
      <c r="E4726" s="35">
        <v>96256</v>
      </c>
      <c r="F4726" s="35">
        <v>335567.83</v>
      </c>
    </row>
    <row r="4727" spans="1:6" x14ac:dyDescent="0.3">
      <c r="A4727" t="s">
        <v>70</v>
      </c>
      <c r="B4727">
        <v>2023</v>
      </c>
      <c r="C4727" t="s">
        <v>18</v>
      </c>
      <c r="D4727" s="35">
        <v>837875.29999999993</v>
      </c>
      <c r="E4727" s="35">
        <v>10765</v>
      </c>
      <c r="F4727" s="35">
        <v>707109.63</v>
      </c>
    </row>
    <row r="4728" spans="1:6" x14ac:dyDescent="0.3">
      <c r="A4728" t="s">
        <v>70</v>
      </c>
      <c r="B4728">
        <v>2024</v>
      </c>
      <c r="C4728" t="s">
        <v>10</v>
      </c>
      <c r="D4728" s="35">
        <v>15285538.530000011</v>
      </c>
      <c r="E4728" s="35">
        <v>491305</v>
      </c>
      <c r="F4728" s="35">
        <v>11500392.539999999</v>
      </c>
    </row>
    <row r="4729" spans="1:6" x14ac:dyDescent="0.3">
      <c r="A4729" t="s">
        <v>70</v>
      </c>
      <c r="B4729">
        <v>2024</v>
      </c>
      <c r="C4729" t="s">
        <v>4</v>
      </c>
      <c r="D4729" s="35">
        <v>54141550.100000009</v>
      </c>
      <c r="E4729" s="35">
        <v>163760</v>
      </c>
      <c r="F4729" s="35">
        <v>53596903.080000013</v>
      </c>
    </row>
    <row r="4730" spans="1:6" x14ac:dyDescent="0.3">
      <c r="A4730" t="s">
        <v>70</v>
      </c>
      <c r="B4730">
        <v>2024</v>
      </c>
      <c r="C4730" t="s">
        <v>13</v>
      </c>
      <c r="D4730" s="35">
        <v>6669220.4399999985</v>
      </c>
      <c r="E4730" s="35">
        <v>154890</v>
      </c>
      <c r="F4730" s="35">
        <v>4153026.05</v>
      </c>
    </row>
    <row r="4731" spans="1:6" x14ac:dyDescent="0.3">
      <c r="A4731" t="s">
        <v>70</v>
      </c>
      <c r="B4731">
        <v>2024</v>
      </c>
      <c r="C4731" t="s">
        <v>16</v>
      </c>
      <c r="D4731" s="35">
        <v>3167572.71</v>
      </c>
      <c r="E4731" s="35">
        <v>18885</v>
      </c>
      <c r="F4731" s="35">
        <v>2912244.919999999</v>
      </c>
    </row>
    <row r="4732" spans="1:6" x14ac:dyDescent="0.3">
      <c r="A4732" t="s">
        <v>70</v>
      </c>
      <c r="B4732">
        <v>2024</v>
      </c>
      <c r="C4732" t="s">
        <v>14</v>
      </c>
      <c r="D4732" s="35">
        <v>11011797.99</v>
      </c>
      <c r="E4732" s="35">
        <v>256292</v>
      </c>
      <c r="F4732" s="35">
        <v>8890407.459999999</v>
      </c>
    </row>
    <row r="4733" spans="1:6" x14ac:dyDescent="0.3">
      <c r="A4733" t="s">
        <v>70</v>
      </c>
      <c r="B4733">
        <v>2024</v>
      </c>
      <c r="C4733" t="s">
        <v>7</v>
      </c>
      <c r="D4733" s="35">
        <v>28121006.760000002</v>
      </c>
      <c r="E4733" s="35">
        <v>9766</v>
      </c>
      <c r="F4733" s="35">
        <v>27155356.489999998</v>
      </c>
    </row>
    <row r="4734" spans="1:6" x14ac:dyDescent="0.3">
      <c r="A4734" t="s">
        <v>70</v>
      </c>
      <c r="B4734">
        <v>2024</v>
      </c>
      <c r="C4734" t="s">
        <v>11</v>
      </c>
      <c r="D4734" s="35">
        <v>1666828.65</v>
      </c>
      <c r="E4734" s="35">
        <v>6764</v>
      </c>
      <c r="F4734" s="35">
        <v>1497671.33</v>
      </c>
    </row>
    <row r="4735" spans="1:6" x14ac:dyDescent="0.3">
      <c r="A4735" t="s">
        <v>70</v>
      </c>
      <c r="B4735">
        <v>2024</v>
      </c>
      <c r="C4735" t="s">
        <v>3</v>
      </c>
      <c r="D4735" s="35">
        <v>62406949.259999998</v>
      </c>
      <c r="E4735" s="35">
        <v>138909</v>
      </c>
      <c r="F4735" s="35">
        <v>60960568.789999992</v>
      </c>
    </row>
    <row r="4736" spans="1:6" x14ac:dyDescent="0.3">
      <c r="A4736" t="s">
        <v>70</v>
      </c>
      <c r="B4736">
        <v>2024</v>
      </c>
      <c r="C4736" t="s">
        <v>12</v>
      </c>
      <c r="D4736" s="35">
        <v>11827018.289999999</v>
      </c>
      <c r="E4736" s="35">
        <v>301261</v>
      </c>
      <c r="F4736" s="35">
        <v>8054701.9500000011</v>
      </c>
    </row>
    <row r="4737" spans="1:6" x14ac:dyDescent="0.3">
      <c r="A4737" t="s">
        <v>70</v>
      </c>
      <c r="B4737">
        <v>2024</v>
      </c>
      <c r="C4737" t="s">
        <v>2</v>
      </c>
      <c r="D4737" s="35">
        <v>61316035.149999999</v>
      </c>
      <c r="E4737" s="35">
        <v>931730</v>
      </c>
      <c r="F4737" s="35">
        <v>47211611.18999999</v>
      </c>
    </row>
    <row r="4738" spans="1:6" x14ac:dyDescent="0.3">
      <c r="A4738" t="s">
        <v>70</v>
      </c>
      <c r="B4738">
        <v>2024</v>
      </c>
      <c r="C4738" t="s">
        <v>5</v>
      </c>
      <c r="D4738" s="35">
        <v>3826003.18</v>
      </c>
      <c r="E4738" s="35">
        <v>6723</v>
      </c>
      <c r="F4738" s="35">
        <v>3370310.67</v>
      </c>
    </row>
    <row r="4739" spans="1:6" x14ac:dyDescent="0.3">
      <c r="A4739" t="s">
        <v>70</v>
      </c>
      <c r="B4739">
        <v>2024</v>
      </c>
      <c r="C4739" t="s">
        <v>17</v>
      </c>
      <c r="D4739" s="35">
        <v>628115.83000000007</v>
      </c>
      <c r="E4739" s="35">
        <v>27936</v>
      </c>
      <c r="F4739" s="35">
        <v>297111.39</v>
      </c>
    </row>
    <row r="4740" spans="1:6" x14ac:dyDescent="0.3">
      <c r="A4740" t="s">
        <v>70</v>
      </c>
      <c r="B4740">
        <v>2024</v>
      </c>
      <c r="C4740" t="s">
        <v>9</v>
      </c>
      <c r="D4740" s="35">
        <v>13444369.58</v>
      </c>
      <c r="E4740" s="35">
        <v>386487</v>
      </c>
      <c r="F4740" s="35">
        <v>5989639.2399999993</v>
      </c>
    </row>
    <row r="4741" spans="1:6" x14ac:dyDescent="0.3">
      <c r="A4741" t="s">
        <v>70</v>
      </c>
      <c r="B4741">
        <v>2024</v>
      </c>
      <c r="C4741" t="s">
        <v>8</v>
      </c>
      <c r="D4741" s="35">
        <v>1913628.15</v>
      </c>
      <c r="E4741" s="35">
        <v>154</v>
      </c>
      <c r="F4741" s="35">
        <v>1913628.15</v>
      </c>
    </row>
    <row r="4742" spans="1:6" x14ac:dyDescent="0.3">
      <c r="A4742" t="s">
        <v>70</v>
      </c>
      <c r="B4742">
        <v>2024</v>
      </c>
      <c r="C4742" t="s">
        <v>6</v>
      </c>
      <c r="D4742" s="35">
        <v>23511463.620000001</v>
      </c>
      <c r="E4742" s="35">
        <v>488221</v>
      </c>
      <c r="F4742" s="35">
        <v>18575276.489999998</v>
      </c>
    </row>
    <row r="4743" spans="1:6" x14ac:dyDescent="0.3">
      <c r="A4743" t="s">
        <v>70</v>
      </c>
      <c r="B4743">
        <v>2024</v>
      </c>
      <c r="C4743" t="s">
        <v>15</v>
      </c>
      <c r="D4743" s="35">
        <v>1379931.85</v>
      </c>
      <c r="E4743" s="35">
        <v>74974</v>
      </c>
      <c r="F4743" s="35">
        <v>273791.40999999997</v>
      </c>
    </row>
    <row r="4744" spans="1:6" x14ac:dyDescent="0.3">
      <c r="A4744" t="s">
        <v>70</v>
      </c>
      <c r="B4744">
        <v>2024</v>
      </c>
      <c r="C4744" t="s">
        <v>18</v>
      </c>
      <c r="D4744" s="35">
        <v>639590.27</v>
      </c>
      <c r="E4744" s="35">
        <v>8690</v>
      </c>
      <c r="F4744" s="35">
        <v>421931.37</v>
      </c>
    </row>
    <row r="4745" spans="1:6" x14ac:dyDescent="0.3">
      <c r="A4745" t="s">
        <v>70</v>
      </c>
      <c r="B4745">
        <v>2025</v>
      </c>
      <c r="C4745" t="s">
        <v>10</v>
      </c>
      <c r="D4745" s="35">
        <v>15058466.48</v>
      </c>
      <c r="E4745" s="35">
        <v>468323</v>
      </c>
      <c r="F4745" s="35">
        <v>11782188.27</v>
      </c>
    </row>
    <row r="4746" spans="1:6" x14ac:dyDescent="0.3">
      <c r="A4746" t="s">
        <v>70</v>
      </c>
      <c r="B4746">
        <v>2025</v>
      </c>
      <c r="C4746" t="s">
        <v>4</v>
      </c>
      <c r="D4746" s="35">
        <v>62706250.099999987</v>
      </c>
      <c r="E4746" s="35">
        <v>162296</v>
      </c>
      <c r="F4746" s="35">
        <v>62153047.529999986</v>
      </c>
    </row>
    <row r="4747" spans="1:6" x14ac:dyDescent="0.3">
      <c r="A4747" t="s">
        <v>70</v>
      </c>
      <c r="B4747">
        <v>2025</v>
      </c>
      <c r="C4747" t="s">
        <v>13</v>
      </c>
      <c r="D4747" s="35">
        <v>6558043.4199999971</v>
      </c>
      <c r="E4747" s="35">
        <v>148178</v>
      </c>
      <c r="F4747" s="35">
        <v>4540954.2800000012</v>
      </c>
    </row>
    <row r="4748" spans="1:6" x14ac:dyDescent="0.3">
      <c r="A4748" t="s">
        <v>70</v>
      </c>
      <c r="B4748">
        <v>2025</v>
      </c>
      <c r="C4748" t="s">
        <v>16</v>
      </c>
      <c r="D4748" s="35">
        <v>3167249.73</v>
      </c>
      <c r="E4748" s="35">
        <v>18552</v>
      </c>
      <c r="F4748" s="35">
        <v>2918681.9</v>
      </c>
    </row>
    <row r="4749" spans="1:6" x14ac:dyDescent="0.3">
      <c r="A4749" t="s">
        <v>70</v>
      </c>
      <c r="B4749">
        <v>2025</v>
      </c>
      <c r="C4749" t="s">
        <v>14</v>
      </c>
      <c r="D4749" s="35">
        <v>10476724.52</v>
      </c>
      <c r="E4749" s="35">
        <v>250295</v>
      </c>
      <c r="F4749" s="35">
        <v>8559719.629999999</v>
      </c>
    </row>
    <row r="4750" spans="1:6" x14ac:dyDescent="0.3">
      <c r="A4750" t="s">
        <v>70</v>
      </c>
      <c r="B4750">
        <v>2025</v>
      </c>
      <c r="C4750" t="s">
        <v>7</v>
      </c>
      <c r="D4750" s="35">
        <v>29454729.420000002</v>
      </c>
      <c r="E4750" s="35">
        <v>9623</v>
      </c>
      <c r="F4750" s="35">
        <v>28442516.579999998</v>
      </c>
    </row>
    <row r="4751" spans="1:6" x14ac:dyDescent="0.3">
      <c r="A4751" t="s">
        <v>70</v>
      </c>
      <c r="B4751">
        <v>2025</v>
      </c>
      <c r="C4751" t="s">
        <v>11</v>
      </c>
      <c r="D4751" s="35">
        <v>1315898.79</v>
      </c>
      <c r="E4751" s="35">
        <v>8636</v>
      </c>
      <c r="F4751" s="35">
        <v>1109585.53</v>
      </c>
    </row>
    <row r="4752" spans="1:6" x14ac:dyDescent="0.3">
      <c r="A4752" t="s">
        <v>70</v>
      </c>
      <c r="B4752">
        <v>2025</v>
      </c>
      <c r="C4752" t="s">
        <v>3</v>
      </c>
      <c r="D4752" s="35">
        <v>60266057.210000008</v>
      </c>
      <c r="E4752" s="35">
        <v>128422</v>
      </c>
      <c r="F4752" s="35">
        <v>59056243.140000001</v>
      </c>
    </row>
    <row r="4753" spans="1:6" x14ac:dyDescent="0.3">
      <c r="A4753" t="s">
        <v>70</v>
      </c>
      <c r="B4753">
        <v>2025</v>
      </c>
      <c r="C4753" t="s">
        <v>12</v>
      </c>
      <c r="D4753" s="35">
        <v>8387271.4199999999</v>
      </c>
      <c r="E4753" s="35">
        <v>271744</v>
      </c>
      <c r="F4753" s="35">
        <v>5289374.8099999996</v>
      </c>
    </row>
    <row r="4754" spans="1:6" x14ac:dyDescent="0.3">
      <c r="A4754" t="s">
        <v>70</v>
      </c>
      <c r="B4754">
        <v>2025</v>
      </c>
      <c r="C4754" t="s">
        <v>2</v>
      </c>
      <c r="D4754" s="35">
        <v>63881070.110000007</v>
      </c>
      <c r="E4754" s="35">
        <v>913385</v>
      </c>
      <c r="F4754" s="35">
        <v>50800232.149999999</v>
      </c>
    </row>
    <row r="4755" spans="1:6" x14ac:dyDescent="0.3">
      <c r="A4755" t="s">
        <v>70</v>
      </c>
      <c r="B4755">
        <v>2025</v>
      </c>
      <c r="C4755" t="s">
        <v>5</v>
      </c>
      <c r="D4755" s="35">
        <v>2926864.82</v>
      </c>
      <c r="E4755" s="35">
        <v>6579</v>
      </c>
      <c r="F4755" s="35">
        <v>2427735.56</v>
      </c>
    </row>
    <row r="4756" spans="1:6" x14ac:dyDescent="0.3">
      <c r="A4756" t="s">
        <v>70</v>
      </c>
      <c r="B4756">
        <v>2025</v>
      </c>
      <c r="C4756" t="s">
        <v>17</v>
      </c>
      <c r="D4756" s="35">
        <v>363843.31</v>
      </c>
      <c r="E4756" s="35">
        <v>26697</v>
      </c>
      <c r="F4756" s="35">
        <v>194085.32</v>
      </c>
    </row>
    <row r="4757" spans="1:6" x14ac:dyDescent="0.3">
      <c r="A4757" t="s">
        <v>70</v>
      </c>
      <c r="B4757">
        <v>2025</v>
      </c>
      <c r="C4757" t="s">
        <v>9</v>
      </c>
      <c r="D4757" s="35">
        <v>13692967.970000001</v>
      </c>
      <c r="E4757" s="35">
        <v>380180</v>
      </c>
      <c r="F4757" s="35">
        <v>7439518.2699999996</v>
      </c>
    </row>
    <row r="4758" spans="1:6" x14ac:dyDescent="0.3">
      <c r="A4758" t="s">
        <v>70</v>
      </c>
      <c r="B4758">
        <v>2025</v>
      </c>
      <c r="C4758" t="s">
        <v>8</v>
      </c>
      <c r="D4758" s="35">
        <v>2304802.75</v>
      </c>
      <c r="E4758" s="35">
        <v>148</v>
      </c>
      <c r="F4758" s="35">
        <v>2304802.75</v>
      </c>
    </row>
    <row r="4759" spans="1:6" x14ac:dyDescent="0.3">
      <c r="A4759" t="s">
        <v>70</v>
      </c>
      <c r="B4759">
        <v>2025</v>
      </c>
      <c r="C4759" t="s">
        <v>6</v>
      </c>
      <c r="D4759" s="35">
        <v>23315626.879999999</v>
      </c>
      <c r="E4759" s="35">
        <v>458140</v>
      </c>
      <c r="F4759" s="35">
        <v>18577983.75</v>
      </c>
    </row>
    <row r="4760" spans="1:6" x14ac:dyDescent="0.3">
      <c r="A4760" t="s">
        <v>70</v>
      </c>
      <c r="B4760">
        <v>2025</v>
      </c>
      <c r="C4760" t="s">
        <v>15</v>
      </c>
      <c r="D4760" s="35">
        <v>1655687.52</v>
      </c>
      <c r="E4760" s="35">
        <v>68303</v>
      </c>
      <c r="F4760" s="35">
        <v>834508.7799999998</v>
      </c>
    </row>
    <row r="4761" spans="1:6" x14ac:dyDescent="0.3">
      <c r="A4761" t="s">
        <v>70</v>
      </c>
      <c r="B4761">
        <v>2025</v>
      </c>
      <c r="C4761" t="s">
        <v>18</v>
      </c>
      <c r="D4761" s="35">
        <v>601544.30999999994</v>
      </c>
      <c r="E4761" s="35">
        <v>8296</v>
      </c>
      <c r="F4761" s="35">
        <v>267878.23</v>
      </c>
    </row>
    <row r="4762" spans="1:6" x14ac:dyDescent="0.3">
      <c r="A4762" t="s">
        <v>71</v>
      </c>
      <c r="B4762">
        <v>2019</v>
      </c>
      <c r="C4762" t="s">
        <v>10</v>
      </c>
      <c r="D4762" s="35">
        <v>17448765.57</v>
      </c>
      <c r="E4762" s="35">
        <v>574050</v>
      </c>
      <c r="F4762" s="35">
        <v>14363941.99</v>
      </c>
    </row>
    <row r="4763" spans="1:6" x14ac:dyDescent="0.3">
      <c r="A4763" t="s">
        <v>71</v>
      </c>
      <c r="B4763">
        <v>2019</v>
      </c>
      <c r="C4763" t="s">
        <v>4</v>
      </c>
      <c r="D4763" s="35">
        <v>52542946.670000017</v>
      </c>
      <c r="E4763" s="35">
        <v>191115</v>
      </c>
      <c r="F4763" s="35">
        <v>52273651.049999997</v>
      </c>
    </row>
    <row r="4764" spans="1:6" x14ac:dyDescent="0.3">
      <c r="A4764" t="s">
        <v>71</v>
      </c>
      <c r="B4764">
        <v>2019</v>
      </c>
      <c r="C4764" t="s">
        <v>13</v>
      </c>
      <c r="D4764" s="35">
        <v>48005444.240000002</v>
      </c>
      <c r="E4764" s="35">
        <v>351940</v>
      </c>
      <c r="F4764" s="35">
        <v>40004725.990000002</v>
      </c>
    </row>
    <row r="4765" spans="1:6" x14ac:dyDescent="0.3">
      <c r="A4765" t="s">
        <v>71</v>
      </c>
      <c r="B4765">
        <v>2019</v>
      </c>
      <c r="C4765" t="s">
        <v>16</v>
      </c>
      <c r="D4765" s="35">
        <v>11509673.689999999</v>
      </c>
      <c r="E4765" s="35">
        <v>29181</v>
      </c>
      <c r="F4765" s="35">
        <v>10446856.75</v>
      </c>
    </row>
    <row r="4766" spans="1:6" x14ac:dyDescent="0.3">
      <c r="A4766" t="s">
        <v>71</v>
      </c>
      <c r="B4766">
        <v>2019</v>
      </c>
      <c r="C4766" t="s">
        <v>14</v>
      </c>
      <c r="D4766" s="35">
        <v>22028841.100000001</v>
      </c>
      <c r="E4766" s="35">
        <v>334313</v>
      </c>
      <c r="F4766" s="35">
        <v>14490572.810000001</v>
      </c>
    </row>
    <row r="4767" spans="1:6" x14ac:dyDescent="0.3">
      <c r="A4767" t="s">
        <v>71</v>
      </c>
      <c r="B4767">
        <v>2019</v>
      </c>
      <c r="C4767" t="s">
        <v>7</v>
      </c>
      <c r="D4767" s="35">
        <v>42930732.390000001</v>
      </c>
      <c r="E4767" s="35">
        <v>19344</v>
      </c>
      <c r="F4767" s="35">
        <v>42743378.479999997</v>
      </c>
    </row>
    <row r="4768" spans="1:6" x14ac:dyDescent="0.3">
      <c r="A4768" t="s">
        <v>71</v>
      </c>
      <c r="B4768">
        <v>2019</v>
      </c>
      <c r="C4768" t="s">
        <v>11</v>
      </c>
      <c r="D4768" s="35">
        <v>57372662.789999999</v>
      </c>
      <c r="E4768" s="35">
        <v>52716</v>
      </c>
      <c r="F4768" s="35">
        <v>55229698.909999996</v>
      </c>
    </row>
    <row r="4769" spans="1:6" x14ac:dyDescent="0.3">
      <c r="A4769" t="s">
        <v>71</v>
      </c>
      <c r="B4769">
        <v>2019</v>
      </c>
      <c r="C4769" t="s">
        <v>3</v>
      </c>
      <c r="D4769" s="35">
        <v>83981043.269999996</v>
      </c>
      <c r="E4769" s="35">
        <v>338889</v>
      </c>
      <c r="F4769" s="35">
        <v>71127276.650000006</v>
      </c>
    </row>
    <row r="4770" spans="1:6" x14ac:dyDescent="0.3">
      <c r="A4770" t="s">
        <v>71</v>
      </c>
      <c r="B4770">
        <v>2019</v>
      </c>
      <c r="C4770" t="s">
        <v>12</v>
      </c>
      <c r="D4770" s="35">
        <v>49749125.919999979</v>
      </c>
      <c r="E4770" s="35">
        <v>954799</v>
      </c>
      <c r="F4770" s="35">
        <v>30994271.84</v>
      </c>
    </row>
    <row r="4771" spans="1:6" x14ac:dyDescent="0.3">
      <c r="A4771" t="s">
        <v>71</v>
      </c>
      <c r="B4771">
        <v>2019</v>
      </c>
      <c r="C4771" t="s">
        <v>2</v>
      </c>
      <c r="D4771" s="35">
        <v>164051715.56</v>
      </c>
      <c r="E4771" s="35">
        <v>1596123</v>
      </c>
      <c r="F4771" s="35">
        <v>125320865.55</v>
      </c>
    </row>
    <row r="4772" spans="1:6" x14ac:dyDescent="0.3">
      <c r="A4772" t="s">
        <v>71</v>
      </c>
      <c r="B4772">
        <v>2019</v>
      </c>
      <c r="C4772" t="s">
        <v>5</v>
      </c>
      <c r="D4772" s="35">
        <v>68831245.600000009</v>
      </c>
      <c r="E4772" s="35">
        <v>27518</v>
      </c>
      <c r="F4772" s="35">
        <v>61530391.049999997</v>
      </c>
    </row>
    <row r="4773" spans="1:6" x14ac:dyDescent="0.3">
      <c r="A4773" t="s">
        <v>71</v>
      </c>
      <c r="B4773">
        <v>2019</v>
      </c>
      <c r="C4773" t="s">
        <v>17</v>
      </c>
      <c r="D4773" s="35">
        <v>23386188.449999999</v>
      </c>
      <c r="E4773" s="35">
        <v>70600</v>
      </c>
      <c r="F4773" s="35">
        <v>725493.15999999992</v>
      </c>
    </row>
    <row r="4774" spans="1:6" x14ac:dyDescent="0.3">
      <c r="A4774" t="s">
        <v>71</v>
      </c>
      <c r="B4774">
        <v>2019</v>
      </c>
      <c r="C4774" t="s">
        <v>9</v>
      </c>
      <c r="D4774" s="35">
        <v>13661076.09</v>
      </c>
      <c r="E4774" s="35">
        <v>455331</v>
      </c>
      <c r="F4774" s="35">
        <v>6157607.2100000018</v>
      </c>
    </row>
    <row r="4775" spans="1:6" x14ac:dyDescent="0.3">
      <c r="A4775" t="s">
        <v>71</v>
      </c>
      <c r="B4775">
        <v>2019</v>
      </c>
      <c r="C4775" t="s">
        <v>8</v>
      </c>
      <c r="D4775" s="35">
        <v>36088080.740000002</v>
      </c>
      <c r="E4775" s="35">
        <v>2862</v>
      </c>
      <c r="F4775" s="35">
        <v>36088080.740000002</v>
      </c>
    </row>
    <row r="4776" spans="1:6" x14ac:dyDescent="0.3">
      <c r="A4776" t="s">
        <v>71</v>
      </c>
      <c r="B4776">
        <v>2019</v>
      </c>
      <c r="C4776" t="s">
        <v>6</v>
      </c>
      <c r="D4776" s="35">
        <v>66636036.469999976</v>
      </c>
      <c r="E4776" s="35">
        <v>1127111</v>
      </c>
      <c r="F4776" s="35">
        <v>50425005.580000013</v>
      </c>
    </row>
    <row r="4777" spans="1:6" x14ac:dyDescent="0.3">
      <c r="A4777" t="s">
        <v>71</v>
      </c>
      <c r="B4777">
        <v>2019</v>
      </c>
      <c r="C4777" t="s">
        <v>15</v>
      </c>
      <c r="D4777" s="35">
        <v>19942215.77</v>
      </c>
      <c r="E4777" s="35">
        <v>434964</v>
      </c>
      <c r="F4777" s="35">
        <v>10578092.9</v>
      </c>
    </row>
    <row r="4778" spans="1:6" x14ac:dyDescent="0.3">
      <c r="A4778" t="s">
        <v>71</v>
      </c>
      <c r="B4778">
        <v>2019</v>
      </c>
      <c r="C4778" t="s">
        <v>18</v>
      </c>
      <c r="D4778" s="35">
        <v>7059670.3700000001</v>
      </c>
      <c r="E4778" s="35">
        <v>32473</v>
      </c>
      <c r="F4778" s="35">
        <v>5367016.13</v>
      </c>
    </row>
    <row r="4779" spans="1:6" x14ac:dyDescent="0.3">
      <c r="A4779" t="s">
        <v>71</v>
      </c>
      <c r="B4779">
        <v>2020</v>
      </c>
      <c r="C4779" t="s">
        <v>10</v>
      </c>
      <c r="D4779" s="35">
        <v>21026256.219999999</v>
      </c>
      <c r="E4779" s="35">
        <v>707801</v>
      </c>
      <c r="F4779" s="35">
        <v>17301989.870000001</v>
      </c>
    </row>
    <row r="4780" spans="1:6" x14ac:dyDescent="0.3">
      <c r="A4780" t="s">
        <v>71</v>
      </c>
      <c r="B4780">
        <v>2020</v>
      </c>
      <c r="C4780" t="s">
        <v>4</v>
      </c>
      <c r="D4780" s="35">
        <v>60986574.420000002</v>
      </c>
      <c r="E4780" s="35">
        <v>228188</v>
      </c>
      <c r="F4780" s="35">
        <v>60701069.950000003</v>
      </c>
    </row>
    <row r="4781" spans="1:6" x14ac:dyDescent="0.3">
      <c r="A4781" t="s">
        <v>71</v>
      </c>
      <c r="B4781">
        <v>2020</v>
      </c>
      <c r="C4781" t="s">
        <v>13</v>
      </c>
      <c r="D4781" s="35">
        <v>46345425.700000003</v>
      </c>
      <c r="E4781" s="35">
        <v>385611</v>
      </c>
      <c r="F4781" s="35">
        <v>38039105.779999986</v>
      </c>
    </row>
    <row r="4782" spans="1:6" x14ac:dyDescent="0.3">
      <c r="A4782" t="s">
        <v>71</v>
      </c>
      <c r="B4782">
        <v>2020</v>
      </c>
      <c r="C4782" t="s">
        <v>16</v>
      </c>
      <c r="D4782" s="35">
        <v>13667623.449999999</v>
      </c>
      <c r="E4782" s="35">
        <v>30745</v>
      </c>
      <c r="F4782" s="35">
        <v>12739268.49</v>
      </c>
    </row>
    <row r="4783" spans="1:6" x14ac:dyDescent="0.3">
      <c r="A4783" t="s">
        <v>71</v>
      </c>
      <c r="B4783">
        <v>2020</v>
      </c>
      <c r="C4783" t="s">
        <v>14</v>
      </c>
      <c r="D4783" s="35">
        <v>23494110.239999998</v>
      </c>
      <c r="E4783" s="35">
        <v>361042</v>
      </c>
      <c r="F4783" s="35">
        <v>12597235.68</v>
      </c>
    </row>
    <row r="4784" spans="1:6" x14ac:dyDescent="0.3">
      <c r="A4784" t="s">
        <v>71</v>
      </c>
      <c r="B4784">
        <v>2020</v>
      </c>
      <c r="C4784" t="s">
        <v>7</v>
      </c>
      <c r="D4784" s="35">
        <v>48860275.229999997</v>
      </c>
      <c r="E4784" s="35">
        <v>19639</v>
      </c>
      <c r="F4784" s="35">
        <v>48507304.639999993</v>
      </c>
    </row>
    <row r="4785" spans="1:6" x14ac:dyDescent="0.3">
      <c r="A4785" t="s">
        <v>71</v>
      </c>
      <c r="B4785">
        <v>2020</v>
      </c>
      <c r="C4785" t="s">
        <v>11</v>
      </c>
      <c r="D4785" s="35">
        <v>50000158.669999987</v>
      </c>
      <c r="E4785" s="35">
        <v>53442</v>
      </c>
      <c r="F4785" s="35">
        <v>41491180.179999992</v>
      </c>
    </row>
    <row r="4786" spans="1:6" x14ac:dyDescent="0.3">
      <c r="A4786" t="s">
        <v>71</v>
      </c>
      <c r="B4786">
        <v>2020</v>
      </c>
      <c r="C4786" t="s">
        <v>3</v>
      </c>
      <c r="D4786" s="35">
        <v>100912130</v>
      </c>
      <c r="E4786" s="35">
        <v>293723</v>
      </c>
      <c r="F4786" s="35">
        <v>90250930.810000002</v>
      </c>
    </row>
    <row r="4787" spans="1:6" x14ac:dyDescent="0.3">
      <c r="A4787" t="s">
        <v>71</v>
      </c>
      <c r="B4787">
        <v>2020</v>
      </c>
      <c r="C4787" t="s">
        <v>12</v>
      </c>
      <c r="D4787" s="35">
        <v>35484629.400000013</v>
      </c>
      <c r="E4787" s="35">
        <v>765904</v>
      </c>
      <c r="F4787" s="35">
        <v>21669228.149999999</v>
      </c>
    </row>
    <row r="4788" spans="1:6" x14ac:dyDescent="0.3">
      <c r="A4788" t="s">
        <v>71</v>
      </c>
      <c r="B4788">
        <v>2020</v>
      </c>
      <c r="C4788" t="s">
        <v>2</v>
      </c>
      <c r="D4788" s="35">
        <v>168474953.04000011</v>
      </c>
      <c r="E4788" s="35">
        <v>1665453</v>
      </c>
      <c r="F4788" s="35">
        <v>136098127.40000001</v>
      </c>
    </row>
    <row r="4789" spans="1:6" x14ac:dyDescent="0.3">
      <c r="A4789" t="s">
        <v>71</v>
      </c>
      <c r="B4789">
        <v>2020</v>
      </c>
      <c r="C4789" t="s">
        <v>5</v>
      </c>
      <c r="D4789" s="35">
        <v>65794934.219999999</v>
      </c>
      <c r="E4789" s="35">
        <v>25385</v>
      </c>
      <c r="F4789" s="35">
        <v>59358914.340000004</v>
      </c>
    </row>
    <row r="4790" spans="1:6" x14ac:dyDescent="0.3">
      <c r="A4790" t="s">
        <v>71</v>
      </c>
      <c r="B4790">
        <v>2020</v>
      </c>
      <c r="C4790" t="s">
        <v>17</v>
      </c>
      <c r="D4790" s="35">
        <v>27164128.640000001</v>
      </c>
      <c r="E4790" s="35">
        <v>77245</v>
      </c>
      <c r="F4790" s="35">
        <v>751127.77000000014</v>
      </c>
    </row>
    <row r="4791" spans="1:6" x14ac:dyDescent="0.3">
      <c r="A4791" t="s">
        <v>71</v>
      </c>
      <c r="B4791">
        <v>2020</v>
      </c>
      <c r="C4791" t="s">
        <v>9</v>
      </c>
      <c r="D4791" s="35">
        <v>13749761.59</v>
      </c>
      <c r="E4791" s="35">
        <v>442218</v>
      </c>
      <c r="F4791" s="35">
        <v>5316093.05</v>
      </c>
    </row>
    <row r="4792" spans="1:6" x14ac:dyDescent="0.3">
      <c r="A4792" t="s">
        <v>71</v>
      </c>
      <c r="B4792">
        <v>2020</v>
      </c>
      <c r="C4792" t="s">
        <v>8</v>
      </c>
      <c r="D4792" s="35">
        <v>44837614.07</v>
      </c>
      <c r="E4792" s="35">
        <v>3336</v>
      </c>
      <c r="F4792" s="35">
        <v>44739155.770000003</v>
      </c>
    </row>
    <row r="4793" spans="1:6" x14ac:dyDescent="0.3">
      <c r="A4793" t="s">
        <v>71</v>
      </c>
      <c r="B4793">
        <v>2020</v>
      </c>
      <c r="C4793" t="s">
        <v>6</v>
      </c>
      <c r="D4793" s="35">
        <v>71225325.550000012</v>
      </c>
      <c r="E4793" s="35">
        <v>1113410</v>
      </c>
      <c r="F4793" s="35">
        <v>52306527.890000008</v>
      </c>
    </row>
    <row r="4794" spans="1:6" x14ac:dyDescent="0.3">
      <c r="A4794" t="s">
        <v>71</v>
      </c>
      <c r="B4794">
        <v>2020</v>
      </c>
      <c r="C4794" t="s">
        <v>15</v>
      </c>
      <c r="D4794" s="35">
        <v>16876730.559999999</v>
      </c>
      <c r="E4794" s="35">
        <v>348995</v>
      </c>
      <c r="F4794" s="35">
        <v>8182175.1500000004</v>
      </c>
    </row>
    <row r="4795" spans="1:6" x14ac:dyDescent="0.3">
      <c r="A4795" t="s">
        <v>71</v>
      </c>
      <c r="B4795">
        <v>2020</v>
      </c>
      <c r="C4795" t="s">
        <v>18</v>
      </c>
      <c r="D4795" s="35">
        <v>10939853.939999999</v>
      </c>
      <c r="E4795" s="35">
        <v>38951</v>
      </c>
      <c r="F4795" s="35">
        <v>8467911.5800000001</v>
      </c>
    </row>
    <row r="4796" spans="1:6" x14ac:dyDescent="0.3">
      <c r="A4796" t="s">
        <v>71</v>
      </c>
      <c r="B4796">
        <v>2021</v>
      </c>
      <c r="C4796" t="s">
        <v>10</v>
      </c>
      <c r="D4796" s="35">
        <v>25575613.890000001</v>
      </c>
      <c r="E4796" s="35">
        <v>687596</v>
      </c>
      <c r="F4796" s="35">
        <v>20305436.039999999</v>
      </c>
    </row>
    <row r="4797" spans="1:6" x14ac:dyDescent="0.3">
      <c r="A4797" t="s">
        <v>71</v>
      </c>
      <c r="B4797">
        <v>2021</v>
      </c>
      <c r="C4797" t="s">
        <v>4</v>
      </c>
      <c r="D4797" s="35">
        <v>64142855.38000001</v>
      </c>
      <c r="E4797" s="35">
        <v>230359</v>
      </c>
      <c r="F4797" s="35">
        <v>63403439.520000003</v>
      </c>
    </row>
    <row r="4798" spans="1:6" x14ac:dyDescent="0.3">
      <c r="A4798" t="s">
        <v>71</v>
      </c>
      <c r="B4798">
        <v>2021</v>
      </c>
      <c r="C4798" t="s">
        <v>13</v>
      </c>
      <c r="D4798" s="35">
        <v>49784075.419999987</v>
      </c>
      <c r="E4798" s="35">
        <v>391454</v>
      </c>
      <c r="F4798" s="35">
        <v>39641986.000000007</v>
      </c>
    </row>
    <row r="4799" spans="1:6" x14ac:dyDescent="0.3">
      <c r="A4799" t="s">
        <v>71</v>
      </c>
      <c r="B4799">
        <v>2021</v>
      </c>
      <c r="C4799" t="s">
        <v>16</v>
      </c>
      <c r="D4799" s="35">
        <v>14079353.560000001</v>
      </c>
      <c r="E4799" s="35">
        <v>31665</v>
      </c>
      <c r="F4799" s="35">
        <v>13182354.91</v>
      </c>
    </row>
    <row r="4800" spans="1:6" x14ac:dyDescent="0.3">
      <c r="A4800" t="s">
        <v>71</v>
      </c>
      <c r="B4800">
        <v>2021</v>
      </c>
      <c r="C4800" t="s">
        <v>14</v>
      </c>
      <c r="D4800" s="35">
        <v>25347709.109999999</v>
      </c>
      <c r="E4800" s="35">
        <v>377070</v>
      </c>
      <c r="F4800" s="35">
        <v>12417390.050000001</v>
      </c>
    </row>
    <row r="4801" spans="1:6" x14ac:dyDescent="0.3">
      <c r="A4801" t="s">
        <v>71</v>
      </c>
      <c r="B4801">
        <v>2021</v>
      </c>
      <c r="C4801" t="s">
        <v>7</v>
      </c>
      <c r="D4801" s="35">
        <v>51945637.869999997</v>
      </c>
      <c r="E4801" s="35">
        <v>19635</v>
      </c>
      <c r="F4801" s="35">
        <v>51226156.159999989</v>
      </c>
    </row>
    <row r="4802" spans="1:6" x14ac:dyDescent="0.3">
      <c r="A4802" t="s">
        <v>71</v>
      </c>
      <c r="B4802">
        <v>2021</v>
      </c>
      <c r="C4802" t="s">
        <v>11</v>
      </c>
      <c r="D4802" s="35">
        <v>55486902.04999999</v>
      </c>
      <c r="E4802" s="35">
        <v>53537</v>
      </c>
      <c r="F4802" s="35">
        <v>52066582.670000002</v>
      </c>
    </row>
    <row r="4803" spans="1:6" x14ac:dyDescent="0.3">
      <c r="A4803" t="s">
        <v>71</v>
      </c>
      <c r="B4803">
        <v>2021</v>
      </c>
      <c r="C4803" t="s">
        <v>3</v>
      </c>
      <c r="D4803" s="35">
        <v>132527497.3</v>
      </c>
      <c r="E4803" s="35">
        <v>341306</v>
      </c>
      <c r="F4803" s="35">
        <v>121768428</v>
      </c>
    </row>
    <row r="4804" spans="1:6" x14ac:dyDescent="0.3">
      <c r="A4804" t="s">
        <v>71</v>
      </c>
      <c r="B4804">
        <v>2021</v>
      </c>
      <c r="C4804" t="s">
        <v>12</v>
      </c>
      <c r="D4804" s="35">
        <v>26170253.859999999</v>
      </c>
      <c r="E4804" s="35">
        <v>817765</v>
      </c>
      <c r="F4804" s="35">
        <v>14462773.960000001</v>
      </c>
    </row>
    <row r="4805" spans="1:6" x14ac:dyDescent="0.3">
      <c r="A4805" t="s">
        <v>71</v>
      </c>
      <c r="B4805">
        <v>2021</v>
      </c>
      <c r="C4805" t="s">
        <v>2</v>
      </c>
      <c r="D4805" s="35">
        <v>184040521.33000001</v>
      </c>
      <c r="E4805" s="35">
        <v>1750133</v>
      </c>
      <c r="F4805" s="35">
        <v>146480525.05000001</v>
      </c>
    </row>
    <row r="4806" spans="1:6" x14ac:dyDescent="0.3">
      <c r="A4806" t="s">
        <v>71</v>
      </c>
      <c r="B4806">
        <v>2021</v>
      </c>
      <c r="C4806" t="s">
        <v>5</v>
      </c>
      <c r="D4806" s="35">
        <v>61003763.07</v>
      </c>
      <c r="E4806" s="35">
        <v>24650</v>
      </c>
      <c r="F4806" s="35">
        <v>56008646.979999997</v>
      </c>
    </row>
    <row r="4807" spans="1:6" x14ac:dyDescent="0.3">
      <c r="A4807" t="s">
        <v>71</v>
      </c>
      <c r="B4807">
        <v>2021</v>
      </c>
      <c r="C4807" t="s">
        <v>17</v>
      </c>
      <c r="D4807" s="35">
        <v>24201480.620000001</v>
      </c>
      <c r="E4807" s="35">
        <v>78178</v>
      </c>
      <c r="F4807" s="35">
        <v>1106802.6399999999</v>
      </c>
    </row>
    <row r="4808" spans="1:6" x14ac:dyDescent="0.3">
      <c r="A4808" t="s">
        <v>71</v>
      </c>
      <c r="B4808">
        <v>2021</v>
      </c>
      <c r="C4808" t="s">
        <v>9</v>
      </c>
      <c r="D4808" s="35">
        <v>14467665.710000001</v>
      </c>
      <c r="E4808" s="35">
        <v>436579</v>
      </c>
      <c r="F4808" s="35">
        <v>5357633.3699999992</v>
      </c>
    </row>
    <row r="4809" spans="1:6" x14ac:dyDescent="0.3">
      <c r="A4809" t="s">
        <v>71</v>
      </c>
      <c r="B4809">
        <v>2021</v>
      </c>
      <c r="C4809" t="s">
        <v>8</v>
      </c>
      <c r="D4809" s="35">
        <v>56651526.309999987</v>
      </c>
      <c r="E4809" s="35">
        <v>3584</v>
      </c>
      <c r="F4809" s="35">
        <v>56544463.479999997</v>
      </c>
    </row>
    <row r="4810" spans="1:6" x14ac:dyDescent="0.3">
      <c r="A4810" t="s">
        <v>71</v>
      </c>
      <c r="B4810">
        <v>2021</v>
      </c>
      <c r="C4810" t="s">
        <v>6</v>
      </c>
      <c r="D4810" s="35">
        <v>74060059.819999993</v>
      </c>
      <c r="E4810" s="35">
        <v>1149575</v>
      </c>
      <c r="F4810" s="35">
        <v>51823523.640000001</v>
      </c>
    </row>
    <row r="4811" spans="1:6" x14ac:dyDescent="0.3">
      <c r="A4811" t="s">
        <v>71</v>
      </c>
      <c r="B4811">
        <v>2021</v>
      </c>
      <c r="C4811" t="s">
        <v>15</v>
      </c>
      <c r="D4811" s="35">
        <v>13838568.779999999</v>
      </c>
      <c r="E4811" s="35">
        <v>305583</v>
      </c>
      <c r="F4811" s="35">
        <v>6735405.04</v>
      </c>
    </row>
    <row r="4812" spans="1:6" x14ac:dyDescent="0.3">
      <c r="A4812" t="s">
        <v>71</v>
      </c>
      <c r="B4812">
        <v>2021</v>
      </c>
      <c r="C4812" t="s">
        <v>18</v>
      </c>
      <c r="D4812" s="35">
        <v>5749516.3900000006</v>
      </c>
      <c r="E4812" s="35">
        <v>33832</v>
      </c>
      <c r="F4812" s="35">
        <v>4441515.0500000007</v>
      </c>
    </row>
    <row r="4813" spans="1:6" x14ac:dyDescent="0.3">
      <c r="A4813" t="s">
        <v>71</v>
      </c>
      <c r="B4813">
        <v>2022</v>
      </c>
      <c r="C4813" t="s">
        <v>10</v>
      </c>
      <c r="D4813" s="35">
        <v>28849528.100000001</v>
      </c>
      <c r="E4813" s="35">
        <v>727237</v>
      </c>
      <c r="F4813" s="35">
        <v>23807890.489999998</v>
      </c>
    </row>
    <row r="4814" spans="1:6" x14ac:dyDescent="0.3">
      <c r="A4814" t="s">
        <v>71</v>
      </c>
      <c r="B4814">
        <v>2022</v>
      </c>
      <c r="C4814" t="s">
        <v>4</v>
      </c>
      <c r="D4814" s="35">
        <v>77585437.650000006</v>
      </c>
      <c r="E4814" s="35">
        <v>261781</v>
      </c>
      <c r="F4814" s="35">
        <v>76862217.619999975</v>
      </c>
    </row>
    <row r="4815" spans="1:6" x14ac:dyDescent="0.3">
      <c r="A4815" t="s">
        <v>71</v>
      </c>
      <c r="B4815">
        <v>2022</v>
      </c>
      <c r="C4815" t="s">
        <v>13</v>
      </c>
      <c r="D4815" s="35">
        <v>53924054.740000002</v>
      </c>
      <c r="E4815" s="35">
        <v>405946</v>
      </c>
      <c r="F4815" s="35">
        <v>42922573.95000001</v>
      </c>
    </row>
    <row r="4816" spans="1:6" x14ac:dyDescent="0.3">
      <c r="A4816" t="s">
        <v>71</v>
      </c>
      <c r="B4816">
        <v>2022</v>
      </c>
      <c r="C4816" t="s">
        <v>16</v>
      </c>
      <c r="D4816" s="35">
        <v>15410282.970000001</v>
      </c>
      <c r="E4816" s="35">
        <v>31813</v>
      </c>
      <c r="F4816" s="35">
        <v>14603703.800000001</v>
      </c>
    </row>
    <row r="4817" spans="1:6" x14ac:dyDescent="0.3">
      <c r="A4817" t="s">
        <v>71</v>
      </c>
      <c r="B4817">
        <v>2022</v>
      </c>
      <c r="C4817" t="s">
        <v>14</v>
      </c>
      <c r="D4817" s="35">
        <v>28192626.690000001</v>
      </c>
      <c r="E4817" s="35">
        <v>407767</v>
      </c>
      <c r="F4817" s="35">
        <v>13388714.220000001</v>
      </c>
    </row>
    <row r="4818" spans="1:6" x14ac:dyDescent="0.3">
      <c r="A4818" t="s">
        <v>71</v>
      </c>
      <c r="B4818">
        <v>2022</v>
      </c>
      <c r="C4818" t="s">
        <v>7</v>
      </c>
      <c r="D4818" s="35">
        <v>54063128.409999982</v>
      </c>
      <c r="E4818" s="35">
        <v>18890</v>
      </c>
      <c r="F4818" s="35">
        <v>53630562.549999997</v>
      </c>
    </row>
    <row r="4819" spans="1:6" x14ac:dyDescent="0.3">
      <c r="A4819" t="s">
        <v>71</v>
      </c>
      <c r="B4819">
        <v>2022</v>
      </c>
      <c r="C4819" t="s">
        <v>11</v>
      </c>
      <c r="D4819" s="35">
        <v>66620406.670000009</v>
      </c>
      <c r="E4819" s="35">
        <v>51406</v>
      </c>
      <c r="F4819" s="35">
        <v>63263683.490000002</v>
      </c>
    </row>
    <row r="4820" spans="1:6" x14ac:dyDescent="0.3">
      <c r="A4820" t="s">
        <v>71</v>
      </c>
      <c r="B4820">
        <v>2022</v>
      </c>
      <c r="C4820" t="s">
        <v>3</v>
      </c>
      <c r="D4820" s="35">
        <v>178244860.96000001</v>
      </c>
      <c r="E4820" s="35">
        <v>397822</v>
      </c>
      <c r="F4820" s="35">
        <v>165700929.72</v>
      </c>
    </row>
    <row r="4821" spans="1:6" x14ac:dyDescent="0.3">
      <c r="A4821" t="s">
        <v>71</v>
      </c>
      <c r="B4821">
        <v>2022</v>
      </c>
      <c r="C4821" t="s">
        <v>12</v>
      </c>
      <c r="D4821" s="35">
        <v>30557251.879999999</v>
      </c>
      <c r="E4821" s="35">
        <v>1013096</v>
      </c>
      <c r="F4821" s="35">
        <v>14486747.99</v>
      </c>
    </row>
    <row r="4822" spans="1:6" x14ac:dyDescent="0.3">
      <c r="A4822" t="s">
        <v>71</v>
      </c>
      <c r="B4822">
        <v>2022</v>
      </c>
      <c r="C4822" t="s">
        <v>2</v>
      </c>
      <c r="D4822" s="35">
        <v>190344981.90000001</v>
      </c>
      <c r="E4822" s="35">
        <v>1851105</v>
      </c>
      <c r="F4822" s="35">
        <v>157747533.27000001</v>
      </c>
    </row>
    <row r="4823" spans="1:6" x14ac:dyDescent="0.3">
      <c r="A4823" t="s">
        <v>71</v>
      </c>
      <c r="B4823">
        <v>2022</v>
      </c>
      <c r="C4823" t="s">
        <v>5</v>
      </c>
      <c r="D4823" s="35">
        <v>67302295.489999995</v>
      </c>
      <c r="E4823" s="35">
        <v>24693</v>
      </c>
      <c r="F4823" s="35">
        <v>61478968.289999992</v>
      </c>
    </row>
    <row r="4824" spans="1:6" x14ac:dyDescent="0.3">
      <c r="A4824" t="s">
        <v>71</v>
      </c>
      <c r="B4824">
        <v>2022</v>
      </c>
      <c r="C4824" t="s">
        <v>17</v>
      </c>
      <c r="D4824" s="35">
        <v>24856829.02</v>
      </c>
      <c r="E4824" s="35">
        <v>80107</v>
      </c>
      <c r="F4824" s="35">
        <v>1093661.53</v>
      </c>
    </row>
    <row r="4825" spans="1:6" x14ac:dyDescent="0.3">
      <c r="A4825" t="s">
        <v>71</v>
      </c>
      <c r="B4825">
        <v>2022</v>
      </c>
      <c r="C4825" t="s">
        <v>9</v>
      </c>
      <c r="D4825" s="35">
        <v>13576161.33</v>
      </c>
      <c r="E4825" s="35">
        <v>460438</v>
      </c>
      <c r="F4825" s="35">
        <v>4255465.63</v>
      </c>
    </row>
    <row r="4826" spans="1:6" x14ac:dyDescent="0.3">
      <c r="A4826" t="s">
        <v>71</v>
      </c>
      <c r="B4826">
        <v>2022</v>
      </c>
      <c r="C4826" t="s">
        <v>8</v>
      </c>
      <c r="D4826" s="35">
        <v>76914967.699999988</v>
      </c>
      <c r="E4826" s="35">
        <v>4334</v>
      </c>
      <c r="F4826" s="35">
        <v>76433195.199999988</v>
      </c>
    </row>
    <row r="4827" spans="1:6" x14ac:dyDescent="0.3">
      <c r="A4827" t="s">
        <v>71</v>
      </c>
      <c r="B4827">
        <v>2022</v>
      </c>
      <c r="C4827" t="s">
        <v>6</v>
      </c>
      <c r="D4827" s="35">
        <v>76194567.600000024</v>
      </c>
      <c r="E4827" s="35">
        <v>1214280</v>
      </c>
      <c r="F4827" s="35">
        <v>52082878.479999989</v>
      </c>
    </row>
    <row r="4828" spans="1:6" x14ac:dyDescent="0.3">
      <c r="A4828" t="s">
        <v>71</v>
      </c>
      <c r="B4828">
        <v>2022</v>
      </c>
      <c r="C4828" t="s">
        <v>15</v>
      </c>
      <c r="D4828" s="35">
        <v>12100639.57</v>
      </c>
      <c r="E4828" s="35">
        <v>254486</v>
      </c>
      <c r="F4828" s="35">
        <v>5670267.6899999985</v>
      </c>
    </row>
    <row r="4829" spans="1:6" x14ac:dyDescent="0.3">
      <c r="A4829" t="s">
        <v>71</v>
      </c>
      <c r="B4829">
        <v>2022</v>
      </c>
      <c r="C4829" t="s">
        <v>18</v>
      </c>
      <c r="D4829" s="35">
        <v>4881583.96</v>
      </c>
      <c r="E4829" s="35">
        <v>31157</v>
      </c>
      <c r="F4829" s="35">
        <v>3017112.28</v>
      </c>
    </row>
    <row r="4830" spans="1:6" x14ac:dyDescent="0.3">
      <c r="A4830" t="s">
        <v>71</v>
      </c>
      <c r="B4830">
        <v>2023</v>
      </c>
      <c r="C4830" t="s">
        <v>10</v>
      </c>
      <c r="D4830" s="35">
        <v>31315372.199999992</v>
      </c>
      <c r="E4830" s="35">
        <v>834727</v>
      </c>
      <c r="F4830" s="35">
        <v>26387634.190000009</v>
      </c>
    </row>
    <row r="4831" spans="1:6" x14ac:dyDescent="0.3">
      <c r="A4831" t="s">
        <v>71</v>
      </c>
      <c r="B4831">
        <v>2023</v>
      </c>
      <c r="C4831" t="s">
        <v>4</v>
      </c>
      <c r="D4831" s="35">
        <v>94724275.810000002</v>
      </c>
      <c r="E4831" s="35">
        <v>284784</v>
      </c>
      <c r="F4831" s="35">
        <v>93968211.75</v>
      </c>
    </row>
    <row r="4832" spans="1:6" x14ac:dyDescent="0.3">
      <c r="A4832" t="s">
        <v>71</v>
      </c>
      <c r="B4832">
        <v>2023</v>
      </c>
      <c r="C4832" t="s">
        <v>13</v>
      </c>
      <c r="D4832" s="35">
        <v>46129523.900000013</v>
      </c>
      <c r="E4832" s="35">
        <v>414550</v>
      </c>
      <c r="F4832" s="35">
        <v>36863316.989999987</v>
      </c>
    </row>
    <row r="4833" spans="1:6" x14ac:dyDescent="0.3">
      <c r="A4833" t="s">
        <v>71</v>
      </c>
      <c r="B4833">
        <v>2023</v>
      </c>
      <c r="C4833" t="s">
        <v>16</v>
      </c>
      <c r="D4833" s="35">
        <v>14899671.539999999</v>
      </c>
      <c r="E4833" s="35">
        <v>31089</v>
      </c>
      <c r="F4833" s="35">
        <v>14292774.619999999</v>
      </c>
    </row>
    <row r="4834" spans="1:6" x14ac:dyDescent="0.3">
      <c r="A4834" t="s">
        <v>71</v>
      </c>
      <c r="B4834">
        <v>2023</v>
      </c>
      <c r="C4834" t="s">
        <v>14</v>
      </c>
      <c r="D4834" s="35">
        <v>29494058.449999999</v>
      </c>
      <c r="E4834" s="35">
        <v>501474</v>
      </c>
      <c r="F4834" s="35">
        <v>12921884.439999999</v>
      </c>
    </row>
    <row r="4835" spans="1:6" x14ac:dyDescent="0.3">
      <c r="A4835" t="s">
        <v>71</v>
      </c>
      <c r="B4835">
        <v>2023</v>
      </c>
      <c r="C4835" t="s">
        <v>7</v>
      </c>
      <c r="D4835" s="35">
        <v>54917628.840000004</v>
      </c>
      <c r="E4835" s="35">
        <v>17733</v>
      </c>
      <c r="F4835" s="35">
        <v>54440299.460000001</v>
      </c>
    </row>
    <row r="4836" spans="1:6" x14ac:dyDescent="0.3">
      <c r="A4836" t="s">
        <v>71</v>
      </c>
      <c r="B4836">
        <v>2023</v>
      </c>
      <c r="C4836" t="s">
        <v>11</v>
      </c>
      <c r="D4836" s="35">
        <v>63249229.959999993</v>
      </c>
      <c r="E4836" s="35">
        <v>44934</v>
      </c>
      <c r="F4836" s="35">
        <v>59042148.280000009</v>
      </c>
    </row>
    <row r="4837" spans="1:6" x14ac:dyDescent="0.3">
      <c r="A4837" t="s">
        <v>71</v>
      </c>
      <c r="B4837">
        <v>2023</v>
      </c>
      <c r="C4837" t="s">
        <v>3</v>
      </c>
      <c r="D4837" s="35">
        <v>171896732.22999999</v>
      </c>
      <c r="E4837" s="35">
        <v>423358</v>
      </c>
      <c r="F4837" s="35">
        <v>156319181.46000001</v>
      </c>
    </row>
    <row r="4838" spans="1:6" x14ac:dyDescent="0.3">
      <c r="A4838" t="s">
        <v>71</v>
      </c>
      <c r="B4838">
        <v>2023</v>
      </c>
      <c r="C4838" t="s">
        <v>12</v>
      </c>
      <c r="D4838" s="35">
        <v>28725482.379999999</v>
      </c>
      <c r="E4838" s="35">
        <v>1154522</v>
      </c>
      <c r="F4838" s="35">
        <v>12658235.310000001</v>
      </c>
    </row>
    <row r="4839" spans="1:6" x14ac:dyDescent="0.3">
      <c r="A4839" t="s">
        <v>71</v>
      </c>
      <c r="B4839">
        <v>2023</v>
      </c>
      <c r="C4839" t="s">
        <v>2</v>
      </c>
      <c r="D4839" s="35">
        <v>200326993.19</v>
      </c>
      <c r="E4839" s="35">
        <v>1930791</v>
      </c>
      <c r="F4839" s="35">
        <v>161845636.61000001</v>
      </c>
    </row>
    <row r="4840" spans="1:6" x14ac:dyDescent="0.3">
      <c r="A4840" t="s">
        <v>71</v>
      </c>
      <c r="B4840">
        <v>2023</v>
      </c>
      <c r="C4840" t="s">
        <v>5</v>
      </c>
      <c r="D4840" s="35">
        <v>53391532.039999992</v>
      </c>
      <c r="E4840" s="35">
        <v>22934</v>
      </c>
      <c r="F4840" s="35">
        <v>48779618.809999987</v>
      </c>
    </row>
    <row r="4841" spans="1:6" x14ac:dyDescent="0.3">
      <c r="A4841" t="s">
        <v>71</v>
      </c>
      <c r="B4841">
        <v>2023</v>
      </c>
      <c r="C4841" t="s">
        <v>17</v>
      </c>
      <c r="D4841" s="35">
        <v>26131110.48</v>
      </c>
      <c r="E4841" s="35">
        <v>82437</v>
      </c>
      <c r="F4841" s="35">
        <v>1403607.38</v>
      </c>
    </row>
    <row r="4842" spans="1:6" x14ac:dyDescent="0.3">
      <c r="A4842" t="s">
        <v>71</v>
      </c>
      <c r="B4842">
        <v>2023</v>
      </c>
      <c r="C4842" t="s">
        <v>9</v>
      </c>
      <c r="D4842" s="35">
        <v>13969682.57</v>
      </c>
      <c r="E4842" s="35">
        <v>493793</v>
      </c>
      <c r="F4842" s="35">
        <v>4336740.3999999994</v>
      </c>
    </row>
    <row r="4843" spans="1:6" x14ac:dyDescent="0.3">
      <c r="A4843" t="s">
        <v>71</v>
      </c>
      <c r="B4843">
        <v>2023</v>
      </c>
      <c r="C4843" t="s">
        <v>8</v>
      </c>
      <c r="D4843" s="35">
        <v>68061607.900000006</v>
      </c>
      <c r="E4843" s="35">
        <v>3936</v>
      </c>
      <c r="F4843" s="35">
        <v>67410514.120000005</v>
      </c>
    </row>
    <row r="4844" spans="1:6" x14ac:dyDescent="0.3">
      <c r="A4844" t="s">
        <v>71</v>
      </c>
      <c r="B4844">
        <v>2023</v>
      </c>
      <c r="C4844" t="s">
        <v>6</v>
      </c>
      <c r="D4844" s="35">
        <v>73735675.75</v>
      </c>
      <c r="E4844" s="35">
        <v>1220891</v>
      </c>
      <c r="F4844" s="35">
        <v>51122634.289999999</v>
      </c>
    </row>
    <row r="4845" spans="1:6" x14ac:dyDescent="0.3">
      <c r="A4845" t="s">
        <v>71</v>
      </c>
      <c r="B4845">
        <v>2023</v>
      </c>
      <c r="C4845" t="s">
        <v>15</v>
      </c>
      <c r="D4845" s="35">
        <v>7842765.1499999994</v>
      </c>
      <c r="E4845" s="35">
        <v>188970</v>
      </c>
      <c r="F4845" s="35">
        <v>4001190.36</v>
      </c>
    </row>
    <row r="4846" spans="1:6" x14ac:dyDescent="0.3">
      <c r="A4846" t="s">
        <v>71</v>
      </c>
      <c r="B4846">
        <v>2023</v>
      </c>
      <c r="C4846" t="s">
        <v>18</v>
      </c>
      <c r="D4846" s="35">
        <v>2700764.82</v>
      </c>
      <c r="E4846" s="35">
        <v>23282</v>
      </c>
      <c r="F4846" s="35">
        <v>1555407.87</v>
      </c>
    </row>
    <row r="4847" spans="1:6" x14ac:dyDescent="0.3">
      <c r="A4847" t="s">
        <v>71</v>
      </c>
      <c r="B4847">
        <v>2024</v>
      </c>
      <c r="C4847" t="s">
        <v>10</v>
      </c>
      <c r="D4847" s="35">
        <v>31041207.25999999</v>
      </c>
      <c r="E4847" s="35">
        <v>949049</v>
      </c>
      <c r="F4847" s="35">
        <v>25603865.95999999</v>
      </c>
    </row>
    <row r="4848" spans="1:6" x14ac:dyDescent="0.3">
      <c r="A4848" t="s">
        <v>71</v>
      </c>
      <c r="B4848">
        <v>2024</v>
      </c>
      <c r="C4848" t="s">
        <v>4</v>
      </c>
      <c r="D4848" s="35">
        <v>86528865.459999979</v>
      </c>
      <c r="E4848" s="35">
        <v>266486</v>
      </c>
      <c r="F4848" s="35">
        <v>85732114.909999996</v>
      </c>
    </row>
    <row r="4849" spans="1:6" x14ac:dyDescent="0.3">
      <c r="A4849" t="s">
        <v>71</v>
      </c>
      <c r="B4849">
        <v>2024</v>
      </c>
      <c r="C4849" t="s">
        <v>13</v>
      </c>
      <c r="D4849" s="35">
        <v>43866602.940000013</v>
      </c>
      <c r="E4849" s="35">
        <v>354436</v>
      </c>
      <c r="F4849" s="35">
        <v>36775822.590000004</v>
      </c>
    </row>
    <row r="4850" spans="1:6" x14ac:dyDescent="0.3">
      <c r="A4850" t="s">
        <v>71</v>
      </c>
      <c r="B4850">
        <v>2024</v>
      </c>
      <c r="C4850" t="s">
        <v>16</v>
      </c>
      <c r="D4850" s="35">
        <v>11865849.449999999</v>
      </c>
      <c r="E4850" s="35">
        <v>29099</v>
      </c>
      <c r="F4850" s="35">
        <v>11349311.789999999</v>
      </c>
    </row>
    <row r="4851" spans="1:6" x14ac:dyDescent="0.3">
      <c r="A4851" t="s">
        <v>71</v>
      </c>
      <c r="B4851">
        <v>2024</v>
      </c>
      <c r="C4851" t="s">
        <v>14</v>
      </c>
      <c r="D4851" s="35">
        <v>25980236.449999999</v>
      </c>
      <c r="E4851" s="35">
        <v>507216</v>
      </c>
      <c r="F4851" s="35">
        <v>14747966.77</v>
      </c>
    </row>
    <row r="4852" spans="1:6" x14ac:dyDescent="0.3">
      <c r="A4852" t="s">
        <v>71</v>
      </c>
      <c r="B4852">
        <v>2024</v>
      </c>
      <c r="C4852" t="s">
        <v>7</v>
      </c>
      <c r="D4852" s="35">
        <v>44542279.57</v>
      </c>
      <c r="E4852" s="35">
        <v>13626</v>
      </c>
      <c r="F4852" s="35">
        <v>44426898.990000002</v>
      </c>
    </row>
    <row r="4853" spans="1:6" x14ac:dyDescent="0.3">
      <c r="A4853" t="s">
        <v>71</v>
      </c>
      <c r="B4853">
        <v>2024</v>
      </c>
      <c r="C4853" t="s">
        <v>11</v>
      </c>
      <c r="D4853" s="35">
        <v>52971648.500000007</v>
      </c>
      <c r="E4853" s="35">
        <v>40061</v>
      </c>
      <c r="F4853" s="35">
        <v>48877894.969999999</v>
      </c>
    </row>
    <row r="4854" spans="1:6" x14ac:dyDescent="0.3">
      <c r="A4854" t="s">
        <v>71</v>
      </c>
      <c r="B4854">
        <v>2024</v>
      </c>
      <c r="C4854" t="s">
        <v>3</v>
      </c>
      <c r="D4854" s="35">
        <v>146956653.28</v>
      </c>
      <c r="E4854" s="35">
        <v>388244</v>
      </c>
      <c r="F4854" s="35">
        <v>133653643.51000001</v>
      </c>
    </row>
    <row r="4855" spans="1:6" x14ac:dyDescent="0.3">
      <c r="A4855" t="s">
        <v>71</v>
      </c>
      <c r="B4855">
        <v>2024</v>
      </c>
      <c r="C4855" t="s">
        <v>12</v>
      </c>
      <c r="D4855" s="35">
        <v>24144951.989999998</v>
      </c>
      <c r="E4855" s="35">
        <v>1029957</v>
      </c>
      <c r="F4855" s="35">
        <v>11400124.130000001</v>
      </c>
    </row>
    <row r="4856" spans="1:6" x14ac:dyDescent="0.3">
      <c r="A4856" t="s">
        <v>71</v>
      </c>
      <c r="B4856">
        <v>2024</v>
      </c>
      <c r="C4856" t="s">
        <v>2</v>
      </c>
      <c r="D4856" s="35">
        <v>193882171.69999999</v>
      </c>
      <c r="E4856" s="35">
        <v>1916509</v>
      </c>
      <c r="F4856" s="35">
        <v>163350521.33000001</v>
      </c>
    </row>
    <row r="4857" spans="1:6" x14ac:dyDescent="0.3">
      <c r="A4857" t="s">
        <v>71</v>
      </c>
      <c r="B4857">
        <v>2024</v>
      </c>
      <c r="C4857" t="s">
        <v>5</v>
      </c>
      <c r="D4857" s="35">
        <v>37230932.479999997</v>
      </c>
      <c r="E4857" s="35">
        <v>18894</v>
      </c>
      <c r="F4857" s="35">
        <v>34114284.579999998</v>
      </c>
    </row>
    <row r="4858" spans="1:6" x14ac:dyDescent="0.3">
      <c r="A4858" t="s">
        <v>71</v>
      </c>
      <c r="B4858">
        <v>2024</v>
      </c>
      <c r="C4858" t="s">
        <v>17</v>
      </c>
      <c r="D4858" s="35">
        <v>25007934.629999999</v>
      </c>
      <c r="E4858" s="35">
        <v>86025</v>
      </c>
      <c r="F4858" s="35">
        <v>1333038.8</v>
      </c>
    </row>
    <row r="4859" spans="1:6" x14ac:dyDescent="0.3">
      <c r="A4859" t="s">
        <v>71</v>
      </c>
      <c r="B4859">
        <v>2024</v>
      </c>
      <c r="C4859" t="s">
        <v>9</v>
      </c>
      <c r="D4859" s="35">
        <v>12174327.43</v>
      </c>
      <c r="E4859" s="35">
        <v>505300</v>
      </c>
      <c r="F4859" s="35">
        <v>4514718.0600000015</v>
      </c>
    </row>
    <row r="4860" spans="1:6" x14ac:dyDescent="0.3">
      <c r="A4860" t="s">
        <v>71</v>
      </c>
      <c r="B4860">
        <v>2024</v>
      </c>
      <c r="C4860" t="s">
        <v>8</v>
      </c>
      <c r="D4860" s="35">
        <v>73562750.310000002</v>
      </c>
      <c r="E4860" s="35">
        <v>3698</v>
      </c>
      <c r="F4860" s="35">
        <v>72762711.959999993</v>
      </c>
    </row>
    <row r="4861" spans="1:6" x14ac:dyDescent="0.3">
      <c r="A4861" t="s">
        <v>71</v>
      </c>
      <c r="B4861">
        <v>2024</v>
      </c>
      <c r="C4861" t="s">
        <v>6</v>
      </c>
      <c r="D4861" s="35">
        <v>67180110.679999992</v>
      </c>
      <c r="E4861" s="35">
        <v>1172562</v>
      </c>
      <c r="F4861" s="35">
        <v>44436951.010000013</v>
      </c>
    </row>
    <row r="4862" spans="1:6" x14ac:dyDescent="0.3">
      <c r="A4862" t="s">
        <v>71</v>
      </c>
      <c r="B4862">
        <v>2024</v>
      </c>
      <c r="C4862" t="s">
        <v>15</v>
      </c>
      <c r="D4862" s="35">
        <v>8454405.6199999992</v>
      </c>
      <c r="E4862" s="35">
        <v>142950</v>
      </c>
      <c r="F4862" s="35">
        <v>5663856.4100000001</v>
      </c>
    </row>
    <row r="4863" spans="1:6" x14ac:dyDescent="0.3">
      <c r="A4863" t="s">
        <v>71</v>
      </c>
      <c r="B4863">
        <v>2024</v>
      </c>
      <c r="C4863" t="s">
        <v>18</v>
      </c>
      <c r="D4863" s="35">
        <v>2096619.87</v>
      </c>
      <c r="E4863" s="35">
        <v>22920</v>
      </c>
      <c r="F4863" s="35">
        <v>1070867.92</v>
      </c>
    </row>
    <row r="4864" spans="1:6" x14ac:dyDescent="0.3">
      <c r="A4864" t="s">
        <v>71</v>
      </c>
      <c r="B4864">
        <v>2025</v>
      </c>
      <c r="C4864" t="s">
        <v>10</v>
      </c>
      <c r="D4864" s="35">
        <v>34903666.20000001</v>
      </c>
      <c r="E4864" s="35">
        <v>930378</v>
      </c>
      <c r="F4864" s="35">
        <v>28670188.850000009</v>
      </c>
    </row>
    <row r="4865" spans="1:6" x14ac:dyDescent="0.3">
      <c r="A4865" t="s">
        <v>71</v>
      </c>
      <c r="B4865">
        <v>2025</v>
      </c>
      <c r="C4865" t="s">
        <v>4</v>
      </c>
      <c r="D4865" s="35">
        <v>97470582.060000002</v>
      </c>
      <c r="E4865" s="35">
        <v>263969</v>
      </c>
      <c r="F4865" s="35">
        <v>96805871.809999973</v>
      </c>
    </row>
    <row r="4866" spans="1:6" x14ac:dyDescent="0.3">
      <c r="A4866" t="s">
        <v>71</v>
      </c>
      <c r="B4866">
        <v>2025</v>
      </c>
      <c r="C4866" t="s">
        <v>13</v>
      </c>
      <c r="D4866" s="35">
        <v>44452373.010000013</v>
      </c>
      <c r="E4866" s="35">
        <v>341699</v>
      </c>
      <c r="F4866" s="35">
        <v>38386153.729999997</v>
      </c>
    </row>
    <row r="4867" spans="1:6" x14ac:dyDescent="0.3">
      <c r="A4867" t="s">
        <v>71</v>
      </c>
      <c r="B4867">
        <v>2025</v>
      </c>
      <c r="C4867" t="s">
        <v>16</v>
      </c>
      <c r="D4867" s="35">
        <v>13592472.5</v>
      </c>
      <c r="E4867" s="35">
        <v>30861</v>
      </c>
      <c r="F4867" s="35">
        <v>13200478.67</v>
      </c>
    </row>
    <row r="4868" spans="1:6" x14ac:dyDescent="0.3">
      <c r="A4868" t="s">
        <v>71</v>
      </c>
      <c r="B4868">
        <v>2025</v>
      </c>
      <c r="C4868" t="s">
        <v>14</v>
      </c>
      <c r="D4868" s="35">
        <v>30781193.649999999</v>
      </c>
      <c r="E4868" s="35">
        <v>535705</v>
      </c>
      <c r="F4868" s="35">
        <v>19014358.949999999</v>
      </c>
    </row>
    <row r="4869" spans="1:6" x14ac:dyDescent="0.3">
      <c r="A4869" t="s">
        <v>71</v>
      </c>
      <c r="B4869">
        <v>2025</v>
      </c>
      <c r="C4869" t="s">
        <v>7</v>
      </c>
      <c r="D4869" s="35">
        <v>29164300.920000002</v>
      </c>
      <c r="E4869" s="35">
        <v>8567</v>
      </c>
      <c r="F4869" s="35">
        <v>29056102.960000001</v>
      </c>
    </row>
    <row r="4870" spans="1:6" x14ac:dyDescent="0.3">
      <c r="A4870" t="s">
        <v>71</v>
      </c>
      <c r="B4870">
        <v>2025</v>
      </c>
      <c r="C4870" t="s">
        <v>11</v>
      </c>
      <c r="D4870" s="35">
        <v>67709266.210000008</v>
      </c>
      <c r="E4870" s="35">
        <v>46868</v>
      </c>
      <c r="F4870" s="35">
        <v>63679379.119999997</v>
      </c>
    </row>
    <row r="4871" spans="1:6" x14ac:dyDescent="0.3">
      <c r="A4871" t="s">
        <v>71</v>
      </c>
      <c r="B4871">
        <v>2025</v>
      </c>
      <c r="C4871" t="s">
        <v>3</v>
      </c>
      <c r="D4871" s="35">
        <v>184776643.80000001</v>
      </c>
      <c r="E4871" s="35">
        <v>378863</v>
      </c>
      <c r="F4871" s="35">
        <v>171089107.96000001</v>
      </c>
    </row>
    <row r="4872" spans="1:6" x14ac:dyDescent="0.3">
      <c r="A4872" t="s">
        <v>71</v>
      </c>
      <c r="B4872">
        <v>2025</v>
      </c>
      <c r="C4872" t="s">
        <v>12</v>
      </c>
      <c r="D4872" s="35">
        <v>18834593.690000001</v>
      </c>
      <c r="E4872" s="35">
        <v>940521</v>
      </c>
      <c r="F4872" s="35">
        <v>8185286.5499999998</v>
      </c>
    </row>
    <row r="4873" spans="1:6" x14ac:dyDescent="0.3">
      <c r="A4873" t="s">
        <v>71</v>
      </c>
      <c r="B4873">
        <v>2025</v>
      </c>
      <c r="C4873" t="s">
        <v>2</v>
      </c>
      <c r="D4873" s="35">
        <v>220653373.44999999</v>
      </c>
      <c r="E4873" s="35">
        <v>1960194</v>
      </c>
      <c r="F4873" s="35">
        <v>192439915.34</v>
      </c>
    </row>
    <row r="4874" spans="1:6" x14ac:dyDescent="0.3">
      <c r="A4874" t="s">
        <v>71</v>
      </c>
      <c r="B4874">
        <v>2025</v>
      </c>
      <c r="C4874" t="s">
        <v>5</v>
      </c>
      <c r="D4874" s="35">
        <v>48114822.039999999</v>
      </c>
      <c r="E4874" s="35">
        <v>21599</v>
      </c>
      <c r="F4874" s="35">
        <v>42181862.090000004</v>
      </c>
    </row>
    <row r="4875" spans="1:6" x14ac:dyDescent="0.3">
      <c r="A4875" t="s">
        <v>71</v>
      </c>
      <c r="B4875">
        <v>2025</v>
      </c>
      <c r="C4875" t="s">
        <v>17</v>
      </c>
      <c r="D4875" s="35">
        <v>15510456.84</v>
      </c>
      <c r="E4875" s="35">
        <v>84816</v>
      </c>
      <c r="F4875" s="35">
        <v>1443818.83</v>
      </c>
    </row>
    <row r="4876" spans="1:6" x14ac:dyDescent="0.3">
      <c r="A4876" t="s">
        <v>71</v>
      </c>
      <c r="B4876">
        <v>2025</v>
      </c>
      <c r="C4876" t="s">
        <v>9</v>
      </c>
      <c r="D4876" s="35">
        <v>15274524.380000001</v>
      </c>
      <c r="E4876" s="35">
        <v>533335</v>
      </c>
      <c r="F4876" s="35">
        <v>10383101.52</v>
      </c>
    </row>
    <row r="4877" spans="1:6" x14ac:dyDescent="0.3">
      <c r="A4877" t="s">
        <v>71</v>
      </c>
      <c r="B4877">
        <v>2025</v>
      </c>
      <c r="C4877" t="s">
        <v>8</v>
      </c>
      <c r="D4877" s="35">
        <v>60483878.479999997</v>
      </c>
      <c r="E4877" s="35">
        <v>3022</v>
      </c>
      <c r="F4877" s="35">
        <v>60014555.970000014</v>
      </c>
    </row>
    <row r="4878" spans="1:6" x14ac:dyDescent="0.3">
      <c r="A4878" t="s">
        <v>71</v>
      </c>
      <c r="B4878">
        <v>2025</v>
      </c>
      <c r="C4878" t="s">
        <v>6</v>
      </c>
      <c r="D4878" s="35">
        <v>68486792.109999999</v>
      </c>
      <c r="E4878" s="35">
        <v>1137347</v>
      </c>
      <c r="F4878" s="35">
        <v>46898107.239999987</v>
      </c>
    </row>
    <row r="4879" spans="1:6" x14ac:dyDescent="0.3">
      <c r="A4879" t="s">
        <v>71</v>
      </c>
      <c r="B4879">
        <v>2025</v>
      </c>
      <c r="C4879" t="s">
        <v>15</v>
      </c>
      <c r="D4879" s="35">
        <v>10907338.01</v>
      </c>
      <c r="E4879" s="35">
        <v>128215</v>
      </c>
      <c r="F4879" s="35">
        <v>8029148.5799999991</v>
      </c>
    </row>
    <row r="4880" spans="1:6" x14ac:dyDescent="0.3">
      <c r="A4880" t="s">
        <v>71</v>
      </c>
      <c r="B4880">
        <v>2025</v>
      </c>
      <c r="C4880" t="s">
        <v>18</v>
      </c>
      <c r="D4880" s="35">
        <v>2390097.96</v>
      </c>
      <c r="E4880" s="35">
        <v>23684</v>
      </c>
      <c r="F4880" s="35">
        <v>1563794.39</v>
      </c>
    </row>
    <row r="4881" spans="1:6" x14ac:dyDescent="0.3">
      <c r="A4881" t="s">
        <v>72</v>
      </c>
      <c r="B4881">
        <v>2019</v>
      </c>
      <c r="C4881" t="s">
        <v>10</v>
      </c>
      <c r="D4881" s="35">
        <v>2280259.3299999991</v>
      </c>
      <c r="E4881" s="35">
        <v>63561</v>
      </c>
      <c r="F4881" s="35">
        <v>1348097.33</v>
      </c>
    </row>
    <row r="4882" spans="1:6" x14ac:dyDescent="0.3">
      <c r="A4882" t="s">
        <v>72</v>
      </c>
      <c r="B4882">
        <v>2019</v>
      </c>
      <c r="C4882" t="s">
        <v>4</v>
      </c>
      <c r="D4882" s="35">
        <v>8352277.870000001</v>
      </c>
      <c r="E4882" s="35">
        <v>26562</v>
      </c>
      <c r="F4882" s="35">
        <v>8245814.8800000018</v>
      </c>
    </row>
    <row r="4883" spans="1:6" x14ac:dyDescent="0.3">
      <c r="A4883" t="s">
        <v>72</v>
      </c>
      <c r="B4883">
        <v>2019</v>
      </c>
      <c r="C4883" t="s">
        <v>13</v>
      </c>
      <c r="D4883" s="35">
        <v>5446945.9999999991</v>
      </c>
      <c r="E4883" s="35">
        <v>36388</v>
      </c>
      <c r="F4883" s="35">
        <v>4696613.88</v>
      </c>
    </row>
    <row r="4884" spans="1:6" x14ac:dyDescent="0.3">
      <c r="A4884" t="s">
        <v>72</v>
      </c>
      <c r="B4884">
        <v>2019</v>
      </c>
      <c r="C4884" t="s">
        <v>16</v>
      </c>
      <c r="D4884" s="35">
        <v>466194.50000000012</v>
      </c>
      <c r="E4884" s="35">
        <v>2010</v>
      </c>
      <c r="F4884" s="35">
        <v>389462.00000000012</v>
      </c>
    </row>
    <row r="4885" spans="1:6" x14ac:dyDescent="0.3">
      <c r="A4885" t="s">
        <v>72</v>
      </c>
      <c r="B4885">
        <v>2019</v>
      </c>
      <c r="C4885" t="s">
        <v>14</v>
      </c>
      <c r="D4885" s="35">
        <v>2620309.379999999</v>
      </c>
      <c r="E4885" s="35">
        <v>45216</v>
      </c>
      <c r="F4885" s="35">
        <v>1114746.31</v>
      </c>
    </row>
    <row r="4886" spans="1:6" x14ac:dyDescent="0.3">
      <c r="A4886" t="s">
        <v>72</v>
      </c>
      <c r="B4886">
        <v>2019</v>
      </c>
      <c r="C4886" t="s">
        <v>7</v>
      </c>
      <c r="D4886" s="35">
        <v>1306578.51</v>
      </c>
      <c r="E4886" s="35">
        <v>537</v>
      </c>
      <c r="F4886" s="35">
        <v>1306578.51</v>
      </c>
    </row>
    <row r="4887" spans="1:6" x14ac:dyDescent="0.3">
      <c r="A4887" t="s">
        <v>72</v>
      </c>
      <c r="B4887">
        <v>2019</v>
      </c>
      <c r="C4887" t="s">
        <v>11</v>
      </c>
      <c r="D4887" s="35">
        <v>13700841.220000001</v>
      </c>
      <c r="E4887" s="35">
        <v>12973</v>
      </c>
      <c r="F4887" s="35">
        <v>11053484.25</v>
      </c>
    </row>
    <row r="4888" spans="1:6" x14ac:dyDescent="0.3">
      <c r="A4888" t="s">
        <v>72</v>
      </c>
      <c r="B4888">
        <v>2019</v>
      </c>
      <c r="C4888" t="s">
        <v>3</v>
      </c>
      <c r="D4888" s="35">
        <v>9286947.3000000026</v>
      </c>
      <c r="E4888" s="35">
        <v>31932</v>
      </c>
      <c r="F4888" s="35">
        <v>8572539.8800000008</v>
      </c>
    </row>
    <row r="4889" spans="1:6" x14ac:dyDescent="0.3">
      <c r="A4889" t="s">
        <v>72</v>
      </c>
      <c r="B4889">
        <v>2019</v>
      </c>
      <c r="C4889" t="s">
        <v>12</v>
      </c>
      <c r="D4889" s="35">
        <v>5618645.9800000004</v>
      </c>
      <c r="E4889" s="35">
        <v>95211</v>
      </c>
      <c r="F4889" s="35">
        <v>2871865.45</v>
      </c>
    </row>
    <row r="4890" spans="1:6" x14ac:dyDescent="0.3">
      <c r="A4890" t="s">
        <v>72</v>
      </c>
      <c r="B4890">
        <v>2019</v>
      </c>
      <c r="C4890" t="s">
        <v>2</v>
      </c>
      <c r="D4890" s="35">
        <v>27153362.600000001</v>
      </c>
      <c r="E4890" s="35">
        <v>247319</v>
      </c>
      <c r="F4890" s="35">
        <v>20682605.489999998</v>
      </c>
    </row>
    <row r="4891" spans="1:6" x14ac:dyDescent="0.3">
      <c r="A4891" t="s">
        <v>72</v>
      </c>
      <c r="B4891">
        <v>2019</v>
      </c>
      <c r="C4891" t="s">
        <v>5</v>
      </c>
      <c r="D4891" s="35">
        <v>8307942.290000001</v>
      </c>
      <c r="E4891" s="35">
        <v>2622</v>
      </c>
      <c r="F4891" s="35">
        <v>8137845.3199999994</v>
      </c>
    </row>
    <row r="4892" spans="1:6" x14ac:dyDescent="0.3">
      <c r="A4892" t="s">
        <v>72</v>
      </c>
      <c r="B4892">
        <v>2019</v>
      </c>
      <c r="C4892" t="s">
        <v>17</v>
      </c>
      <c r="D4892" s="35">
        <v>3081437.36</v>
      </c>
      <c r="E4892" s="35">
        <v>26038</v>
      </c>
      <c r="F4892" s="35">
        <v>330343.09000000003</v>
      </c>
    </row>
    <row r="4893" spans="1:6" x14ac:dyDescent="0.3">
      <c r="A4893" t="s">
        <v>72</v>
      </c>
      <c r="B4893">
        <v>2019</v>
      </c>
      <c r="C4893" t="s">
        <v>9</v>
      </c>
      <c r="D4893" s="35">
        <v>3791260.73</v>
      </c>
      <c r="E4893" s="35">
        <v>58518</v>
      </c>
      <c r="F4893" s="35">
        <v>1861358.51</v>
      </c>
    </row>
    <row r="4894" spans="1:6" x14ac:dyDescent="0.3">
      <c r="A4894" t="s">
        <v>72</v>
      </c>
      <c r="B4894">
        <v>2019</v>
      </c>
      <c r="C4894" t="s">
        <v>8</v>
      </c>
      <c r="D4894" s="35">
        <v>848260.29</v>
      </c>
      <c r="E4894" s="35">
        <v>275</v>
      </c>
      <c r="F4894" s="35">
        <v>848260.29</v>
      </c>
    </row>
    <row r="4895" spans="1:6" x14ac:dyDescent="0.3">
      <c r="A4895" t="s">
        <v>72</v>
      </c>
      <c r="B4895">
        <v>2019</v>
      </c>
      <c r="C4895" t="s">
        <v>6</v>
      </c>
      <c r="D4895" s="35">
        <v>7700082.1199999992</v>
      </c>
      <c r="E4895" s="35">
        <v>105389</v>
      </c>
      <c r="F4895" s="35">
        <v>5932065.9399999985</v>
      </c>
    </row>
    <row r="4896" spans="1:6" x14ac:dyDescent="0.3">
      <c r="A4896" t="s">
        <v>72</v>
      </c>
      <c r="B4896">
        <v>2019</v>
      </c>
      <c r="C4896" t="s">
        <v>15</v>
      </c>
      <c r="D4896" s="35">
        <v>2449543.86</v>
      </c>
      <c r="E4896" s="35">
        <v>38728</v>
      </c>
      <c r="F4896" s="35">
        <v>1173953.76</v>
      </c>
    </row>
    <row r="4897" spans="1:6" x14ac:dyDescent="0.3">
      <c r="A4897" t="s">
        <v>72</v>
      </c>
      <c r="B4897">
        <v>2019</v>
      </c>
      <c r="C4897" t="s">
        <v>18</v>
      </c>
      <c r="D4897" s="35">
        <v>3340662.209999999</v>
      </c>
      <c r="E4897" s="35">
        <v>9070</v>
      </c>
      <c r="F4897" s="35">
        <v>3045321.33</v>
      </c>
    </row>
    <row r="4898" spans="1:6" x14ac:dyDescent="0.3">
      <c r="A4898" t="s">
        <v>72</v>
      </c>
      <c r="B4898">
        <v>2020</v>
      </c>
      <c r="C4898" t="s">
        <v>10</v>
      </c>
      <c r="D4898" s="35">
        <v>2550907.19</v>
      </c>
      <c r="E4898" s="35">
        <v>68007</v>
      </c>
      <c r="F4898" s="35">
        <v>1558013.93</v>
      </c>
    </row>
    <row r="4899" spans="1:6" x14ac:dyDescent="0.3">
      <c r="A4899" t="s">
        <v>72</v>
      </c>
      <c r="B4899">
        <v>2020</v>
      </c>
      <c r="C4899" t="s">
        <v>4</v>
      </c>
      <c r="D4899" s="35">
        <v>8757171.5999999996</v>
      </c>
      <c r="E4899" s="35">
        <v>28335</v>
      </c>
      <c r="F4899" s="35">
        <v>8657990.2199999988</v>
      </c>
    </row>
    <row r="4900" spans="1:6" x14ac:dyDescent="0.3">
      <c r="A4900" t="s">
        <v>72</v>
      </c>
      <c r="B4900">
        <v>2020</v>
      </c>
      <c r="C4900" t="s">
        <v>13</v>
      </c>
      <c r="D4900" s="35">
        <v>5284338.71</v>
      </c>
      <c r="E4900" s="35">
        <v>35515</v>
      </c>
      <c r="F4900" s="35">
        <v>4451775.8400000008</v>
      </c>
    </row>
    <row r="4901" spans="1:6" x14ac:dyDescent="0.3">
      <c r="A4901" t="s">
        <v>72</v>
      </c>
      <c r="B4901">
        <v>2020</v>
      </c>
      <c r="C4901" t="s">
        <v>16</v>
      </c>
      <c r="D4901" s="35">
        <v>448276.24</v>
      </c>
      <c r="E4901" s="35">
        <v>1961</v>
      </c>
      <c r="F4901" s="35">
        <v>379946.39</v>
      </c>
    </row>
    <row r="4902" spans="1:6" x14ac:dyDescent="0.3">
      <c r="A4902" t="s">
        <v>72</v>
      </c>
      <c r="B4902">
        <v>2020</v>
      </c>
      <c r="C4902" t="s">
        <v>14</v>
      </c>
      <c r="D4902" s="35">
        <v>2567109.0099999998</v>
      </c>
      <c r="E4902" s="35">
        <v>46535</v>
      </c>
      <c r="F4902" s="35">
        <v>1186235.92</v>
      </c>
    </row>
    <row r="4903" spans="1:6" x14ac:dyDescent="0.3">
      <c r="A4903" t="s">
        <v>72</v>
      </c>
      <c r="B4903">
        <v>2020</v>
      </c>
      <c r="C4903" t="s">
        <v>7</v>
      </c>
      <c r="D4903" s="35">
        <v>1687447.31</v>
      </c>
      <c r="E4903" s="35">
        <v>659</v>
      </c>
      <c r="F4903" s="35">
        <v>1687447.31</v>
      </c>
    </row>
    <row r="4904" spans="1:6" x14ac:dyDescent="0.3">
      <c r="A4904" t="s">
        <v>72</v>
      </c>
      <c r="B4904">
        <v>2020</v>
      </c>
      <c r="C4904" t="s">
        <v>11</v>
      </c>
      <c r="D4904" s="35">
        <v>14729222.050000001</v>
      </c>
      <c r="E4904" s="35">
        <v>11978</v>
      </c>
      <c r="F4904" s="35">
        <v>11477997.43</v>
      </c>
    </row>
    <row r="4905" spans="1:6" x14ac:dyDescent="0.3">
      <c r="A4905" t="s">
        <v>72</v>
      </c>
      <c r="B4905">
        <v>2020</v>
      </c>
      <c r="C4905" t="s">
        <v>3</v>
      </c>
      <c r="D4905" s="35">
        <v>10211850.609999999</v>
      </c>
      <c r="E4905" s="35">
        <v>26524</v>
      </c>
      <c r="F4905" s="35">
        <v>9577220.959999999</v>
      </c>
    </row>
    <row r="4906" spans="1:6" x14ac:dyDescent="0.3">
      <c r="A4906" t="s">
        <v>72</v>
      </c>
      <c r="B4906">
        <v>2020</v>
      </c>
      <c r="C4906" t="s">
        <v>12</v>
      </c>
      <c r="D4906" s="35">
        <v>4830110.57</v>
      </c>
      <c r="E4906" s="35">
        <v>73042</v>
      </c>
      <c r="F4906" s="35">
        <v>2602308.9700000002</v>
      </c>
    </row>
    <row r="4907" spans="1:6" x14ac:dyDescent="0.3">
      <c r="A4907" t="s">
        <v>72</v>
      </c>
      <c r="B4907">
        <v>2020</v>
      </c>
      <c r="C4907" t="s">
        <v>2</v>
      </c>
      <c r="D4907" s="35">
        <v>30012479.100000001</v>
      </c>
      <c r="E4907" s="35">
        <v>252557</v>
      </c>
      <c r="F4907" s="35">
        <v>24151232.809999991</v>
      </c>
    </row>
    <row r="4908" spans="1:6" x14ac:dyDescent="0.3">
      <c r="A4908" t="s">
        <v>72</v>
      </c>
      <c r="B4908">
        <v>2020</v>
      </c>
      <c r="C4908" t="s">
        <v>5</v>
      </c>
      <c r="D4908" s="35">
        <v>13203714.92</v>
      </c>
      <c r="E4908" s="35">
        <v>2631</v>
      </c>
      <c r="F4908" s="35">
        <v>13121161.720000001</v>
      </c>
    </row>
    <row r="4909" spans="1:6" x14ac:dyDescent="0.3">
      <c r="A4909" t="s">
        <v>72</v>
      </c>
      <c r="B4909">
        <v>2020</v>
      </c>
      <c r="C4909" t="s">
        <v>17</v>
      </c>
      <c r="D4909" s="35">
        <v>2874560.97</v>
      </c>
      <c r="E4909" s="35">
        <v>24937</v>
      </c>
      <c r="F4909" s="35">
        <v>296195.01</v>
      </c>
    </row>
    <row r="4910" spans="1:6" x14ac:dyDescent="0.3">
      <c r="A4910" t="s">
        <v>72</v>
      </c>
      <c r="B4910">
        <v>2020</v>
      </c>
      <c r="C4910" t="s">
        <v>9</v>
      </c>
      <c r="D4910" s="35">
        <v>3632258.9999999991</v>
      </c>
      <c r="E4910" s="35">
        <v>55384</v>
      </c>
      <c r="F4910" s="35">
        <v>1782455.59</v>
      </c>
    </row>
    <row r="4911" spans="1:6" x14ac:dyDescent="0.3">
      <c r="A4911" t="s">
        <v>72</v>
      </c>
      <c r="B4911">
        <v>2020</v>
      </c>
      <c r="C4911" t="s">
        <v>8</v>
      </c>
      <c r="D4911" s="35">
        <v>5961636.3800000008</v>
      </c>
      <c r="E4911" s="35">
        <v>496</v>
      </c>
      <c r="F4911" s="35">
        <v>5961636.3800000008</v>
      </c>
    </row>
    <row r="4912" spans="1:6" x14ac:dyDescent="0.3">
      <c r="A4912" t="s">
        <v>72</v>
      </c>
      <c r="B4912">
        <v>2020</v>
      </c>
      <c r="C4912" t="s">
        <v>6</v>
      </c>
      <c r="D4912" s="35">
        <v>7595016.9800000004</v>
      </c>
      <c r="E4912" s="35">
        <v>104976</v>
      </c>
      <c r="F4912" s="35">
        <v>5744185.6100000013</v>
      </c>
    </row>
    <row r="4913" spans="1:6" x14ac:dyDescent="0.3">
      <c r="A4913" t="s">
        <v>72</v>
      </c>
      <c r="B4913">
        <v>2020</v>
      </c>
      <c r="C4913" t="s">
        <v>15</v>
      </c>
      <c r="D4913" s="35">
        <v>2927169.7300000009</v>
      </c>
      <c r="E4913" s="35">
        <v>36298</v>
      </c>
      <c r="F4913" s="35">
        <v>1070509.98</v>
      </c>
    </row>
    <row r="4914" spans="1:6" x14ac:dyDescent="0.3">
      <c r="A4914" t="s">
        <v>72</v>
      </c>
      <c r="B4914">
        <v>2020</v>
      </c>
      <c r="C4914" t="s">
        <v>18</v>
      </c>
      <c r="D4914" s="35">
        <v>4372965.79</v>
      </c>
      <c r="E4914" s="35">
        <v>9006</v>
      </c>
      <c r="F4914" s="35">
        <v>3886724.95</v>
      </c>
    </row>
    <row r="4915" spans="1:6" x14ac:dyDescent="0.3">
      <c r="A4915" t="s">
        <v>72</v>
      </c>
      <c r="B4915">
        <v>2021</v>
      </c>
      <c r="C4915" t="s">
        <v>10</v>
      </c>
      <c r="D4915" s="35">
        <v>5162349.3500000006</v>
      </c>
      <c r="E4915" s="35">
        <v>76224</v>
      </c>
      <c r="F4915" s="35">
        <v>2119468.25</v>
      </c>
    </row>
    <row r="4916" spans="1:6" x14ac:dyDescent="0.3">
      <c r="A4916" t="s">
        <v>72</v>
      </c>
      <c r="B4916">
        <v>2021</v>
      </c>
      <c r="C4916" t="s">
        <v>4</v>
      </c>
      <c r="D4916" s="35">
        <v>10611694.01</v>
      </c>
      <c r="E4916" s="35">
        <v>30148</v>
      </c>
      <c r="F4916" s="35">
        <v>10225819.16</v>
      </c>
    </row>
    <row r="4917" spans="1:6" x14ac:dyDescent="0.3">
      <c r="A4917" t="s">
        <v>72</v>
      </c>
      <c r="B4917">
        <v>2021</v>
      </c>
      <c r="C4917" t="s">
        <v>13</v>
      </c>
      <c r="D4917" s="35">
        <v>6810412.1900000013</v>
      </c>
      <c r="E4917" s="35">
        <v>40250</v>
      </c>
      <c r="F4917" s="35">
        <v>5452502.8900000025</v>
      </c>
    </row>
    <row r="4918" spans="1:6" x14ac:dyDescent="0.3">
      <c r="A4918" t="s">
        <v>72</v>
      </c>
      <c r="B4918">
        <v>2021</v>
      </c>
      <c r="C4918" t="s">
        <v>16</v>
      </c>
      <c r="D4918" s="35">
        <v>537262.32000000007</v>
      </c>
      <c r="E4918" s="35">
        <v>2715</v>
      </c>
      <c r="F4918" s="35">
        <v>385635.83</v>
      </c>
    </row>
    <row r="4919" spans="1:6" x14ac:dyDescent="0.3">
      <c r="A4919" t="s">
        <v>72</v>
      </c>
      <c r="B4919">
        <v>2021</v>
      </c>
      <c r="C4919" t="s">
        <v>14</v>
      </c>
      <c r="D4919" s="35">
        <v>3927730.52</v>
      </c>
      <c r="E4919" s="35">
        <v>52701</v>
      </c>
      <c r="F4919" s="35">
        <v>1419447.64</v>
      </c>
    </row>
    <row r="4920" spans="1:6" x14ac:dyDescent="0.3">
      <c r="A4920" t="s">
        <v>72</v>
      </c>
      <c r="B4920">
        <v>2021</v>
      </c>
      <c r="C4920" t="s">
        <v>7</v>
      </c>
      <c r="D4920" s="35">
        <v>2085904.51</v>
      </c>
      <c r="E4920" s="35">
        <v>752</v>
      </c>
      <c r="F4920" s="35">
        <v>2085904.51</v>
      </c>
    </row>
    <row r="4921" spans="1:6" x14ac:dyDescent="0.3">
      <c r="A4921" t="s">
        <v>72</v>
      </c>
      <c r="B4921">
        <v>2021</v>
      </c>
      <c r="C4921" t="s">
        <v>11</v>
      </c>
      <c r="D4921" s="35">
        <v>12040812.689999999</v>
      </c>
      <c r="E4921" s="35">
        <v>9534</v>
      </c>
      <c r="F4921" s="35">
        <v>9215743.7699999996</v>
      </c>
    </row>
    <row r="4922" spans="1:6" x14ac:dyDescent="0.3">
      <c r="A4922" t="s">
        <v>72</v>
      </c>
      <c r="B4922">
        <v>2021</v>
      </c>
      <c r="C4922" t="s">
        <v>3</v>
      </c>
      <c r="D4922" s="35">
        <v>15923544.039999999</v>
      </c>
      <c r="E4922" s="35">
        <v>33721</v>
      </c>
      <c r="F4922" s="35">
        <v>14589168.57</v>
      </c>
    </row>
    <row r="4923" spans="1:6" x14ac:dyDescent="0.3">
      <c r="A4923" t="s">
        <v>72</v>
      </c>
      <c r="B4923">
        <v>2021</v>
      </c>
      <c r="C4923" t="s">
        <v>12</v>
      </c>
      <c r="D4923" s="35">
        <v>10629568.74</v>
      </c>
      <c r="E4923" s="35">
        <v>94810</v>
      </c>
      <c r="F4923" s="35">
        <v>2941026.9100000011</v>
      </c>
    </row>
    <row r="4924" spans="1:6" x14ac:dyDescent="0.3">
      <c r="A4924" t="s">
        <v>72</v>
      </c>
      <c r="B4924">
        <v>2021</v>
      </c>
      <c r="C4924" t="s">
        <v>2</v>
      </c>
      <c r="D4924" s="35">
        <v>34686576.909999996</v>
      </c>
      <c r="E4924" s="35">
        <v>276474</v>
      </c>
      <c r="F4924" s="35">
        <v>25896902.489999991</v>
      </c>
    </row>
    <row r="4925" spans="1:6" x14ac:dyDescent="0.3">
      <c r="A4925" t="s">
        <v>72</v>
      </c>
      <c r="B4925">
        <v>2021</v>
      </c>
      <c r="C4925" t="s">
        <v>5</v>
      </c>
      <c r="D4925" s="35">
        <v>9539763</v>
      </c>
      <c r="E4925" s="35">
        <v>2440</v>
      </c>
      <c r="F4925" s="35">
        <v>9445478.5700000003</v>
      </c>
    </row>
    <row r="4926" spans="1:6" x14ac:dyDescent="0.3">
      <c r="A4926" t="s">
        <v>72</v>
      </c>
      <c r="B4926">
        <v>2021</v>
      </c>
      <c r="C4926" t="s">
        <v>17</v>
      </c>
      <c r="D4926" s="35">
        <v>3136490.55</v>
      </c>
      <c r="E4926" s="35">
        <v>26275</v>
      </c>
      <c r="F4926" s="35">
        <v>396860.29</v>
      </c>
    </row>
    <row r="4927" spans="1:6" x14ac:dyDescent="0.3">
      <c r="A4927" t="s">
        <v>72</v>
      </c>
      <c r="B4927">
        <v>2021</v>
      </c>
      <c r="C4927" t="s">
        <v>9</v>
      </c>
      <c r="D4927" s="35">
        <v>6790368.9199999981</v>
      </c>
      <c r="E4927" s="35">
        <v>66479</v>
      </c>
      <c r="F4927" s="35">
        <v>1630828.77</v>
      </c>
    </row>
    <row r="4928" spans="1:6" x14ac:dyDescent="0.3">
      <c r="A4928" t="s">
        <v>72</v>
      </c>
      <c r="B4928">
        <v>2021</v>
      </c>
      <c r="C4928" t="s">
        <v>8</v>
      </c>
      <c r="D4928" s="35">
        <v>6490106.2699999996</v>
      </c>
      <c r="E4928" s="35">
        <v>530</v>
      </c>
      <c r="F4928" s="35">
        <v>6490106.2699999996</v>
      </c>
    </row>
    <row r="4929" spans="1:6" x14ac:dyDescent="0.3">
      <c r="A4929" t="s">
        <v>72</v>
      </c>
      <c r="B4929">
        <v>2021</v>
      </c>
      <c r="C4929" t="s">
        <v>6</v>
      </c>
      <c r="D4929" s="35">
        <v>13566631.67</v>
      </c>
      <c r="E4929" s="35">
        <v>120646</v>
      </c>
      <c r="F4929" s="35">
        <v>8353721.709999999</v>
      </c>
    </row>
    <row r="4930" spans="1:6" x14ac:dyDescent="0.3">
      <c r="A4930" t="s">
        <v>72</v>
      </c>
      <c r="B4930">
        <v>2021</v>
      </c>
      <c r="C4930" t="s">
        <v>15</v>
      </c>
      <c r="D4930" s="35">
        <v>4030161.6100000008</v>
      </c>
      <c r="E4930" s="35">
        <v>38643</v>
      </c>
      <c r="F4930" s="35">
        <v>962198.37999999989</v>
      </c>
    </row>
    <row r="4931" spans="1:6" x14ac:dyDescent="0.3">
      <c r="A4931" t="s">
        <v>72</v>
      </c>
      <c r="B4931">
        <v>2021</v>
      </c>
      <c r="C4931" t="s">
        <v>18</v>
      </c>
      <c r="D4931" s="35">
        <v>3725050.29</v>
      </c>
      <c r="E4931" s="35">
        <v>6283</v>
      </c>
      <c r="F4931" s="35">
        <v>3367421.49</v>
      </c>
    </row>
    <row r="4932" spans="1:6" x14ac:dyDescent="0.3">
      <c r="A4932" t="s">
        <v>72</v>
      </c>
      <c r="B4932">
        <v>2022</v>
      </c>
      <c r="C4932" t="s">
        <v>10</v>
      </c>
      <c r="D4932" s="35">
        <v>5781684.2699999996</v>
      </c>
      <c r="E4932" s="35">
        <v>82820</v>
      </c>
      <c r="F4932" s="35">
        <v>2568068.1</v>
      </c>
    </row>
    <row r="4933" spans="1:6" x14ac:dyDescent="0.3">
      <c r="A4933" t="s">
        <v>72</v>
      </c>
      <c r="B4933">
        <v>2022</v>
      </c>
      <c r="C4933" t="s">
        <v>4</v>
      </c>
      <c r="D4933" s="35">
        <v>12182318.52</v>
      </c>
      <c r="E4933" s="35">
        <v>32424</v>
      </c>
      <c r="F4933" s="35">
        <v>11688111.66</v>
      </c>
    </row>
    <row r="4934" spans="1:6" x14ac:dyDescent="0.3">
      <c r="A4934" t="s">
        <v>72</v>
      </c>
      <c r="B4934">
        <v>2022</v>
      </c>
      <c r="C4934" t="s">
        <v>13</v>
      </c>
      <c r="D4934" s="35">
        <v>7218253.4400000013</v>
      </c>
      <c r="E4934" s="35">
        <v>42029</v>
      </c>
      <c r="F4934" s="35">
        <v>5772502.959999999</v>
      </c>
    </row>
    <row r="4935" spans="1:6" x14ac:dyDescent="0.3">
      <c r="A4935" t="s">
        <v>72</v>
      </c>
      <c r="B4935">
        <v>2022</v>
      </c>
      <c r="C4935" t="s">
        <v>16</v>
      </c>
      <c r="D4935" s="35">
        <v>581808.45000000007</v>
      </c>
      <c r="E4935" s="35">
        <v>3006</v>
      </c>
      <c r="F4935" s="35">
        <v>431125.91</v>
      </c>
    </row>
    <row r="4936" spans="1:6" x14ac:dyDescent="0.3">
      <c r="A4936" t="s">
        <v>72</v>
      </c>
      <c r="B4936">
        <v>2022</v>
      </c>
      <c r="C4936" t="s">
        <v>14</v>
      </c>
      <c r="D4936" s="35">
        <v>4163777.2799999989</v>
      </c>
      <c r="E4936" s="35">
        <v>56155</v>
      </c>
      <c r="F4936" s="35">
        <v>1484198.96</v>
      </c>
    </row>
    <row r="4937" spans="1:6" x14ac:dyDescent="0.3">
      <c r="A4937" t="s">
        <v>72</v>
      </c>
      <c r="B4937">
        <v>2022</v>
      </c>
      <c r="C4937" t="s">
        <v>7</v>
      </c>
      <c r="D4937" s="35">
        <v>1990273.64</v>
      </c>
      <c r="E4937" s="35">
        <v>663</v>
      </c>
      <c r="F4937" s="35">
        <v>1990273.64</v>
      </c>
    </row>
    <row r="4938" spans="1:6" x14ac:dyDescent="0.3">
      <c r="A4938" t="s">
        <v>72</v>
      </c>
      <c r="B4938">
        <v>2022</v>
      </c>
      <c r="C4938" t="s">
        <v>11</v>
      </c>
      <c r="D4938" s="35">
        <v>12062484.039999999</v>
      </c>
      <c r="E4938" s="35">
        <v>8060</v>
      </c>
      <c r="F4938" s="35">
        <v>9716166.4800000004</v>
      </c>
    </row>
    <row r="4939" spans="1:6" x14ac:dyDescent="0.3">
      <c r="A4939" t="s">
        <v>72</v>
      </c>
      <c r="B4939">
        <v>2022</v>
      </c>
      <c r="C4939" t="s">
        <v>3</v>
      </c>
      <c r="D4939" s="35">
        <v>21879037.93</v>
      </c>
      <c r="E4939" s="35">
        <v>36052</v>
      </c>
      <c r="F4939" s="35">
        <v>20574184.449999999</v>
      </c>
    </row>
    <row r="4940" spans="1:6" x14ac:dyDescent="0.3">
      <c r="A4940" t="s">
        <v>72</v>
      </c>
      <c r="B4940">
        <v>2022</v>
      </c>
      <c r="C4940" t="s">
        <v>12</v>
      </c>
      <c r="D4940" s="35">
        <v>11225359.67</v>
      </c>
      <c r="E4940" s="35">
        <v>104484</v>
      </c>
      <c r="F4940" s="35">
        <v>3008712.2</v>
      </c>
    </row>
    <row r="4941" spans="1:6" x14ac:dyDescent="0.3">
      <c r="A4941" t="s">
        <v>72</v>
      </c>
      <c r="B4941">
        <v>2022</v>
      </c>
      <c r="C4941" t="s">
        <v>2</v>
      </c>
      <c r="D4941" s="35">
        <v>40640598.829999983</v>
      </c>
      <c r="E4941" s="35">
        <v>298201</v>
      </c>
      <c r="F4941" s="35">
        <v>31404481.989999998</v>
      </c>
    </row>
    <row r="4942" spans="1:6" x14ac:dyDescent="0.3">
      <c r="A4942" t="s">
        <v>72</v>
      </c>
      <c r="B4942">
        <v>2022</v>
      </c>
      <c r="C4942" t="s">
        <v>5</v>
      </c>
      <c r="D4942" s="35">
        <v>9928241.160000002</v>
      </c>
      <c r="E4942" s="35">
        <v>2649</v>
      </c>
      <c r="F4942" s="35">
        <v>9811933.0200000014</v>
      </c>
    </row>
    <row r="4943" spans="1:6" x14ac:dyDescent="0.3">
      <c r="A4943" t="s">
        <v>72</v>
      </c>
      <c r="B4943">
        <v>2022</v>
      </c>
      <c r="C4943" t="s">
        <v>17</v>
      </c>
      <c r="D4943" s="35">
        <v>3641992.1799999988</v>
      </c>
      <c r="E4943" s="35">
        <v>26742</v>
      </c>
      <c r="F4943" s="35">
        <v>430461.91</v>
      </c>
    </row>
    <row r="4944" spans="1:6" x14ac:dyDescent="0.3">
      <c r="A4944" t="s">
        <v>72</v>
      </c>
      <c r="B4944">
        <v>2022</v>
      </c>
      <c r="C4944" t="s">
        <v>9</v>
      </c>
      <c r="D4944" s="35">
        <v>7204180.2999999998</v>
      </c>
      <c r="E4944" s="35">
        <v>66312</v>
      </c>
      <c r="F4944" s="35">
        <v>1685712.96</v>
      </c>
    </row>
    <row r="4945" spans="1:6" x14ac:dyDescent="0.3">
      <c r="A4945" t="s">
        <v>72</v>
      </c>
      <c r="B4945">
        <v>2022</v>
      </c>
      <c r="C4945" t="s">
        <v>8</v>
      </c>
      <c r="D4945" s="35">
        <v>7312726.8100000015</v>
      </c>
      <c r="E4945" s="35">
        <v>508</v>
      </c>
      <c r="F4945" s="35">
        <v>7312726.8100000015</v>
      </c>
    </row>
    <row r="4946" spans="1:6" x14ac:dyDescent="0.3">
      <c r="A4946" t="s">
        <v>72</v>
      </c>
      <c r="B4946">
        <v>2022</v>
      </c>
      <c r="C4946" t="s">
        <v>6</v>
      </c>
      <c r="D4946" s="35">
        <v>14221135.9</v>
      </c>
      <c r="E4946" s="35">
        <v>125594</v>
      </c>
      <c r="F4946" s="35">
        <v>8312338.870000001</v>
      </c>
    </row>
    <row r="4947" spans="1:6" x14ac:dyDescent="0.3">
      <c r="A4947" t="s">
        <v>72</v>
      </c>
      <c r="B4947">
        <v>2022</v>
      </c>
      <c r="C4947" t="s">
        <v>15</v>
      </c>
      <c r="D4947" s="35">
        <v>3820593.41</v>
      </c>
      <c r="E4947" s="35">
        <v>34773</v>
      </c>
      <c r="F4947" s="35">
        <v>812006.89000000013</v>
      </c>
    </row>
    <row r="4948" spans="1:6" x14ac:dyDescent="0.3">
      <c r="A4948" t="s">
        <v>72</v>
      </c>
      <c r="B4948">
        <v>2022</v>
      </c>
      <c r="C4948" t="s">
        <v>18</v>
      </c>
      <c r="D4948" s="35">
        <v>2984112.1399999992</v>
      </c>
      <c r="E4948" s="35">
        <v>6502</v>
      </c>
      <c r="F4948" s="35">
        <v>2882401.33</v>
      </c>
    </row>
    <row r="4949" spans="1:6" x14ac:dyDescent="0.3">
      <c r="A4949" t="s">
        <v>72</v>
      </c>
      <c r="B4949">
        <v>2023</v>
      </c>
      <c r="C4949" t="s">
        <v>10</v>
      </c>
      <c r="D4949" s="35">
        <v>3323101.98</v>
      </c>
      <c r="E4949" s="35">
        <v>82452</v>
      </c>
      <c r="F4949" s="35">
        <v>2095971.44</v>
      </c>
    </row>
    <row r="4950" spans="1:6" x14ac:dyDescent="0.3">
      <c r="A4950" t="s">
        <v>72</v>
      </c>
      <c r="B4950">
        <v>2023</v>
      </c>
      <c r="C4950" t="s">
        <v>4</v>
      </c>
      <c r="D4950" s="35">
        <v>13340366.210000001</v>
      </c>
      <c r="E4950" s="35">
        <v>33021</v>
      </c>
      <c r="F4950" s="35">
        <v>13176177.34</v>
      </c>
    </row>
    <row r="4951" spans="1:6" x14ac:dyDescent="0.3">
      <c r="A4951" t="s">
        <v>72</v>
      </c>
      <c r="B4951">
        <v>2023</v>
      </c>
      <c r="C4951" t="s">
        <v>13</v>
      </c>
      <c r="D4951" s="35">
        <v>6799565.7999999998</v>
      </c>
      <c r="E4951" s="35">
        <v>37957</v>
      </c>
      <c r="F4951" s="35">
        <v>5759048.790000001</v>
      </c>
    </row>
    <row r="4952" spans="1:6" x14ac:dyDescent="0.3">
      <c r="A4952" t="s">
        <v>72</v>
      </c>
      <c r="B4952">
        <v>2023</v>
      </c>
      <c r="C4952" t="s">
        <v>16</v>
      </c>
      <c r="D4952" s="35">
        <v>805435.09000000008</v>
      </c>
      <c r="E4952" s="35">
        <v>3112</v>
      </c>
      <c r="F4952" s="35">
        <v>653963.37000000011</v>
      </c>
    </row>
    <row r="4953" spans="1:6" x14ac:dyDescent="0.3">
      <c r="A4953" t="s">
        <v>72</v>
      </c>
      <c r="B4953">
        <v>2023</v>
      </c>
      <c r="C4953" t="s">
        <v>14</v>
      </c>
      <c r="D4953" s="35">
        <v>2753426.7</v>
      </c>
      <c r="E4953" s="35">
        <v>54909</v>
      </c>
      <c r="F4953" s="35">
        <v>1222210.3999999999</v>
      </c>
    </row>
    <row r="4954" spans="1:6" x14ac:dyDescent="0.3">
      <c r="A4954" t="s">
        <v>72</v>
      </c>
      <c r="B4954">
        <v>2023</v>
      </c>
      <c r="C4954" t="s">
        <v>7</v>
      </c>
      <c r="D4954" s="35">
        <v>2424809.14</v>
      </c>
      <c r="E4954" s="35">
        <v>784</v>
      </c>
      <c r="F4954" s="35">
        <v>2424118.52</v>
      </c>
    </row>
    <row r="4955" spans="1:6" x14ac:dyDescent="0.3">
      <c r="A4955" t="s">
        <v>72</v>
      </c>
      <c r="B4955">
        <v>2023</v>
      </c>
      <c r="C4955" t="s">
        <v>11</v>
      </c>
      <c r="D4955" s="35">
        <v>13084358.050000001</v>
      </c>
      <c r="E4955" s="35">
        <v>9893</v>
      </c>
      <c r="F4955" s="35">
        <v>10764623.369999999</v>
      </c>
    </row>
    <row r="4956" spans="1:6" x14ac:dyDescent="0.3">
      <c r="A4956" t="s">
        <v>72</v>
      </c>
      <c r="B4956">
        <v>2023</v>
      </c>
      <c r="C4956" t="s">
        <v>3</v>
      </c>
      <c r="D4956" s="35">
        <v>26332164.449999992</v>
      </c>
      <c r="E4956" s="35">
        <v>33544</v>
      </c>
      <c r="F4956" s="35">
        <v>25666070.110000011</v>
      </c>
    </row>
    <row r="4957" spans="1:6" x14ac:dyDescent="0.3">
      <c r="A4957" t="s">
        <v>72</v>
      </c>
      <c r="B4957">
        <v>2023</v>
      </c>
      <c r="C4957" t="s">
        <v>12</v>
      </c>
      <c r="D4957" s="35">
        <v>5858811.379999999</v>
      </c>
      <c r="E4957" s="35">
        <v>92500</v>
      </c>
      <c r="F4957" s="35">
        <v>3704508.15</v>
      </c>
    </row>
    <row r="4958" spans="1:6" x14ac:dyDescent="0.3">
      <c r="A4958" t="s">
        <v>72</v>
      </c>
      <c r="B4958">
        <v>2023</v>
      </c>
      <c r="C4958" t="s">
        <v>2</v>
      </c>
      <c r="D4958" s="35">
        <v>39065911.04999999</v>
      </c>
      <c r="E4958" s="35">
        <v>289682</v>
      </c>
      <c r="F4958" s="35">
        <v>32713578.420000009</v>
      </c>
    </row>
    <row r="4959" spans="1:6" x14ac:dyDescent="0.3">
      <c r="A4959" t="s">
        <v>72</v>
      </c>
      <c r="B4959">
        <v>2023</v>
      </c>
      <c r="C4959" t="s">
        <v>5</v>
      </c>
      <c r="D4959" s="35">
        <v>11674486.91</v>
      </c>
      <c r="E4959" s="35">
        <v>2582</v>
      </c>
      <c r="F4959" s="35">
        <v>11565941.640000001</v>
      </c>
    </row>
    <row r="4960" spans="1:6" x14ac:dyDescent="0.3">
      <c r="A4960" t="s">
        <v>72</v>
      </c>
      <c r="B4960">
        <v>2023</v>
      </c>
      <c r="C4960" t="s">
        <v>17</v>
      </c>
      <c r="D4960" s="35">
        <v>3945647.4</v>
      </c>
      <c r="E4960" s="35">
        <v>27071</v>
      </c>
      <c r="F4960" s="35">
        <v>519467.84</v>
      </c>
    </row>
    <row r="4961" spans="1:6" x14ac:dyDescent="0.3">
      <c r="A4961" t="s">
        <v>72</v>
      </c>
      <c r="B4961">
        <v>2023</v>
      </c>
      <c r="C4961" t="s">
        <v>9</v>
      </c>
      <c r="D4961" s="35">
        <v>3601984.45</v>
      </c>
      <c r="E4961" s="35">
        <v>61452</v>
      </c>
      <c r="F4961" s="35">
        <v>1606961.92</v>
      </c>
    </row>
    <row r="4962" spans="1:6" x14ac:dyDescent="0.3">
      <c r="A4962" t="s">
        <v>72</v>
      </c>
      <c r="B4962">
        <v>2023</v>
      </c>
      <c r="C4962" t="s">
        <v>8</v>
      </c>
      <c r="D4962" s="35">
        <v>6500610.5800000001</v>
      </c>
      <c r="E4962" s="35">
        <v>479</v>
      </c>
      <c r="F4962" s="35">
        <v>6500610.5800000001</v>
      </c>
    </row>
    <row r="4963" spans="1:6" x14ac:dyDescent="0.3">
      <c r="A4963" t="s">
        <v>72</v>
      </c>
      <c r="B4963">
        <v>2023</v>
      </c>
      <c r="C4963" t="s">
        <v>6</v>
      </c>
      <c r="D4963" s="35">
        <v>8809504.7300000004</v>
      </c>
      <c r="E4963" s="35">
        <v>112127</v>
      </c>
      <c r="F4963" s="35">
        <v>6426350.6600000001</v>
      </c>
    </row>
    <row r="4964" spans="1:6" x14ac:dyDescent="0.3">
      <c r="A4964" t="s">
        <v>72</v>
      </c>
      <c r="B4964">
        <v>2023</v>
      </c>
      <c r="C4964" t="s">
        <v>15</v>
      </c>
      <c r="D4964" s="35">
        <v>1376148.73</v>
      </c>
      <c r="E4964" s="35">
        <v>23242</v>
      </c>
      <c r="F4964" s="35">
        <v>594510.09</v>
      </c>
    </row>
    <row r="4965" spans="1:6" x14ac:dyDescent="0.3">
      <c r="A4965" t="s">
        <v>72</v>
      </c>
      <c r="B4965">
        <v>2023</v>
      </c>
      <c r="C4965" t="s">
        <v>18</v>
      </c>
      <c r="D4965" s="35">
        <v>1864758.39</v>
      </c>
      <c r="E4965" s="35">
        <v>5144</v>
      </c>
      <c r="F4965" s="35">
        <v>1829538.12</v>
      </c>
    </row>
    <row r="4966" spans="1:6" x14ac:dyDescent="0.3">
      <c r="A4966" t="s">
        <v>72</v>
      </c>
      <c r="B4966">
        <v>2024</v>
      </c>
      <c r="C4966" t="s">
        <v>10</v>
      </c>
      <c r="D4966" s="35">
        <v>12203608.470000001</v>
      </c>
      <c r="E4966" s="35">
        <v>139429</v>
      </c>
      <c r="F4966" s="35">
        <v>4329780.1899999985</v>
      </c>
    </row>
    <row r="4967" spans="1:6" x14ac:dyDescent="0.3">
      <c r="A4967" t="s">
        <v>72</v>
      </c>
      <c r="B4967">
        <v>2024</v>
      </c>
      <c r="C4967" t="s">
        <v>4</v>
      </c>
      <c r="D4967" s="35">
        <v>21225365.219999999</v>
      </c>
      <c r="E4967" s="35">
        <v>52306</v>
      </c>
      <c r="F4967" s="35">
        <v>20240419.170000002</v>
      </c>
    </row>
    <row r="4968" spans="1:6" x14ac:dyDescent="0.3">
      <c r="A4968" t="s">
        <v>72</v>
      </c>
      <c r="B4968">
        <v>2024</v>
      </c>
      <c r="C4968" t="s">
        <v>13</v>
      </c>
      <c r="D4968" s="35">
        <v>10884974.91</v>
      </c>
      <c r="E4968" s="35">
        <v>49241</v>
      </c>
      <c r="F4968" s="35">
        <v>8325937.5</v>
      </c>
    </row>
    <row r="4969" spans="1:6" x14ac:dyDescent="0.3">
      <c r="A4969" t="s">
        <v>72</v>
      </c>
      <c r="B4969">
        <v>2024</v>
      </c>
      <c r="C4969" t="s">
        <v>16</v>
      </c>
      <c r="D4969" s="35">
        <v>1661656.84</v>
      </c>
      <c r="E4969" s="35">
        <v>4330</v>
      </c>
      <c r="F4969" s="35">
        <v>1440722.33</v>
      </c>
    </row>
    <row r="4970" spans="1:6" x14ac:dyDescent="0.3">
      <c r="A4970" t="s">
        <v>72</v>
      </c>
      <c r="B4970">
        <v>2024</v>
      </c>
      <c r="C4970" t="s">
        <v>14</v>
      </c>
      <c r="D4970" s="35">
        <v>6640527.0899999989</v>
      </c>
      <c r="E4970" s="35">
        <v>75196</v>
      </c>
      <c r="F4970" s="35">
        <v>1794445.73</v>
      </c>
    </row>
    <row r="4971" spans="1:6" x14ac:dyDescent="0.3">
      <c r="A4971" t="s">
        <v>72</v>
      </c>
      <c r="B4971">
        <v>2024</v>
      </c>
      <c r="C4971" t="s">
        <v>7</v>
      </c>
      <c r="D4971" s="35">
        <v>5032000.6800000006</v>
      </c>
      <c r="E4971" s="35">
        <v>1561</v>
      </c>
      <c r="F4971" s="35">
        <v>5030202.41</v>
      </c>
    </row>
    <row r="4972" spans="1:6" x14ac:dyDescent="0.3">
      <c r="A4972" t="s">
        <v>72</v>
      </c>
      <c r="B4972">
        <v>2024</v>
      </c>
      <c r="C4972" t="s">
        <v>11</v>
      </c>
      <c r="D4972" s="35">
        <v>13697912.91</v>
      </c>
      <c r="E4972" s="35">
        <v>11671</v>
      </c>
      <c r="F4972" s="35">
        <v>10594675.359999999</v>
      </c>
    </row>
    <row r="4973" spans="1:6" x14ac:dyDescent="0.3">
      <c r="A4973" t="s">
        <v>72</v>
      </c>
      <c r="B4973">
        <v>2024</v>
      </c>
      <c r="C4973" t="s">
        <v>3</v>
      </c>
      <c r="D4973" s="35">
        <v>38901987.720000014</v>
      </c>
      <c r="E4973" s="35">
        <v>44412</v>
      </c>
      <c r="F4973" s="35">
        <v>36995305.609999999</v>
      </c>
    </row>
    <row r="4974" spans="1:6" x14ac:dyDescent="0.3">
      <c r="A4974" t="s">
        <v>72</v>
      </c>
      <c r="B4974">
        <v>2024</v>
      </c>
      <c r="C4974" t="s">
        <v>12</v>
      </c>
      <c r="D4974" s="35">
        <v>20003766.890000001</v>
      </c>
      <c r="E4974" s="35">
        <v>127914</v>
      </c>
      <c r="F4974" s="35">
        <v>6306606.2499999991</v>
      </c>
    </row>
    <row r="4975" spans="1:6" x14ac:dyDescent="0.3">
      <c r="A4975" t="s">
        <v>72</v>
      </c>
      <c r="B4975">
        <v>2024</v>
      </c>
      <c r="C4975" t="s">
        <v>2</v>
      </c>
      <c r="D4975" s="35">
        <v>62692308.670000009</v>
      </c>
      <c r="E4975" s="35">
        <v>380664</v>
      </c>
      <c r="F4975" s="35">
        <v>45652289.389999993</v>
      </c>
    </row>
    <row r="4976" spans="1:6" x14ac:dyDescent="0.3">
      <c r="A4976" t="s">
        <v>72</v>
      </c>
      <c r="B4976">
        <v>2024</v>
      </c>
      <c r="C4976" t="s">
        <v>5</v>
      </c>
      <c r="D4976" s="35">
        <v>16613925.82</v>
      </c>
      <c r="E4976" s="35">
        <v>3592</v>
      </c>
      <c r="F4976" s="35">
        <v>16447747.1</v>
      </c>
    </row>
    <row r="4977" spans="1:6" x14ac:dyDescent="0.3">
      <c r="A4977" t="s">
        <v>72</v>
      </c>
      <c r="B4977">
        <v>2024</v>
      </c>
      <c r="C4977" t="s">
        <v>17</v>
      </c>
      <c r="D4977" s="35">
        <v>4574459.6500000004</v>
      </c>
      <c r="E4977" s="35">
        <v>32831</v>
      </c>
      <c r="F4977" s="35">
        <v>546096.37</v>
      </c>
    </row>
    <row r="4978" spans="1:6" x14ac:dyDescent="0.3">
      <c r="A4978" t="s">
        <v>72</v>
      </c>
      <c r="B4978">
        <v>2024</v>
      </c>
      <c r="C4978" t="s">
        <v>9</v>
      </c>
      <c r="D4978" s="35">
        <v>14241507.710000001</v>
      </c>
      <c r="E4978" s="35">
        <v>100068</v>
      </c>
      <c r="F4978" s="35">
        <v>2780471.65</v>
      </c>
    </row>
    <row r="4979" spans="1:6" x14ac:dyDescent="0.3">
      <c r="A4979" t="s">
        <v>72</v>
      </c>
      <c r="B4979">
        <v>2024</v>
      </c>
      <c r="C4979" t="s">
        <v>8</v>
      </c>
      <c r="D4979" s="35">
        <v>8377239.8699999992</v>
      </c>
      <c r="E4979" s="35">
        <v>489</v>
      </c>
      <c r="F4979" s="35">
        <v>8377239.8699999992</v>
      </c>
    </row>
    <row r="4980" spans="1:6" x14ac:dyDescent="0.3">
      <c r="A4980" t="s">
        <v>72</v>
      </c>
      <c r="B4980">
        <v>2024</v>
      </c>
      <c r="C4980" t="s">
        <v>6</v>
      </c>
      <c r="D4980" s="35">
        <v>21202854.120000001</v>
      </c>
      <c r="E4980" s="35">
        <v>148247</v>
      </c>
      <c r="F4980" s="35">
        <v>11134216.859999999</v>
      </c>
    </row>
    <row r="4981" spans="1:6" x14ac:dyDescent="0.3">
      <c r="A4981" t="s">
        <v>72</v>
      </c>
      <c r="B4981">
        <v>2024</v>
      </c>
      <c r="C4981" t="s">
        <v>15</v>
      </c>
      <c r="D4981" s="35">
        <v>4314565.6499999994</v>
      </c>
      <c r="E4981" s="35">
        <v>27425</v>
      </c>
      <c r="F4981" s="35">
        <v>712148.45</v>
      </c>
    </row>
    <row r="4982" spans="1:6" x14ac:dyDescent="0.3">
      <c r="A4982" t="s">
        <v>72</v>
      </c>
      <c r="B4982">
        <v>2024</v>
      </c>
      <c r="C4982" t="s">
        <v>18</v>
      </c>
      <c r="D4982" s="35">
        <v>2090366.22</v>
      </c>
      <c r="E4982" s="35">
        <v>6469</v>
      </c>
      <c r="F4982" s="35">
        <v>1920885.7</v>
      </c>
    </row>
    <row r="4983" spans="1:6" x14ac:dyDescent="0.3">
      <c r="A4983" t="s">
        <v>72</v>
      </c>
      <c r="B4983">
        <v>2025</v>
      </c>
      <c r="C4983" t="s">
        <v>10</v>
      </c>
      <c r="D4983" s="35">
        <v>11907525.779999999</v>
      </c>
      <c r="E4983" s="35">
        <v>163260</v>
      </c>
      <c r="F4983" s="35">
        <v>4763197.0999999996</v>
      </c>
    </row>
    <row r="4984" spans="1:6" x14ac:dyDescent="0.3">
      <c r="A4984" t="s">
        <v>72</v>
      </c>
      <c r="B4984">
        <v>2025</v>
      </c>
      <c r="C4984" t="s">
        <v>4</v>
      </c>
      <c r="D4984" s="35">
        <v>26095094.91</v>
      </c>
      <c r="E4984" s="35">
        <v>61264</v>
      </c>
      <c r="F4984" s="35">
        <v>25198276.84</v>
      </c>
    </row>
    <row r="4985" spans="1:6" x14ac:dyDescent="0.3">
      <c r="A4985" t="s">
        <v>72</v>
      </c>
      <c r="B4985">
        <v>2025</v>
      </c>
      <c r="C4985" t="s">
        <v>13</v>
      </c>
      <c r="D4985" s="35">
        <v>11653767.48</v>
      </c>
      <c r="E4985" s="35">
        <v>54963</v>
      </c>
      <c r="F4985" s="35">
        <v>9215451.9800000023</v>
      </c>
    </row>
    <row r="4986" spans="1:6" x14ac:dyDescent="0.3">
      <c r="A4986" t="s">
        <v>72</v>
      </c>
      <c r="B4986">
        <v>2025</v>
      </c>
      <c r="C4986" t="s">
        <v>16</v>
      </c>
      <c r="D4986" s="35">
        <v>1380792.25</v>
      </c>
      <c r="E4986" s="35">
        <v>4485</v>
      </c>
      <c r="F4986" s="35">
        <v>1182464.42</v>
      </c>
    </row>
    <row r="4987" spans="1:6" x14ac:dyDescent="0.3">
      <c r="A4987" t="s">
        <v>72</v>
      </c>
      <c r="B4987">
        <v>2025</v>
      </c>
      <c r="C4987" t="s">
        <v>14</v>
      </c>
      <c r="D4987" s="35">
        <v>7089331.6000000006</v>
      </c>
      <c r="E4987" s="35">
        <v>83037</v>
      </c>
      <c r="F4987" s="35">
        <v>2414951.7400000002</v>
      </c>
    </row>
    <row r="4988" spans="1:6" x14ac:dyDescent="0.3">
      <c r="A4988" t="s">
        <v>72</v>
      </c>
      <c r="B4988">
        <v>2025</v>
      </c>
      <c r="C4988" t="s">
        <v>7</v>
      </c>
      <c r="D4988" s="35">
        <v>6211471.0899999999</v>
      </c>
      <c r="E4988" s="35">
        <v>1794</v>
      </c>
      <c r="F4988" s="35">
        <v>6207943.29</v>
      </c>
    </row>
    <row r="4989" spans="1:6" x14ac:dyDescent="0.3">
      <c r="A4989" t="s">
        <v>72</v>
      </c>
      <c r="B4989">
        <v>2025</v>
      </c>
      <c r="C4989" t="s">
        <v>11</v>
      </c>
      <c r="D4989" s="35">
        <v>13423248.289999999</v>
      </c>
      <c r="E4989" s="35">
        <v>12459</v>
      </c>
      <c r="F4989" s="35">
        <v>9959437.6099999994</v>
      </c>
    </row>
    <row r="4990" spans="1:6" x14ac:dyDescent="0.3">
      <c r="A4990" t="s">
        <v>72</v>
      </c>
      <c r="B4990">
        <v>2025</v>
      </c>
      <c r="C4990" t="s">
        <v>3</v>
      </c>
      <c r="D4990" s="35">
        <v>48082985.700000003</v>
      </c>
      <c r="E4990" s="35">
        <v>49790</v>
      </c>
      <c r="F4990" s="35">
        <v>46229223.579999998</v>
      </c>
    </row>
    <row r="4991" spans="1:6" x14ac:dyDescent="0.3">
      <c r="A4991" t="s">
        <v>72</v>
      </c>
      <c r="B4991">
        <v>2025</v>
      </c>
      <c r="C4991" t="s">
        <v>12</v>
      </c>
      <c r="D4991" s="35">
        <v>17251305.219999999</v>
      </c>
      <c r="E4991" s="35">
        <v>126025</v>
      </c>
      <c r="F4991" s="35">
        <v>5706204.3500000006</v>
      </c>
    </row>
    <row r="4992" spans="1:6" x14ac:dyDescent="0.3">
      <c r="A4992" t="s">
        <v>72</v>
      </c>
      <c r="B4992">
        <v>2025</v>
      </c>
      <c r="C4992" t="s">
        <v>2</v>
      </c>
      <c r="D4992" s="35">
        <v>68004781.450000003</v>
      </c>
      <c r="E4992" s="35">
        <v>430478</v>
      </c>
      <c r="F4992" s="35">
        <v>50465882.289999992</v>
      </c>
    </row>
    <row r="4993" spans="1:6" x14ac:dyDescent="0.3">
      <c r="A4993" t="s">
        <v>72</v>
      </c>
      <c r="B4993">
        <v>2025</v>
      </c>
      <c r="C4993" t="s">
        <v>5</v>
      </c>
      <c r="D4993" s="35">
        <v>18199094.609999999</v>
      </c>
      <c r="E4993" s="35">
        <v>3599</v>
      </c>
      <c r="F4993" s="35">
        <v>18046258.190000001</v>
      </c>
    </row>
    <row r="4994" spans="1:6" x14ac:dyDescent="0.3">
      <c r="A4994" t="s">
        <v>72</v>
      </c>
      <c r="B4994">
        <v>2025</v>
      </c>
      <c r="C4994" t="s">
        <v>17</v>
      </c>
      <c r="D4994" s="35">
        <v>3796929.7</v>
      </c>
      <c r="E4994" s="35">
        <v>31983</v>
      </c>
      <c r="F4994" s="35">
        <v>408021</v>
      </c>
    </row>
    <row r="4995" spans="1:6" x14ac:dyDescent="0.3">
      <c r="A4995" t="s">
        <v>72</v>
      </c>
      <c r="B4995">
        <v>2025</v>
      </c>
      <c r="C4995" t="s">
        <v>9</v>
      </c>
      <c r="D4995" s="35">
        <v>13827797.439999999</v>
      </c>
      <c r="E4995" s="35">
        <v>113311</v>
      </c>
      <c r="F4995" s="35">
        <v>2768639.59</v>
      </c>
    </row>
    <row r="4996" spans="1:6" x14ac:dyDescent="0.3">
      <c r="A4996" t="s">
        <v>72</v>
      </c>
      <c r="B4996">
        <v>2025</v>
      </c>
      <c r="C4996" t="s">
        <v>8</v>
      </c>
      <c r="D4996" s="35">
        <v>8993146.5199999996</v>
      </c>
      <c r="E4996" s="35">
        <v>495</v>
      </c>
      <c r="F4996" s="35">
        <v>8993146.5199999996</v>
      </c>
    </row>
    <row r="4997" spans="1:6" x14ac:dyDescent="0.3">
      <c r="A4997" t="s">
        <v>72</v>
      </c>
      <c r="B4997">
        <v>2025</v>
      </c>
      <c r="C4997" t="s">
        <v>6</v>
      </c>
      <c r="D4997" s="35">
        <v>21291121.899999999</v>
      </c>
      <c r="E4997" s="35">
        <v>159008</v>
      </c>
      <c r="F4997" s="35">
        <v>12150575.99</v>
      </c>
    </row>
    <row r="4998" spans="1:6" x14ac:dyDescent="0.3">
      <c r="A4998" t="s">
        <v>72</v>
      </c>
      <c r="B4998">
        <v>2025</v>
      </c>
      <c r="C4998" t="s">
        <v>15</v>
      </c>
      <c r="D4998" s="35">
        <v>4184925.33</v>
      </c>
      <c r="E4998" s="35">
        <v>26928</v>
      </c>
      <c r="F4998" s="35">
        <v>1224644.98</v>
      </c>
    </row>
    <row r="4999" spans="1:6" x14ac:dyDescent="0.3">
      <c r="A4999" t="s">
        <v>72</v>
      </c>
      <c r="B4999">
        <v>2025</v>
      </c>
      <c r="C4999" t="s">
        <v>18</v>
      </c>
      <c r="D4999" s="35">
        <v>1015973.62</v>
      </c>
      <c r="E4999" s="35">
        <v>6665</v>
      </c>
      <c r="F4999" s="35">
        <v>693346.05</v>
      </c>
    </row>
    <row r="5000" spans="1:6" x14ac:dyDescent="0.3">
      <c r="A5000" t="s">
        <v>73</v>
      </c>
      <c r="B5000">
        <v>2019</v>
      </c>
      <c r="C5000" t="s">
        <v>10</v>
      </c>
      <c r="D5000" s="35">
        <v>37932912.530000001</v>
      </c>
      <c r="E5000" s="35">
        <v>1869182</v>
      </c>
      <c r="F5000" s="35">
        <v>19796718.289999999</v>
      </c>
    </row>
    <row r="5001" spans="1:6" x14ac:dyDescent="0.3">
      <c r="A5001" t="s">
        <v>73</v>
      </c>
      <c r="B5001">
        <v>2019</v>
      </c>
      <c r="C5001" t="s">
        <v>4</v>
      </c>
      <c r="D5001" s="35">
        <v>119909182.70999999</v>
      </c>
      <c r="E5001" s="35">
        <v>450848</v>
      </c>
      <c r="F5001" s="35">
        <v>117654947.12</v>
      </c>
    </row>
    <row r="5002" spans="1:6" x14ac:dyDescent="0.3">
      <c r="A5002" t="s">
        <v>73</v>
      </c>
      <c r="B5002">
        <v>2019</v>
      </c>
      <c r="C5002" t="s">
        <v>13</v>
      </c>
      <c r="D5002" s="35">
        <v>66709115.510000013</v>
      </c>
      <c r="E5002" s="35">
        <v>703666</v>
      </c>
      <c r="F5002" s="35">
        <v>55074331.989999987</v>
      </c>
    </row>
    <row r="5003" spans="1:6" x14ac:dyDescent="0.3">
      <c r="A5003" t="s">
        <v>73</v>
      </c>
      <c r="B5003">
        <v>2019</v>
      </c>
      <c r="C5003" t="s">
        <v>16</v>
      </c>
      <c r="D5003" s="35">
        <v>13425160.199999999</v>
      </c>
      <c r="E5003" s="35">
        <v>56881</v>
      </c>
      <c r="F5003" s="35">
        <v>12679205.09</v>
      </c>
    </row>
    <row r="5004" spans="1:6" x14ac:dyDescent="0.3">
      <c r="A5004" t="s">
        <v>73</v>
      </c>
      <c r="B5004">
        <v>2019</v>
      </c>
      <c r="C5004" t="s">
        <v>14</v>
      </c>
      <c r="D5004" s="35">
        <v>28299539.539999999</v>
      </c>
      <c r="E5004" s="35">
        <v>932289</v>
      </c>
      <c r="F5004" s="35">
        <v>18655224.789999999</v>
      </c>
    </row>
    <row r="5005" spans="1:6" x14ac:dyDescent="0.3">
      <c r="A5005" t="s">
        <v>73</v>
      </c>
      <c r="B5005">
        <v>2019</v>
      </c>
      <c r="C5005" t="s">
        <v>7</v>
      </c>
      <c r="D5005" s="35">
        <v>44161253.229999997</v>
      </c>
      <c r="E5005" s="35">
        <v>21349</v>
      </c>
      <c r="F5005" s="35">
        <v>43960578.68</v>
      </c>
    </row>
    <row r="5006" spans="1:6" x14ac:dyDescent="0.3">
      <c r="A5006" t="s">
        <v>73</v>
      </c>
      <c r="B5006">
        <v>2019</v>
      </c>
      <c r="C5006" t="s">
        <v>11</v>
      </c>
      <c r="D5006" s="35">
        <v>37101796.490000002</v>
      </c>
      <c r="E5006" s="35">
        <v>118567</v>
      </c>
      <c r="F5006" s="35">
        <v>36227227.899999999</v>
      </c>
    </row>
    <row r="5007" spans="1:6" x14ac:dyDescent="0.3">
      <c r="A5007" t="s">
        <v>73</v>
      </c>
      <c r="B5007">
        <v>2019</v>
      </c>
      <c r="C5007" t="s">
        <v>3</v>
      </c>
      <c r="D5007" s="35">
        <v>96027779.409999982</v>
      </c>
      <c r="E5007" s="35">
        <v>809334</v>
      </c>
      <c r="F5007" s="35">
        <v>88140051.709999993</v>
      </c>
    </row>
    <row r="5008" spans="1:6" x14ac:dyDescent="0.3">
      <c r="A5008" t="s">
        <v>73</v>
      </c>
      <c r="B5008">
        <v>2019</v>
      </c>
      <c r="C5008" t="s">
        <v>12</v>
      </c>
      <c r="D5008" s="35">
        <v>124699947.2</v>
      </c>
      <c r="E5008" s="35">
        <v>1978279</v>
      </c>
      <c r="F5008" s="35">
        <v>97300418.640000015</v>
      </c>
    </row>
    <row r="5009" spans="1:6" x14ac:dyDescent="0.3">
      <c r="A5009" t="s">
        <v>73</v>
      </c>
      <c r="B5009">
        <v>2019</v>
      </c>
      <c r="C5009" t="s">
        <v>2</v>
      </c>
      <c r="D5009" s="35">
        <v>311253308.68000013</v>
      </c>
      <c r="E5009" s="35">
        <v>3030498</v>
      </c>
      <c r="F5009" s="35">
        <v>262849416.94000009</v>
      </c>
    </row>
    <row r="5010" spans="1:6" x14ac:dyDescent="0.3">
      <c r="A5010" t="s">
        <v>73</v>
      </c>
      <c r="B5010">
        <v>2019</v>
      </c>
      <c r="C5010" t="s">
        <v>5</v>
      </c>
      <c r="D5010" s="35">
        <v>88470649.060000002</v>
      </c>
      <c r="E5010" s="35">
        <v>63275</v>
      </c>
      <c r="F5010" s="35">
        <v>85969658.239999995</v>
      </c>
    </row>
    <row r="5011" spans="1:6" x14ac:dyDescent="0.3">
      <c r="A5011" t="s">
        <v>73</v>
      </c>
      <c r="B5011">
        <v>2019</v>
      </c>
      <c r="C5011" t="s">
        <v>17</v>
      </c>
      <c r="D5011" s="35">
        <v>2214508.65</v>
      </c>
      <c r="E5011" s="35">
        <v>205759</v>
      </c>
      <c r="F5011" s="35">
        <v>808621.94000000006</v>
      </c>
    </row>
    <row r="5012" spans="1:6" x14ac:dyDescent="0.3">
      <c r="A5012" t="s">
        <v>73</v>
      </c>
      <c r="B5012">
        <v>2019</v>
      </c>
      <c r="C5012" t="s">
        <v>9</v>
      </c>
      <c r="D5012" s="35">
        <v>27179077.360000011</v>
      </c>
      <c r="E5012" s="35">
        <v>1321838</v>
      </c>
      <c r="F5012" s="35">
        <v>12226571.65</v>
      </c>
    </row>
    <row r="5013" spans="1:6" x14ac:dyDescent="0.3">
      <c r="A5013" t="s">
        <v>73</v>
      </c>
      <c r="B5013">
        <v>2019</v>
      </c>
      <c r="C5013" t="s">
        <v>8</v>
      </c>
      <c r="D5013" s="35">
        <v>43784917.79999999</v>
      </c>
      <c r="E5013" s="35">
        <v>4250</v>
      </c>
      <c r="F5013" s="35">
        <v>43784917.79999999</v>
      </c>
    </row>
    <row r="5014" spans="1:6" x14ac:dyDescent="0.3">
      <c r="A5014" t="s">
        <v>73</v>
      </c>
      <c r="B5014">
        <v>2019</v>
      </c>
      <c r="C5014" t="s">
        <v>6</v>
      </c>
      <c r="D5014" s="35">
        <v>116444571.84</v>
      </c>
      <c r="E5014" s="35">
        <v>1743238</v>
      </c>
      <c r="F5014" s="35">
        <v>99622004.86999999</v>
      </c>
    </row>
    <row r="5015" spans="1:6" x14ac:dyDescent="0.3">
      <c r="A5015" t="s">
        <v>73</v>
      </c>
      <c r="B5015">
        <v>2019</v>
      </c>
      <c r="C5015" t="s">
        <v>15</v>
      </c>
      <c r="D5015" s="35">
        <v>45370907.009999998</v>
      </c>
      <c r="E5015" s="35">
        <v>759470</v>
      </c>
      <c r="F5015" s="35">
        <v>34756220.68</v>
      </c>
    </row>
    <row r="5016" spans="1:6" x14ac:dyDescent="0.3">
      <c r="A5016" t="s">
        <v>73</v>
      </c>
      <c r="B5016">
        <v>2019</v>
      </c>
      <c r="C5016" t="s">
        <v>18</v>
      </c>
      <c r="D5016" s="35">
        <v>6060443.2200000007</v>
      </c>
      <c r="E5016" s="35">
        <v>51812</v>
      </c>
      <c r="F5016" s="35">
        <v>5436144.5300000003</v>
      </c>
    </row>
    <row r="5017" spans="1:6" x14ac:dyDescent="0.3">
      <c r="A5017" t="s">
        <v>73</v>
      </c>
      <c r="B5017">
        <v>2020</v>
      </c>
      <c r="C5017" t="s">
        <v>10</v>
      </c>
      <c r="D5017" s="35">
        <v>45252917.040000007</v>
      </c>
      <c r="E5017" s="35">
        <v>1841597</v>
      </c>
      <c r="F5017" s="35">
        <v>24754962.91</v>
      </c>
    </row>
    <row r="5018" spans="1:6" x14ac:dyDescent="0.3">
      <c r="A5018" t="s">
        <v>73</v>
      </c>
      <c r="B5018">
        <v>2020</v>
      </c>
      <c r="C5018" t="s">
        <v>4</v>
      </c>
      <c r="D5018" s="35">
        <v>134087357.93000001</v>
      </c>
      <c r="E5018" s="35">
        <v>471262</v>
      </c>
      <c r="F5018" s="35">
        <v>131387916.05</v>
      </c>
    </row>
    <row r="5019" spans="1:6" x14ac:dyDescent="0.3">
      <c r="A5019" t="s">
        <v>73</v>
      </c>
      <c r="B5019">
        <v>2020</v>
      </c>
      <c r="C5019" t="s">
        <v>13</v>
      </c>
      <c r="D5019" s="35">
        <v>68767806.020000011</v>
      </c>
      <c r="E5019" s="35">
        <v>705603</v>
      </c>
      <c r="F5019" s="35">
        <v>55623525.539999992</v>
      </c>
    </row>
    <row r="5020" spans="1:6" x14ac:dyDescent="0.3">
      <c r="A5020" t="s">
        <v>73</v>
      </c>
      <c r="B5020">
        <v>2020</v>
      </c>
      <c r="C5020" t="s">
        <v>16</v>
      </c>
      <c r="D5020" s="35">
        <v>12182217.970000001</v>
      </c>
      <c r="E5020" s="35">
        <v>52601</v>
      </c>
      <c r="F5020" s="35">
        <v>11348758.029999999</v>
      </c>
    </row>
    <row r="5021" spans="1:6" x14ac:dyDescent="0.3">
      <c r="A5021" t="s">
        <v>73</v>
      </c>
      <c r="B5021">
        <v>2020</v>
      </c>
      <c r="C5021" t="s">
        <v>14</v>
      </c>
      <c r="D5021" s="35">
        <v>39583831.56000001</v>
      </c>
      <c r="E5021" s="35">
        <v>969390</v>
      </c>
      <c r="F5021" s="35">
        <v>26478155.260000002</v>
      </c>
    </row>
    <row r="5022" spans="1:6" x14ac:dyDescent="0.3">
      <c r="A5022" t="s">
        <v>73</v>
      </c>
      <c r="B5022">
        <v>2020</v>
      </c>
      <c r="C5022" t="s">
        <v>7</v>
      </c>
      <c r="D5022" s="35">
        <v>46474394.940000013</v>
      </c>
      <c r="E5022" s="35">
        <v>18921</v>
      </c>
      <c r="F5022" s="35">
        <v>46322875.270000003</v>
      </c>
    </row>
    <row r="5023" spans="1:6" x14ac:dyDescent="0.3">
      <c r="A5023" t="s">
        <v>73</v>
      </c>
      <c r="B5023">
        <v>2020</v>
      </c>
      <c r="C5023" t="s">
        <v>11</v>
      </c>
      <c r="D5023" s="35">
        <v>37940627.450000003</v>
      </c>
      <c r="E5023" s="35">
        <v>109804</v>
      </c>
      <c r="F5023" s="35">
        <v>37147522.440000013</v>
      </c>
    </row>
    <row r="5024" spans="1:6" x14ac:dyDescent="0.3">
      <c r="A5024" t="s">
        <v>73</v>
      </c>
      <c r="B5024">
        <v>2020</v>
      </c>
      <c r="C5024" t="s">
        <v>3</v>
      </c>
      <c r="D5024" s="35">
        <v>124782698.36</v>
      </c>
      <c r="E5024" s="35">
        <v>651877</v>
      </c>
      <c r="F5024" s="35">
        <v>116690277.52</v>
      </c>
    </row>
    <row r="5025" spans="1:6" x14ac:dyDescent="0.3">
      <c r="A5025" t="s">
        <v>73</v>
      </c>
      <c r="B5025">
        <v>2020</v>
      </c>
      <c r="C5025" t="s">
        <v>12</v>
      </c>
      <c r="D5025" s="35">
        <v>99325183.840000018</v>
      </c>
      <c r="E5025" s="35">
        <v>1576350</v>
      </c>
      <c r="F5025" s="35">
        <v>73079729.899999991</v>
      </c>
    </row>
    <row r="5026" spans="1:6" x14ac:dyDescent="0.3">
      <c r="A5026" t="s">
        <v>73</v>
      </c>
      <c r="B5026">
        <v>2020</v>
      </c>
      <c r="C5026" t="s">
        <v>2</v>
      </c>
      <c r="D5026" s="35">
        <v>316450459.35000002</v>
      </c>
      <c r="E5026" s="35">
        <v>3131844</v>
      </c>
      <c r="F5026" s="35">
        <v>262446429.80000001</v>
      </c>
    </row>
    <row r="5027" spans="1:6" x14ac:dyDescent="0.3">
      <c r="A5027" t="s">
        <v>73</v>
      </c>
      <c r="B5027">
        <v>2020</v>
      </c>
      <c r="C5027" t="s">
        <v>5</v>
      </c>
      <c r="D5027" s="35">
        <v>105068448.72</v>
      </c>
      <c r="E5027" s="35">
        <v>57645</v>
      </c>
      <c r="F5027" s="35">
        <v>102485374.93000001</v>
      </c>
    </row>
    <row r="5028" spans="1:6" x14ac:dyDescent="0.3">
      <c r="A5028" t="s">
        <v>73</v>
      </c>
      <c r="B5028">
        <v>2020</v>
      </c>
      <c r="C5028" t="s">
        <v>17</v>
      </c>
      <c r="D5028" s="35">
        <v>2482174.34</v>
      </c>
      <c r="E5028" s="35">
        <v>196904</v>
      </c>
      <c r="F5028" s="35">
        <v>990300.26</v>
      </c>
    </row>
    <row r="5029" spans="1:6" x14ac:dyDescent="0.3">
      <c r="A5029" t="s">
        <v>73</v>
      </c>
      <c r="B5029">
        <v>2020</v>
      </c>
      <c r="C5029" t="s">
        <v>9</v>
      </c>
      <c r="D5029" s="35">
        <v>34142715.920000002</v>
      </c>
      <c r="E5029" s="35">
        <v>1475612</v>
      </c>
      <c r="F5029" s="35">
        <v>14660631.16</v>
      </c>
    </row>
    <row r="5030" spans="1:6" x14ac:dyDescent="0.3">
      <c r="A5030" t="s">
        <v>73</v>
      </c>
      <c r="B5030">
        <v>2020</v>
      </c>
      <c r="C5030" t="s">
        <v>8</v>
      </c>
      <c r="D5030" s="35">
        <v>53807940.350000001</v>
      </c>
      <c r="E5030" s="35">
        <v>4700</v>
      </c>
      <c r="F5030" s="35">
        <v>53807940.350000001</v>
      </c>
    </row>
    <row r="5031" spans="1:6" x14ac:dyDescent="0.3">
      <c r="A5031" t="s">
        <v>73</v>
      </c>
      <c r="B5031">
        <v>2020</v>
      </c>
      <c r="C5031" t="s">
        <v>6</v>
      </c>
      <c r="D5031" s="35">
        <v>111360650.90000001</v>
      </c>
      <c r="E5031" s="35">
        <v>1749688</v>
      </c>
      <c r="F5031" s="35">
        <v>91793186.660000011</v>
      </c>
    </row>
    <row r="5032" spans="1:6" x14ac:dyDescent="0.3">
      <c r="A5032" t="s">
        <v>73</v>
      </c>
      <c r="B5032">
        <v>2020</v>
      </c>
      <c r="C5032" t="s">
        <v>15</v>
      </c>
      <c r="D5032" s="35">
        <v>26652365.949999999</v>
      </c>
      <c r="E5032" s="35">
        <v>578876</v>
      </c>
      <c r="F5032" s="35">
        <v>16610993</v>
      </c>
    </row>
    <row r="5033" spans="1:6" x14ac:dyDescent="0.3">
      <c r="A5033" t="s">
        <v>73</v>
      </c>
      <c r="B5033">
        <v>2020</v>
      </c>
      <c r="C5033" t="s">
        <v>18</v>
      </c>
      <c r="D5033" s="35">
        <v>6104249.709999999</v>
      </c>
      <c r="E5033" s="35">
        <v>58066</v>
      </c>
      <c r="F5033" s="35">
        <v>4658638.0999999996</v>
      </c>
    </row>
    <row r="5034" spans="1:6" x14ac:dyDescent="0.3">
      <c r="A5034" t="s">
        <v>73</v>
      </c>
      <c r="B5034">
        <v>2021</v>
      </c>
      <c r="C5034" t="s">
        <v>10</v>
      </c>
      <c r="D5034" s="35">
        <v>48993964.329999998</v>
      </c>
      <c r="E5034" s="35">
        <v>1766835</v>
      </c>
      <c r="F5034" s="35">
        <v>28805319.45000001</v>
      </c>
    </row>
    <row r="5035" spans="1:6" x14ac:dyDescent="0.3">
      <c r="A5035" t="s">
        <v>73</v>
      </c>
      <c r="B5035">
        <v>2021</v>
      </c>
      <c r="C5035" t="s">
        <v>4</v>
      </c>
      <c r="D5035" s="35">
        <v>152917477.38999999</v>
      </c>
      <c r="E5035" s="35">
        <v>495437</v>
      </c>
      <c r="F5035" s="35">
        <v>149347095.66999999</v>
      </c>
    </row>
    <row r="5036" spans="1:6" x14ac:dyDescent="0.3">
      <c r="A5036" t="s">
        <v>73</v>
      </c>
      <c r="B5036">
        <v>2021</v>
      </c>
      <c r="C5036" t="s">
        <v>13</v>
      </c>
      <c r="D5036" s="35">
        <v>70063037.689999983</v>
      </c>
      <c r="E5036" s="35">
        <v>725485</v>
      </c>
      <c r="F5036" s="35">
        <v>56823062.779999986</v>
      </c>
    </row>
    <row r="5037" spans="1:6" x14ac:dyDescent="0.3">
      <c r="A5037" t="s">
        <v>73</v>
      </c>
      <c r="B5037">
        <v>2021</v>
      </c>
      <c r="C5037" t="s">
        <v>16</v>
      </c>
      <c r="D5037" s="35">
        <v>10406561.51</v>
      </c>
      <c r="E5037" s="35">
        <v>52893</v>
      </c>
      <c r="F5037" s="35">
        <v>9466213.6299999971</v>
      </c>
    </row>
    <row r="5038" spans="1:6" x14ac:dyDescent="0.3">
      <c r="A5038" t="s">
        <v>73</v>
      </c>
      <c r="B5038">
        <v>2021</v>
      </c>
      <c r="C5038" t="s">
        <v>14</v>
      </c>
      <c r="D5038" s="35">
        <v>46249797.640000001</v>
      </c>
      <c r="E5038" s="35">
        <v>1092145</v>
      </c>
      <c r="F5038" s="35">
        <v>31495726.93</v>
      </c>
    </row>
    <row r="5039" spans="1:6" x14ac:dyDescent="0.3">
      <c r="A5039" t="s">
        <v>73</v>
      </c>
      <c r="B5039">
        <v>2021</v>
      </c>
      <c r="C5039" t="s">
        <v>7</v>
      </c>
      <c r="D5039" s="35">
        <v>50438487.520000003</v>
      </c>
      <c r="E5039" s="35">
        <v>18885</v>
      </c>
      <c r="F5039" s="35">
        <v>50364566.100000009</v>
      </c>
    </row>
    <row r="5040" spans="1:6" x14ac:dyDescent="0.3">
      <c r="A5040" t="s">
        <v>73</v>
      </c>
      <c r="B5040">
        <v>2021</v>
      </c>
      <c r="C5040" t="s">
        <v>11</v>
      </c>
      <c r="D5040" s="35">
        <v>35654501.289999999</v>
      </c>
      <c r="E5040" s="35">
        <v>91005</v>
      </c>
      <c r="F5040" s="35">
        <v>34680318.630000003</v>
      </c>
    </row>
    <row r="5041" spans="1:6" x14ac:dyDescent="0.3">
      <c r="A5041" t="s">
        <v>73</v>
      </c>
      <c r="B5041">
        <v>2021</v>
      </c>
      <c r="C5041" t="s">
        <v>3</v>
      </c>
      <c r="D5041" s="35">
        <v>173222853.74000001</v>
      </c>
      <c r="E5041" s="35">
        <v>759012</v>
      </c>
      <c r="F5041" s="35">
        <v>165059552.72</v>
      </c>
    </row>
    <row r="5042" spans="1:6" x14ac:dyDescent="0.3">
      <c r="A5042" t="s">
        <v>73</v>
      </c>
      <c r="B5042">
        <v>2021</v>
      </c>
      <c r="C5042" t="s">
        <v>12</v>
      </c>
      <c r="D5042" s="35">
        <v>102292548.84999999</v>
      </c>
      <c r="E5042" s="35">
        <v>1731870</v>
      </c>
      <c r="F5042" s="35">
        <v>77656530.739999995</v>
      </c>
    </row>
    <row r="5043" spans="1:6" x14ac:dyDescent="0.3">
      <c r="A5043" t="s">
        <v>73</v>
      </c>
      <c r="B5043">
        <v>2021</v>
      </c>
      <c r="C5043" t="s">
        <v>2</v>
      </c>
      <c r="D5043" s="35">
        <v>355168040.25999987</v>
      </c>
      <c r="E5043" s="35">
        <v>3229360</v>
      </c>
      <c r="F5043" s="35">
        <v>302986845.91000003</v>
      </c>
    </row>
    <row r="5044" spans="1:6" x14ac:dyDescent="0.3">
      <c r="A5044" t="s">
        <v>73</v>
      </c>
      <c r="B5044">
        <v>2021</v>
      </c>
      <c r="C5044" t="s">
        <v>5</v>
      </c>
      <c r="D5044" s="35">
        <v>94864044.25999999</v>
      </c>
      <c r="E5044" s="35">
        <v>46743</v>
      </c>
      <c r="F5044" s="35">
        <v>92966359.36999999</v>
      </c>
    </row>
    <row r="5045" spans="1:6" x14ac:dyDescent="0.3">
      <c r="A5045" t="s">
        <v>73</v>
      </c>
      <c r="B5045">
        <v>2021</v>
      </c>
      <c r="C5045" t="s">
        <v>17</v>
      </c>
      <c r="D5045" s="35">
        <v>2483194.39</v>
      </c>
      <c r="E5045" s="35">
        <v>205260</v>
      </c>
      <c r="F5045" s="35">
        <v>1072306.75</v>
      </c>
    </row>
    <row r="5046" spans="1:6" x14ac:dyDescent="0.3">
      <c r="A5046" t="s">
        <v>73</v>
      </c>
      <c r="B5046">
        <v>2021</v>
      </c>
      <c r="C5046" t="s">
        <v>9</v>
      </c>
      <c r="D5046" s="35">
        <v>35282056.75</v>
      </c>
      <c r="E5046" s="35">
        <v>1726914</v>
      </c>
      <c r="F5046" s="35">
        <v>14761088.979999989</v>
      </c>
    </row>
    <row r="5047" spans="1:6" x14ac:dyDescent="0.3">
      <c r="A5047" t="s">
        <v>73</v>
      </c>
      <c r="B5047">
        <v>2021</v>
      </c>
      <c r="C5047" t="s">
        <v>8</v>
      </c>
      <c r="D5047" s="35">
        <v>66345265.270000003</v>
      </c>
      <c r="E5047" s="35">
        <v>4470</v>
      </c>
      <c r="F5047" s="35">
        <v>66190420.880000003</v>
      </c>
    </row>
    <row r="5048" spans="1:6" x14ac:dyDescent="0.3">
      <c r="A5048" t="s">
        <v>73</v>
      </c>
      <c r="B5048">
        <v>2021</v>
      </c>
      <c r="C5048" t="s">
        <v>6</v>
      </c>
      <c r="D5048" s="35">
        <v>126887448.09</v>
      </c>
      <c r="E5048" s="35">
        <v>1889436</v>
      </c>
      <c r="F5048" s="35">
        <v>106651021.47</v>
      </c>
    </row>
    <row r="5049" spans="1:6" x14ac:dyDescent="0.3">
      <c r="A5049" t="s">
        <v>73</v>
      </c>
      <c r="B5049">
        <v>2021</v>
      </c>
      <c r="C5049" t="s">
        <v>15</v>
      </c>
      <c r="D5049" s="35">
        <v>29551416.830000009</v>
      </c>
      <c r="E5049" s="35">
        <v>555799</v>
      </c>
      <c r="F5049" s="35">
        <v>19854230.829999998</v>
      </c>
    </row>
    <row r="5050" spans="1:6" x14ac:dyDescent="0.3">
      <c r="A5050" t="s">
        <v>73</v>
      </c>
      <c r="B5050">
        <v>2021</v>
      </c>
      <c r="C5050" t="s">
        <v>18</v>
      </c>
      <c r="D5050" s="35">
        <v>5641743.5699999994</v>
      </c>
      <c r="E5050" s="35">
        <v>53339</v>
      </c>
      <c r="F5050" s="35">
        <v>4376981.1099999994</v>
      </c>
    </row>
    <row r="5051" spans="1:6" x14ac:dyDescent="0.3">
      <c r="A5051" t="s">
        <v>73</v>
      </c>
      <c r="B5051">
        <v>2022</v>
      </c>
      <c r="C5051" t="s">
        <v>10</v>
      </c>
      <c r="D5051" s="35">
        <v>51972001.619999997</v>
      </c>
      <c r="E5051" s="35">
        <v>1648969</v>
      </c>
      <c r="F5051" s="35">
        <v>32675607.899999999</v>
      </c>
    </row>
    <row r="5052" spans="1:6" x14ac:dyDescent="0.3">
      <c r="A5052" t="s">
        <v>73</v>
      </c>
      <c r="B5052">
        <v>2022</v>
      </c>
      <c r="C5052" t="s">
        <v>4</v>
      </c>
      <c r="D5052" s="35">
        <v>173164215.25999999</v>
      </c>
      <c r="E5052" s="35">
        <v>497160</v>
      </c>
      <c r="F5052" s="35">
        <v>170062986.56999999</v>
      </c>
    </row>
    <row r="5053" spans="1:6" x14ac:dyDescent="0.3">
      <c r="A5053" t="s">
        <v>73</v>
      </c>
      <c r="B5053">
        <v>2022</v>
      </c>
      <c r="C5053" t="s">
        <v>13</v>
      </c>
      <c r="D5053" s="35">
        <v>69943514.449999988</v>
      </c>
      <c r="E5053" s="35">
        <v>729342</v>
      </c>
      <c r="F5053" s="35">
        <v>57286848.590000004</v>
      </c>
    </row>
    <row r="5054" spans="1:6" x14ac:dyDescent="0.3">
      <c r="A5054" t="s">
        <v>73</v>
      </c>
      <c r="B5054">
        <v>2022</v>
      </c>
      <c r="C5054" t="s">
        <v>16</v>
      </c>
      <c r="D5054" s="35">
        <v>11300176.119999999</v>
      </c>
      <c r="E5054" s="35">
        <v>52517</v>
      </c>
      <c r="F5054" s="35">
        <v>10598655.57</v>
      </c>
    </row>
    <row r="5055" spans="1:6" x14ac:dyDescent="0.3">
      <c r="A5055" t="s">
        <v>73</v>
      </c>
      <c r="B5055">
        <v>2022</v>
      </c>
      <c r="C5055" t="s">
        <v>14</v>
      </c>
      <c r="D5055" s="35">
        <v>46277901.200000003</v>
      </c>
      <c r="E5055" s="35">
        <v>1060967</v>
      </c>
      <c r="F5055" s="35">
        <v>32773854.530000009</v>
      </c>
    </row>
    <row r="5056" spans="1:6" x14ac:dyDescent="0.3">
      <c r="A5056" t="s">
        <v>73</v>
      </c>
      <c r="B5056">
        <v>2022</v>
      </c>
      <c r="C5056" t="s">
        <v>7</v>
      </c>
      <c r="D5056" s="35">
        <v>52085640.909999996</v>
      </c>
      <c r="E5056" s="35">
        <v>20163</v>
      </c>
      <c r="F5056" s="35">
        <v>51992325.899999999</v>
      </c>
    </row>
    <row r="5057" spans="1:6" x14ac:dyDescent="0.3">
      <c r="A5057" t="s">
        <v>73</v>
      </c>
      <c r="B5057">
        <v>2022</v>
      </c>
      <c r="C5057" t="s">
        <v>11</v>
      </c>
      <c r="D5057" s="35">
        <v>36182172.109999999</v>
      </c>
      <c r="E5057" s="35">
        <v>106861</v>
      </c>
      <c r="F5057" s="35">
        <v>35093082.790000007</v>
      </c>
    </row>
    <row r="5058" spans="1:6" x14ac:dyDescent="0.3">
      <c r="A5058" t="s">
        <v>73</v>
      </c>
      <c r="B5058">
        <v>2022</v>
      </c>
      <c r="C5058" t="s">
        <v>3</v>
      </c>
      <c r="D5058" s="35">
        <v>221135139.31999999</v>
      </c>
      <c r="E5058" s="35">
        <v>808959</v>
      </c>
      <c r="F5058" s="35">
        <v>212890232.5</v>
      </c>
    </row>
    <row r="5059" spans="1:6" x14ac:dyDescent="0.3">
      <c r="A5059" t="s">
        <v>73</v>
      </c>
      <c r="B5059">
        <v>2022</v>
      </c>
      <c r="C5059" t="s">
        <v>12</v>
      </c>
      <c r="D5059" s="35">
        <v>104532427.64</v>
      </c>
      <c r="E5059" s="35">
        <v>1940104</v>
      </c>
      <c r="F5059" s="35">
        <v>76763746.109999999</v>
      </c>
    </row>
    <row r="5060" spans="1:6" x14ac:dyDescent="0.3">
      <c r="A5060" t="s">
        <v>73</v>
      </c>
      <c r="B5060">
        <v>2022</v>
      </c>
      <c r="C5060" t="s">
        <v>2</v>
      </c>
      <c r="D5060" s="35">
        <v>409415482.23999989</v>
      </c>
      <c r="E5060" s="35">
        <v>3215392</v>
      </c>
      <c r="F5060" s="35">
        <v>363223358.20999998</v>
      </c>
    </row>
    <row r="5061" spans="1:6" x14ac:dyDescent="0.3">
      <c r="A5061" t="s">
        <v>73</v>
      </c>
      <c r="B5061">
        <v>2022</v>
      </c>
      <c r="C5061" t="s">
        <v>5</v>
      </c>
      <c r="D5061" s="35">
        <v>100908329.52</v>
      </c>
      <c r="E5061" s="35">
        <v>49472</v>
      </c>
      <c r="F5061" s="35">
        <v>99052395.76000002</v>
      </c>
    </row>
    <row r="5062" spans="1:6" x14ac:dyDescent="0.3">
      <c r="A5062" t="s">
        <v>73</v>
      </c>
      <c r="B5062">
        <v>2022</v>
      </c>
      <c r="C5062" t="s">
        <v>17</v>
      </c>
      <c r="D5062" s="35">
        <v>2337041.48</v>
      </c>
      <c r="E5062" s="35">
        <v>238366</v>
      </c>
      <c r="F5062" s="35">
        <v>1075046.8699999989</v>
      </c>
    </row>
    <row r="5063" spans="1:6" x14ac:dyDescent="0.3">
      <c r="A5063" t="s">
        <v>73</v>
      </c>
      <c r="B5063">
        <v>2022</v>
      </c>
      <c r="C5063" t="s">
        <v>9</v>
      </c>
      <c r="D5063" s="35">
        <v>43389302.93</v>
      </c>
      <c r="E5063" s="35">
        <v>1816294</v>
      </c>
      <c r="F5063" s="35">
        <v>16668622.25</v>
      </c>
    </row>
    <row r="5064" spans="1:6" x14ac:dyDescent="0.3">
      <c r="A5064" t="s">
        <v>73</v>
      </c>
      <c r="B5064">
        <v>2022</v>
      </c>
      <c r="C5064" t="s">
        <v>8</v>
      </c>
      <c r="D5064" s="35">
        <v>80797903.329999983</v>
      </c>
      <c r="E5064" s="35">
        <v>4666</v>
      </c>
      <c r="F5064" s="35">
        <v>80797903.329999983</v>
      </c>
    </row>
    <row r="5065" spans="1:6" x14ac:dyDescent="0.3">
      <c r="A5065" t="s">
        <v>73</v>
      </c>
      <c r="B5065">
        <v>2022</v>
      </c>
      <c r="C5065" t="s">
        <v>6</v>
      </c>
      <c r="D5065" s="35">
        <v>123573188.06</v>
      </c>
      <c r="E5065" s="35">
        <v>1691808</v>
      </c>
      <c r="F5065" s="35">
        <v>104430876.08</v>
      </c>
    </row>
    <row r="5066" spans="1:6" x14ac:dyDescent="0.3">
      <c r="A5066" t="s">
        <v>73</v>
      </c>
      <c r="B5066">
        <v>2022</v>
      </c>
      <c r="C5066" t="s">
        <v>15</v>
      </c>
      <c r="D5066" s="35">
        <v>19922464.23</v>
      </c>
      <c r="E5066" s="35">
        <v>519306</v>
      </c>
      <c r="F5066" s="35">
        <v>10739206.359999999</v>
      </c>
    </row>
    <row r="5067" spans="1:6" x14ac:dyDescent="0.3">
      <c r="A5067" t="s">
        <v>73</v>
      </c>
      <c r="B5067">
        <v>2022</v>
      </c>
      <c r="C5067" t="s">
        <v>18</v>
      </c>
      <c r="D5067" s="35">
        <v>4545201.8500000006</v>
      </c>
      <c r="E5067" s="35">
        <v>44551</v>
      </c>
      <c r="F5067" s="35">
        <v>3648144.16</v>
      </c>
    </row>
    <row r="5068" spans="1:6" x14ac:dyDescent="0.3">
      <c r="A5068" t="s">
        <v>73</v>
      </c>
      <c r="B5068">
        <v>2023</v>
      </c>
      <c r="C5068" t="s">
        <v>10</v>
      </c>
      <c r="D5068" s="35">
        <v>57487407.069999978</v>
      </c>
      <c r="E5068" s="35">
        <v>1597872</v>
      </c>
      <c r="F5068" s="35">
        <v>38515023.119999997</v>
      </c>
    </row>
    <row r="5069" spans="1:6" x14ac:dyDescent="0.3">
      <c r="A5069" t="s">
        <v>73</v>
      </c>
      <c r="B5069">
        <v>2023</v>
      </c>
      <c r="C5069" t="s">
        <v>4</v>
      </c>
      <c r="D5069" s="35">
        <v>209173374.48999989</v>
      </c>
      <c r="E5069" s="35">
        <v>511891</v>
      </c>
      <c r="F5069" s="35">
        <v>206588271.44</v>
      </c>
    </row>
    <row r="5070" spans="1:6" x14ac:dyDescent="0.3">
      <c r="A5070" t="s">
        <v>73</v>
      </c>
      <c r="B5070">
        <v>2023</v>
      </c>
      <c r="C5070" t="s">
        <v>13</v>
      </c>
      <c r="D5070" s="35">
        <v>61139786.610000007</v>
      </c>
      <c r="E5070" s="35">
        <v>737317</v>
      </c>
      <c r="F5070" s="35">
        <v>49132476.040000007</v>
      </c>
    </row>
    <row r="5071" spans="1:6" x14ac:dyDescent="0.3">
      <c r="A5071" t="s">
        <v>73</v>
      </c>
      <c r="B5071">
        <v>2023</v>
      </c>
      <c r="C5071" t="s">
        <v>16</v>
      </c>
      <c r="D5071" s="35">
        <v>15075405.77</v>
      </c>
      <c r="E5071" s="35">
        <v>59159</v>
      </c>
      <c r="F5071" s="35">
        <v>14207452.380000001</v>
      </c>
    </row>
    <row r="5072" spans="1:6" x14ac:dyDescent="0.3">
      <c r="A5072" t="s">
        <v>73</v>
      </c>
      <c r="B5072">
        <v>2023</v>
      </c>
      <c r="C5072" t="s">
        <v>14</v>
      </c>
      <c r="D5072" s="35">
        <v>53793566.240000002</v>
      </c>
      <c r="E5072" s="35">
        <v>1054508</v>
      </c>
      <c r="F5072" s="35">
        <v>40472764.429999992</v>
      </c>
    </row>
    <row r="5073" spans="1:6" x14ac:dyDescent="0.3">
      <c r="A5073" t="s">
        <v>73</v>
      </c>
      <c r="B5073">
        <v>2023</v>
      </c>
      <c r="C5073" t="s">
        <v>7</v>
      </c>
      <c r="D5073" s="35">
        <v>56060136.93999999</v>
      </c>
      <c r="E5073" s="35">
        <v>20339</v>
      </c>
      <c r="F5073" s="35">
        <v>55985626.819999993</v>
      </c>
    </row>
    <row r="5074" spans="1:6" x14ac:dyDescent="0.3">
      <c r="A5074" t="s">
        <v>73</v>
      </c>
      <c r="B5074">
        <v>2023</v>
      </c>
      <c r="C5074" t="s">
        <v>11</v>
      </c>
      <c r="D5074" s="35">
        <v>38572314.640000001</v>
      </c>
      <c r="E5074" s="35">
        <v>117890</v>
      </c>
      <c r="F5074" s="35">
        <v>37545964.430000007</v>
      </c>
    </row>
    <row r="5075" spans="1:6" x14ac:dyDescent="0.3">
      <c r="A5075" t="s">
        <v>73</v>
      </c>
      <c r="B5075">
        <v>2023</v>
      </c>
      <c r="C5075" t="s">
        <v>3</v>
      </c>
      <c r="D5075" s="35">
        <v>267092901.93000001</v>
      </c>
      <c r="E5075" s="35">
        <v>827645</v>
      </c>
      <c r="F5075" s="35">
        <v>258694040.15999991</v>
      </c>
    </row>
    <row r="5076" spans="1:6" x14ac:dyDescent="0.3">
      <c r="A5076" t="s">
        <v>73</v>
      </c>
      <c r="B5076">
        <v>2023</v>
      </c>
      <c r="C5076" t="s">
        <v>12</v>
      </c>
      <c r="D5076" s="35">
        <v>107065328.70999999</v>
      </c>
      <c r="E5076" s="35">
        <v>2137105</v>
      </c>
      <c r="F5076" s="35">
        <v>76785143.170000002</v>
      </c>
    </row>
    <row r="5077" spans="1:6" x14ac:dyDescent="0.3">
      <c r="A5077" t="s">
        <v>73</v>
      </c>
      <c r="B5077">
        <v>2023</v>
      </c>
      <c r="C5077" t="s">
        <v>2</v>
      </c>
      <c r="D5077" s="35">
        <v>445653007.5800001</v>
      </c>
      <c r="E5077" s="35">
        <v>3295952</v>
      </c>
      <c r="F5077" s="35">
        <v>397925032.50999987</v>
      </c>
    </row>
    <row r="5078" spans="1:6" x14ac:dyDescent="0.3">
      <c r="A5078" t="s">
        <v>73</v>
      </c>
      <c r="B5078">
        <v>2023</v>
      </c>
      <c r="C5078" t="s">
        <v>5</v>
      </c>
      <c r="D5078" s="35">
        <v>107279090.06</v>
      </c>
      <c r="E5078" s="35">
        <v>51270</v>
      </c>
      <c r="F5078" s="35">
        <v>105494056.31</v>
      </c>
    </row>
    <row r="5079" spans="1:6" x14ac:dyDescent="0.3">
      <c r="A5079" t="s">
        <v>73</v>
      </c>
      <c r="B5079">
        <v>2023</v>
      </c>
      <c r="C5079" t="s">
        <v>17</v>
      </c>
      <c r="D5079" s="35">
        <v>2584820.83</v>
      </c>
      <c r="E5079" s="35">
        <v>257243</v>
      </c>
      <c r="F5079" s="35">
        <v>1284497.56</v>
      </c>
    </row>
    <row r="5080" spans="1:6" x14ac:dyDescent="0.3">
      <c r="A5080" t="s">
        <v>73</v>
      </c>
      <c r="B5080">
        <v>2023</v>
      </c>
      <c r="C5080" t="s">
        <v>9</v>
      </c>
      <c r="D5080" s="35">
        <v>49698561.860000007</v>
      </c>
      <c r="E5080" s="35">
        <v>1868794</v>
      </c>
      <c r="F5080" s="35">
        <v>18983530.059999999</v>
      </c>
    </row>
    <row r="5081" spans="1:6" x14ac:dyDescent="0.3">
      <c r="A5081" t="s">
        <v>73</v>
      </c>
      <c r="B5081">
        <v>2023</v>
      </c>
      <c r="C5081" t="s">
        <v>8</v>
      </c>
      <c r="D5081" s="35">
        <v>76782507.899999991</v>
      </c>
      <c r="E5081" s="35">
        <v>4329</v>
      </c>
      <c r="F5081" s="35">
        <v>76782507.899999991</v>
      </c>
    </row>
    <row r="5082" spans="1:6" x14ac:dyDescent="0.3">
      <c r="A5082" t="s">
        <v>73</v>
      </c>
      <c r="B5082">
        <v>2023</v>
      </c>
      <c r="C5082" t="s">
        <v>6</v>
      </c>
      <c r="D5082" s="35">
        <v>123002566.13</v>
      </c>
      <c r="E5082" s="35">
        <v>1743160</v>
      </c>
      <c r="F5082" s="35">
        <v>98888435.450000018</v>
      </c>
    </row>
    <row r="5083" spans="1:6" x14ac:dyDescent="0.3">
      <c r="A5083" t="s">
        <v>73</v>
      </c>
      <c r="B5083">
        <v>2023</v>
      </c>
      <c r="C5083" t="s">
        <v>15</v>
      </c>
      <c r="D5083" s="35">
        <v>15322920.76</v>
      </c>
      <c r="E5083" s="35">
        <v>433894</v>
      </c>
      <c r="F5083" s="35">
        <v>8239616.8400000017</v>
      </c>
    </row>
    <row r="5084" spans="1:6" x14ac:dyDescent="0.3">
      <c r="A5084" t="s">
        <v>73</v>
      </c>
      <c r="B5084">
        <v>2023</v>
      </c>
      <c r="C5084" t="s">
        <v>18</v>
      </c>
      <c r="D5084" s="35">
        <v>5475357.2399999993</v>
      </c>
      <c r="E5084" s="35">
        <v>38362</v>
      </c>
      <c r="F5084" s="35">
        <v>4790283.6999999993</v>
      </c>
    </row>
    <row r="5085" spans="1:6" x14ac:dyDescent="0.3">
      <c r="A5085" t="s">
        <v>73</v>
      </c>
      <c r="B5085">
        <v>2024</v>
      </c>
      <c r="C5085" t="s">
        <v>10</v>
      </c>
      <c r="D5085" s="35">
        <v>56867547.74000001</v>
      </c>
      <c r="E5085" s="35">
        <v>1360573</v>
      </c>
      <c r="F5085" s="35">
        <v>40712567.890000001</v>
      </c>
    </row>
    <row r="5086" spans="1:6" x14ac:dyDescent="0.3">
      <c r="A5086" t="s">
        <v>73</v>
      </c>
      <c r="B5086">
        <v>2024</v>
      </c>
      <c r="C5086" t="s">
        <v>4</v>
      </c>
      <c r="D5086" s="35">
        <v>164873241.61000001</v>
      </c>
      <c r="E5086" s="35">
        <v>444983</v>
      </c>
      <c r="F5086" s="35">
        <v>162863326.25</v>
      </c>
    </row>
    <row r="5087" spans="1:6" x14ac:dyDescent="0.3">
      <c r="A5087" t="s">
        <v>73</v>
      </c>
      <c r="B5087">
        <v>2024</v>
      </c>
      <c r="C5087" t="s">
        <v>13</v>
      </c>
      <c r="D5087" s="35">
        <v>50666007.149999999</v>
      </c>
      <c r="E5087" s="35">
        <v>609013</v>
      </c>
      <c r="F5087" s="35">
        <v>40781077.32</v>
      </c>
    </row>
    <row r="5088" spans="1:6" x14ac:dyDescent="0.3">
      <c r="A5088" t="s">
        <v>73</v>
      </c>
      <c r="B5088">
        <v>2024</v>
      </c>
      <c r="C5088" t="s">
        <v>16</v>
      </c>
      <c r="D5088" s="35">
        <v>9491604.3200000003</v>
      </c>
      <c r="E5088" s="35">
        <v>49111</v>
      </c>
      <c r="F5088" s="35">
        <v>8743572.9299999997</v>
      </c>
    </row>
    <row r="5089" spans="1:6" x14ac:dyDescent="0.3">
      <c r="A5089" t="s">
        <v>73</v>
      </c>
      <c r="B5089">
        <v>2024</v>
      </c>
      <c r="C5089" t="s">
        <v>14</v>
      </c>
      <c r="D5089" s="35">
        <v>54612305.670000002</v>
      </c>
      <c r="E5089" s="35">
        <v>934138</v>
      </c>
      <c r="F5089" s="35">
        <v>43146429</v>
      </c>
    </row>
    <row r="5090" spans="1:6" x14ac:dyDescent="0.3">
      <c r="A5090" t="s">
        <v>73</v>
      </c>
      <c r="B5090">
        <v>2024</v>
      </c>
      <c r="C5090" t="s">
        <v>7</v>
      </c>
      <c r="D5090" s="35">
        <v>47830537.149999999</v>
      </c>
      <c r="E5090" s="35">
        <v>16376</v>
      </c>
      <c r="F5090" s="35">
        <v>47775318.179999992</v>
      </c>
    </row>
    <row r="5091" spans="1:6" x14ac:dyDescent="0.3">
      <c r="A5091" t="s">
        <v>73</v>
      </c>
      <c r="B5091">
        <v>2024</v>
      </c>
      <c r="C5091" t="s">
        <v>11</v>
      </c>
      <c r="D5091" s="35">
        <v>32197861.629999999</v>
      </c>
      <c r="E5091" s="35">
        <v>129792</v>
      </c>
      <c r="F5091" s="35">
        <v>31276886.289999999</v>
      </c>
    </row>
    <row r="5092" spans="1:6" x14ac:dyDescent="0.3">
      <c r="A5092" t="s">
        <v>73</v>
      </c>
      <c r="B5092">
        <v>2024</v>
      </c>
      <c r="C5092" t="s">
        <v>3</v>
      </c>
      <c r="D5092" s="35">
        <v>249384234.05000001</v>
      </c>
      <c r="E5092" s="35">
        <v>694960</v>
      </c>
      <c r="F5092" s="35">
        <v>241978850.81999999</v>
      </c>
    </row>
    <row r="5093" spans="1:6" x14ac:dyDescent="0.3">
      <c r="A5093" t="s">
        <v>73</v>
      </c>
      <c r="B5093">
        <v>2024</v>
      </c>
      <c r="C5093" t="s">
        <v>12</v>
      </c>
      <c r="D5093" s="35">
        <v>83170795.680000007</v>
      </c>
      <c r="E5093" s="35">
        <v>1827499</v>
      </c>
      <c r="F5093" s="35">
        <v>56410589.409999996</v>
      </c>
    </row>
    <row r="5094" spans="1:6" x14ac:dyDescent="0.3">
      <c r="A5094" t="s">
        <v>73</v>
      </c>
      <c r="B5094">
        <v>2024</v>
      </c>
      <c r="C5094" t="s">
        <v>2</v>
      </c>
      <c r="D5094" s="35">
        <v>426035178.06999987</v>
      </c>
      <c r="E5094" s="35">
        <v>2976760</v>
      </c>
      <c r="F5094" s="35">
        <v>379027671.85000002</v>
      </c>
    </row>
    <row r="5095" spans="1:6" x14ac:dyDescent="0.3">
      <c r="A5095" t="s">
        <v>73</v>
      </c>
      <c r="B5095">
        <v>2024</v>
      </c>
      <c r="C5095" t="s">
        <v>5</v>
      </c>
      <c r="D5095" s="35">
        <v>84285742.51000002</v>
      </c>
      <c r="E5095" s="35">
        <v>38880</v>
      </c>
      <c r="F5095" s="35">
        <v>83465003.079999983</v>
      </c>
    </row>
    <row r="5096" spans="1:6" x14ac:dyDescent="0.3">
      <c r="A5096" t="s">
        <v>73</v>
      </c>
      <c r="B5096">
        <v>2024</v>
      </c>
      <c r="C5096" t="s">
        <v>17</v>
      </c>
      <c r="D5096" s="35">
        <v>2034998.48</v>
      </c>
      <c r="E5096" s="35">
        <v>222165</v>
      </c>
      <c r="F5096" s="35">
        <v>988568.66999999993</v>
      </c>
    </row>
    <row r="5097" spans="1:6" x14ac:dyDescent="0.3">
      <c r="A5097" t="s">
        <v>73</v>
      </c>
      <c r="B5097">
        <v>2024</v>
      </c>
      <c r="C5097" t="s">
        <v>9</v>
      </c>
      <c r="D5097" s="35">
        <v>39079781.000000007</v>
      </c>
      <c r="E5097" s="35">
        <v>1602556</v>
      </c>
      <c r="F5097" s="35">
        <v>16196148.67</v>
      </c>
    </row>
    <row r="5098" spans="1:6" x14ac:dyDescent="0.3">
      <c r="A5098" t="s">
        <v>73</v>
      </c>
      <c r="B5098">
        <v>2024</v>
      </c>
      <c r="C5098" t="s">
        <v>8</v>
      </c>
      <c r="D5098" s="35">
        <v>71984127.189999998</v>
      </c>
      <c r="E5098" s="35">
        <v>3595</v>
      </c>
      <c r="F5098" s="35">
        <v>71837568.390000001</v>
      </c>
    </row>
    <row r="5099" spans="1:6" x14ac:dyDescent="0.3">
      <c r="A5099" t="s">
        <v>73</v>
      </c>
      <c r="B5099">
        <v>2024</v>
      </c>
      <c r="C5099" t="s">
        <v>6</v>
      </c>
      <c r="D5099" s="35">
        <v>102256907.39</v>
      </c>
      <c r="E5099" s="35">
        <v>1608031</v>
      </c>
      <c r="F5099" s="35">
        <v>78860438.000000015</v>
      </c>
    </row>
    <row r="5100" spans="1:6" x14ac:dyDescent="0.3">
      <c r="A5100" t="s">
        <v>73</v>
      </c>
      <c r="B5100">
        <v>2024</v>
      </c>
      <c r="C5100" t="s">
        <v>15</v>
      </c>
      <c r="D5100" s="35">
        <v>12223773.27</v>
      </c>
      <c r="E5100" s="35">
        <v>325948</v>
      </c>
      <c r="F5100" s="35">
        <v>6867522.29</v>
      </c>
    </row>
    <row r="5101" spans="1:6" x14ac:dyDescent="0.3">
      <c r="A5101" t="s">
        <v>73</v>
      </c>
      <c r="B5101">
        <v>2024</v>
      </c>
      <c r="C5101" t="s">
        <v>18</v>
      </c>
      <c r="D5101" s="35">
        <v>4834582.21</v>
      </c>
      <c r="E5101" s="35">
        <v>35277</v>
      </c>
      <c r="F5101" s="35">
        <v>4116584.18</v>
      </c>
    </row>
    <row r="5102" spans="1:6" x14ac:dyDescent="0.3">
      <c r="A5102" t="s">
        <v>73</v>
      </c>
      <c r="B5102">
        <v>2025</v>
      </c>
      <c r="C5102" t="s">
        <v>10</v>
      </c>
      <c r="D5102" s="35">
        <v>58923263.409999996</v>
      </c>
      <c r="E5102" s="35">
        <v>1305003</v>
      </c>
      <c r="F5102" s="35">
        <v>43416993.169999987</v>
      </c>
    </row>
    <row r="5103" spans="1:6" x14ac:dyDescent="0.3">
      <c r="A5103" t="s">
        <v>73</v>
      </c>
      <c r="B5103">
        <v>2025</v>
      </c>
      <c r="C5103" t="s">
        <v>4</v>
      </c>
      <c r="D5103" s="35">
        <v>214157397.16</v>
      </c>
      <c r="E5103" s="35">
        <v>464699</v>
      </c>
      <c r="F5103" s="35">
        <v>211888311.64999989</v>
      </c>
    </row>
    <row r="5104" spans="1:6" x14ac:dyDescent="0.3">
      <c r="A5104" t="s">
        <v>73</v>
      </c>
      <c r="B5104">
        <v>2025</v>
      </c>
      <c r="C5104" t="s">
        <v>13</v>
      </c>
      <c r="D5104" s="35">
        <v>51659164.179999977</v>
      </c>
      <c r="E5104" s="35">
        <v>552747</v>
      </c>
      <c r="F5104" s="35">
        <v>42395080.700000003</v>
      </c>
    </row>
    <row r="5105" spans="1:6" x14ac:dyDescent="0.3">
      <c r="A5105" t="s">
        <v>73</v>
      </c>
      <c r="B5105">
        <v>2025</v>
      </c>
      <c r="C5105" t="s">
        <v>16</v>
      </c>
      <c r="D5105" s="35">
        <v>9361744.2799999993</v>
      </c>
      <c r="E5105" s="35">
        <v>47138</v>
      </c>
      <c r="F5105" s="35">
        <v>8422914.129999999</v>
      </c>
    </row>
    <row r="5106" spans="1:6" x14ac:dyDescent="0.3">
      <c r="A5106" t="s">
        <v>73</v>
      </c>
      <c r="B5106">
        <v>2025</v>
      </c>
      <c r="C5106" t="s">
        <v>14</v>
      </c>
      <c r="D5106" s="35">
        <v>59089977.229999997</v>
      </c>
      <c r="E5106" s="35">
        <v>914062</v>
      </c>
      <c r="F5106" s="35">
        <v>48326840.950000003</v>
      </c>
    </row>
    <row r="5107" spans="1:6" x14ac:dyDescent="0.3">
      <c r="A5107" t="s">
        <v>73</v>
      </c>
      <c r="B5107">
        <v>2025</v>
      </c>
      <c r="C5107" t="s">
        <v>7</v>
      </c>
      <c r="D5107" s="35">
        <v>46282749.350000009</v>
      </c>
      <c r="E5107" s="35">
        <v>14790</v>
      </c>
      <c r="F5107" s="35">
        <v>46241314.70000001</v>
      </c>
    </row>
    <row r="5108" spans="1:6" x14ac:dyDescent="0.3">
      <c r="A5108" t="s">
        <v>73</v>
      </c>
      <c r="B5108">
        <v>2025</v>
      </c>
      <c r="C5108" t="s">
        <v>11</v>
      </c>
      <c r="D5108" s="35">
        <v>30644278.93</v>
      </c>
      <c r="E5108" s="35">
        <v>124025</v>
      </c>
      <c r="F5108" s="35">
        <v>29677448.399999991</v>
      </c>
    </row>
    <row r="5109" spans="1:6" x14ac:dyDescent="0.3">
      <c r="A5109" t="s">
        <v>73</v>
      </c>
      <c r="B5109">
        <v>2025</v>
      </c>
      <c r="C5109" t="s">
        <v>3</v>
      </c>
      <c r="D5109" s="35">
        <v>277513151.85000002</v>
      </c>
      <c r="E5109" s="35">
        <v>647719</v>
      </c>
      <c r="F5109" s="35">
        <v>270443736.01999998</v>
      </c>
    </row>
    <row r="5110" spans="1:6" x14ac:dyDescent="0.3">
      <c r="A5110" t="s">
        <v>73</v>
      </c>
      <c r="B5110">
        <v>2025</v>
      </c>
      <c r="C5110" t="s">
        <v>12</v>
      </c>
      <c r="D5110" s="35">
        <v>61476371.869999982</v>
      </c>
      <c r="E5110" s="35">
        <v>1638473</v>
      </c>
      <c r="F5110" s="35">
        <v>37475594.439999998</v>
      </c>
    </row>
    <row r="5111" spans="1:6" x14ac:dyDescent="0.3">
      <c r="A5111" t="s">
        <v>73</v>
      </c>
      <c r="B5111">
        <v>2025</v>
      </c>
      <c r="C5111" t="s">
        <v>2</v>
      </c>
      <c r="D5111" s="35">
        <v>447447823.44</v>
      </c>
      <c r="E5111" s="35">
        <v>2956834</v>
      </c>
      <c r="F5111" s="35">
        <v>399139960.20999998</v>
      </c>
    </row>
    <row r="5112" spans="1:6" x14ac:dyDescent="0.3">
      <c r="A5112" t="s">
        <v>73</v>
      </c>
      <c r="B5112">
        <v>2025</v>
      </c>
      <c r="C5112" t="s">
        <v>5</v>
      </c>
      <c r="D5112" s="35">
        <v>84213725.960000008</v>
      </c>
      <c r="E5112" s="35">
        <v>35905</v>
      </c>
      <c r="F5112" s="35">
        <v>83363990.739999995</v>
      </c>
    </row>
    <row r="5113" spans="1:6" x14ac:dyDescent="0.3">
      <c r="A5113" t="s">
        <v>73</v>
      </c>
      <c r="B5113">
        <v>2025</v>
      </c>
      <c r="C5113" t="s">
        <v>17</v>
      </c>
      <c r="D5113" s="35">
        <v>2092539.91</v>
      </c>
      <c r="E5113" s="35">
        <v>235941</v>
      </c>
      <c r="F5113" s="35">
        <v>1117668.8999999999</v>
      </c>
    </row>
    <row r="5114" spans="1:6" x14ac:dyDescent="0.3">
      <c r="A5114" t="s">
        <v>73</v>
      </c>
      <c r="B5114">
        <v>2025</v>
      </c>
      <c r="C5114" t="s">
        <v>9</v>
      </c>
      <c r="D5114" s="35">
        <v>37993772.530000009</v>
      </c>
      <c r="E5114" s="35">
        <v>1465113</v>
      </c>
      <c r="F5114" s="35">
        <v>18490030.329999998</v>
      </c>
    </row>
    <row r="5115" spans="1:6" x14ac:dyDescent="0.3">
      <c r="A5115" t="s">
        <v>73</v>
      </c>
      <c r="B5115">
        <v>2025</v>
      </c>
      <c r="C5115" t="s">
        <v>8</v>
      </c>
      <c r="D5115" s="35">
        <v>82698669.86999999</v>
      </c>
      <c r="E5115" s="35">
        <v>3791</v>
      </c>
      <c r="F5115" s="35">
        <v>82645035.959999993</v>
      </c>
    </row>
    <row r="5116" spans="1:6" x14ac:dyDescent="0.3">
      <c r="A5116" t="s">
        <v>73</v>
      </c>
      <c r="B5116">
        <v>2025</v>
      </c>
      <c r="C5116" t="s">
        <v>6</v>
      </c>
      <c r="D5116" s="35">
        <v>98293836.900000006</v>
      </c>
      <c r="E5116" s="35">
        <v>1516881</v>
      </c>
      <c r="F5116" s="35">
        <v>76703453.159999996</v>
      </c>
    </row>
    <row r="5117" spans="1:6" x14ac:dyDescent="0.3">
      <c r="A5117" t="s">
        <v>73</v>
      </c>
      <c r="B5117">
        <v>2025</v>
      </c>
      <c r="C5117" t="s">
        <v>15</v>
      </c>
      <c r="D5117" s="35">
        <v>16965813.550000001</v>
      </c>
      <c r="E5117" s="35">
        <v>292014</v>
      </c>
      <c r="F5117" s="35">
        <v>12177080</v>
      </c>
    </row>
    <row r="5118" spans="1:6" x14ac:dyDescent="0.3">
      <c r="A5118" t="s">
        <v>73</v>
      </c>
      <c r="B5118">
        <v>2025</v>
      </c>
      <c r="C5118" t="s">
        <v>18</v>
      </c>
      <c r="D5118" s="35">
        <v>5583446.4000000004</v>
      </c>
      <c r="E5118" s="35">
        <v>36088</v>
      </c>
      <c r="F5118" s="35">
        <v>5010177.4800000004</v>
      </c>
    </row>
    <row r="5119" spans="1:6" x14ac:dyDescent="0.3">
      <c r="A5119" t="s">
        <v>74</v>
      </c>
      <c r="B5119">
        <v>2019</v>
      </c>
      <c r="C5119" t="s">
        <v>10</v>
      </c>
      <c r="D5119" s="35">
        <v>125803659.58</v>
      </c>
      <c r="E5119" s="35">
        <v>2948630</v>
      </c>
      <c r="F5119" s="35">
        <v>91570997.550000027</v>
      </c>
    </row>
    <row r="5120" spans="1:6" x14ac:dyDescent="0.3">
      <c r="A5120" t="s">
        <v>74</v>
      </c>
      <c r="B5120">
        <v>2019</v>
      </c>
      <c r="C5120" t="s">
        <v>4</v>
      </c>
      <c r="D5120" s="35">
        <v>278898542.26000011</v>
      </c>
      <c r="E5120" s="35">
        <v>887440</v>
      </c>
      <c r="F5120" s="35">
        <v>271148244.88</v>
      </c>
    </row>
    <row r="5121" spans="1:6" x14ac:dyDescent="0.3">
      <c r="A5121" t="s">
        <v>74</v>
      </c>
      <c r="B5121">
        <v>2019</v>
      </c>
      <c r="C5121" t="s">
        <v>13</v>
      </c>
      <c r="D5121" s="35">
        <v>177010420.83000001</v>
      </c>
      <c r="E5121" s="35">
        <v>1040245</v>
      </c>
      <c r="F5121" s="35">
        <v>150473470.63999999</v>
      </c>
    </row>
    <row r="5122" spans="1:6" x14ac:dyDescent="0.3">
      <c r="A5122" t="s">
        <v>74</v>
      </c>
      <c r="B5122">
        <v>2019</v>
      </c>
      <c r="C5122" t="s">
        <v>16</v>
      </c>
      <c r="D5122" s="35">
        <v>45071968.770000011</v>
      </c>
      <c r="E5122" s="35">
        <v>223706</v>
      </c>
      <c r="F5122" s="35">
        <v>38807858.790000007</v>
      </c>
    </row>
    <row r="5123" spans="1:6" x14ac:dyDescent="0.3">
      <c r="A5123" t="s">
        <v>74</v>
      </c>
      <c r="B5123">
        <v>2019</v>
      </c>
      <c r="C5123" t="s">
        <v>14</v>
      </c>
      <c r="D5123" s="35">
        <v>114493988.40000001</v>
      </c>
      <c r="E5123" s="35">
        <v>1830775</v>
      </c>
      <c r="F5123" s="35">
        <v>63759609.149999991</v>
      </c>
    </row>
    <row r="5124" spans="1:6" x14ac:dyDescent="0.3">
      <c r="A5124" t="s">
        <v>74</v>
      </c>
      <c r="B5124">
        <v>2019</v>
      </c>
      <c r="C5124" t="s">
        <v>7</v>
      </c>
      <c r="D5124" s="35">
        <v>138375861.28999999</v>
      </c>
      <c r="E5124" s="35">
        <v>66118</v>
      </c>
      <c r="F5124" s="35">
        <v>136537495.36000001</v>
      </c>
    </row>
    <row r="5125" spans="1:6" x14ac:dyDescent="0.3">
      <c r="A5125" t="s">
        <v>74</v>
      </c>
      <c r="B5125">
        <v>2019</v>
      </c>
      <c r="C5125" t="s">
        <v>11</v>
      </c>
      <c r="D5125" s="35">
        <v>159389335.47</v>
      </c>
      <c r="E5125" s="35">
        <v>155103</v>
      </c>
      <c r="F5125" s="35">
        <v>153098615.38</v>
      </c>
    </row>
    <row r="5126" spans="1:6" x14ac:dyDescent="0.3">
      <c r="A5126" t="s">
        <v>74</v>
      </c>
      <c r="B5126">
        <v>2019</v>
      </c>
      <c r="C5126" t="s">
        <v>3</v>
      </c>
      <c r="D5126" s="35">
        <v>184690402.62</v>
      </c>
      <c r="E5126" s="35">
        <v>1589727</v>
      </c>
      <c r="F5126" s="35">
        <v>166157261.07000011</v>
      </c>
    </row>
    <row r="5127" spans="1:6" x14ac:dyDescent="0.3">
      <c r="A5127" t="s">
        <v>74</v>
      </c>
      <c r="B5127">
        <v>2019</v>
      </c>
      <c r="C5127" t="s">
        <v>12</v>
      </c>
      <c r="D5127" s="35">
        <v>255324451.74000001</v>
      </c>
      <c r="E5127" s="35">
        <v>5176050</v>
      </c>
      <c r="F5127" s="35">
        <v>137596877.12</v>
      </c>
    </row>
    <row r="5128" spans="1:6" x14ac:dyDescent="0.3">
      <c r="A5128" t="s">
        <v>74</v>
      </c>
      <c r="B5128">
        <v>2019</v>
      </c>
      <c r="C5128" t="s">
        <v>2</v>
      </c>
      <c r="D5128" s="35">
        <v>916688957.02999997</v>
      </c>
      <c r="E5128" s="35">
        <v>6742221</v>
      </c>
      <c r="F5128" s="35">
        <v>766078763.55000007</v>
      </c>
    </row>
    <row r="5129" spans="1:6" x14ac:dyDescent="0.3">
      <c r="A5129" t="s">
        <v>74</v>
      </c>
      <c r="B5129">
        <v>2019</v>
      </c>
      <c r="C5129" t="s">
        <v>5</v>
      </c>
      <c r="D5129" s="35">
        <v>186283659.88</v>
      </c>
      <c r="E5129" s="35">
        <v>146226</v>
      </c>
      <c r="F5129" s="35">
        <v>175923185.93000001</v>
      </c>
    </row>
    <row r="5130" spans="1:6" x14ac:dyDescent="0.3">
      <c r="A5130" t="s">
        <v>74</v>
      </c>
      <c r="B5130">
        <v>2019</v>
      </c>
      <c r="C5130" t="s">
        <v>17</v>
      </c>
      <c r="D5130" s="35">
        <v>10359241.130000001</v>
      </c>
      <c r="E5130" s="35">
        <v>391485</v>
      </c>
      <c r="F5130" s="35">
        <v>3217643.99</v>
      </c>
    </row>
    <row r="5131" spans="1:6" x14ac:dyDescent="0.3">
      <c r="A5131" t="s">
        <v>74</v>
      </c>
      <c r="B5131">
        <v>2019</v>
      </c>
      <c r="C5131" t="s">
        <v>9</v>
      </c>
      <c r="D5131" s="35">
        <v>52071525.209999993</v>
      </c>
      <c r="E5131" s="35">
        <v>2935508</v>
      </c>
      <c r="F5131" s="35">
        <v>23614003.850000009</v>
      </c>
    </row>
    <row r="5132" spans="1:6" x14ac:dyDescent="0.3">
      <c r="A5132" t="s">
        <v>74</v>
      </c>
      <c r="B5132">
        <v>2019</v>
      </c>
      <c r="C5132" t="s">
        <v>8</v>
      </c>
      <c r="D5132" s="35">
        <v>182513031.41999999</v>
      </c>
      <c r="E5132" s="35">
        <v>16897</v>
      </c>
      <c r="F5132" s="35">
        <v>182513031.41999999</v>
      </c>
    </row>
    <row r="5133" spans="1:6" x14ac:dyDescent="0.3">
      <c r="A5133" t="s">
        <v>74</v>
      </c>
      <c r="B5133">
        <v>2019</v>
      </c>
      <c r="C5133" t="s">
        <v>6</v>
      </c>
      <c r="D5133" s="35">
        <v>365652288.89999998</v>
      </c>
      <c r="E5133" s="35">
        <v>6061959</v>
      </c>
      <c r="F5133" s="35">
        <v>310049486.42000002</v>
      </c>
    </row>
    <row r="5134" spans="1:6" x14ac:dyDescent="0.3">
      <c r="A5134" t="s">
        <v>74</v>
      </c>
      <c r="B5134">
        <v>2019</v>
      </c>
      <c r="C5134" t="s">
        <v>15</v>
      </c>
      <c r="D5134" s="35">
        <v>163244967.47999999</v>
      </c>
      <c r="E5134" s="35">
        <v>2748473</v>
      </c>
      <c r="F5134" s="35">
        <v>118093644.58</v>
      </c>
    </row>
    <row r="5135" spans="1:6" x14ac:dyDescent="0.3">
      <c r="A5135" t="s">
        <v>74</v>
      </c>
      <c r="B5135">
        <v>2019</v>
      </c>
      <c r="C5135" t="s">
        <v>18</v>
      </c>
      <c r="D5135" s="35">
        <v>23595285.300000001</v>
      </c>
      <c r="E5135" s="35">
        <v>90832</v>
      </c>
      <c r="F5135" s="35">
        <v>19739997.16</v>
      </c>
    </row>
    <row r="5136" spans="1:6" x14ac:dyDescent="0.3">
      <c r="A5136" t="s">
        <v>74</v>
      </c>
      <c r="B5136">
        <v>2020</v>
      </c>
      <c r="C5136" t="s">
        <v>10</v>
      </c>
      <c r="D5136" s="35">
        <v>129598209.06999999</v>
      </c>
      <c r="E5136" s="35">
        <v>2837678</v>
      </c>
      <c r="F5136" s="35">
        <v>94704145.689999998</v>
      </c>
    </row>
    <row r="5137" spans="1:6" x14ac:dyDescent="0.3">
      <c r="A5137" t="s">
        <v>74</v>
      </c>
      <c r="B5137">
        <v>2020</v>
      </c>
      <c r="C5137" t="s">
        <v>4</v>
      </c>
      <c r="D5137" s="35">
        <v>303005150.88999999</v>
      </c>
      <c r="E5137" s="35">
        <v>885200</v>
      </c>
      <c r="F5137" s="35">
        <v>296686467.0200001</v>
      </c>
    </row>
    <row r="5138" spans="1:6" x14ac:dyDescent="0.3">
      <c r="A5138" t="s">
        <v>74</v>
      </c>
      <c r="B5138">
        <v>2020</v>
      </c>
      <c r="C5138" t="s">
        <v>13</v>
      </c>
      <c r="D5138" s="35">
        <v>189985299.78</v>
      </c>
      <c r="E5138" s="35">
        <v>1221443</v>
      </c>
      <c r="F5138" s="35">
        <v>166884832.08000001</v>
      </c>
    </row>
    <row r="5139" spans="1:6" x14ac:dyDescent="0.3">
      <c r="A5139" t="s">
        <v>74</v>
      </c>
      <c r="B5139">
        <v>2020</v>
      </c>
      <c r="C5139" t="s">
        <v>16</v>
      </c>
      <c r="D5139" s="35">
        <v>43782170.220000014</v>
      </c>
      <c r="E5139" s="35">
        <v>216427</v>
      </c>
      <c r="F5139" s="35">
        <v>37882593.689999998</v>
      </c>
    </row>
    <row r="5140" spans="1:6" x14ac:dyDescent="0.3">
      <c r="A5140" t="s">
        <v>74</v>
      </c>
      <c r="B5140">
        <v>2020</v>
      </c>
      <c r="C5140" t="s">
        <v>14</v>
      </c>
      <c r="D5140" s="35">
        <v>105434715.42</v>
      </c>
      <c r="E5140" s="35">
        <v>1575894</v>
      </c>
      <c r="F5140" s="35">
        <v>57853394.689999998</v>
      </c>
    </row>
    <row r="5141" spans="1:6" x14ac:dyDescent="0.3">
      <c r="A5141" t="s">
        <v>74</v>
      </c>
      <c r="B5141">
        <v>2020</v>
      </c>
      <c r="C5141" t="s">
        <v>7</v>
      </c>
      <c r="D5141" s="35">
        <v>149274805.81</v>
      </c>
      <c r="E5141" s="35">
        <v>62488</v>
      </c>
      <c r="F5141" s="35">
        <v>148521256.61000001</v>
      </c>
    </row>
    <row r="5142" spans="1:6" x14ac:dyDescent="0.3">
      <c r="A5142" t="s">
        <v>74</v>
      </c>
      <c r="B5142">
        <v>2020</v>
      </c>
      <c r="C5142" t="s">
        <v>11</v>
      </c>
      <c r="D5142" s="35">
        <v>156063299.94999999</v>
      </c>
      <c r="E5142" s="35">
        <v>145561</v>
      </c>
      <c r="F5142" s="35">
        <v>148785143.80000001</v>
      </c>
    </row>
    <row r="5143" spans="1:6" x14ac:dyDescent="0.3">
      <c r="A5143" t="s">
        <v>74</v>
      </c>
      <c r="B5143">
        <v>2020</v>
      </c>
      <c r="C5143" t="s">
        <v>3</v>
      </c>
      <c r="D5143" s="35">
        <v>222231958.98000011</v>
      </c>
      <c r="E5143" s="35">
        <v>1241369</v>
      </c>
      <c r="F5143" s="35">
        <v>206649260.74000001</v>
      </c>
    </row>
    <row r="5144" spans="1:6" x14ac:dyDescent="0.3">
      <c r="A5144" t="s">
        <v>74</v>
      </c>
      <c r="B5144">
        <v>2020</v>
      </c>
      <c r="C5144" t="s">
        <v>12</v>
      </c>
      <c r="D5144" s="35">
        <v>176412726.0399999</v>
      </c>
      <c r="E5144" s="35">
        <v>3663068</v>
      </c>
      <c r="F5144" s="35">
        <v>101810541.09999999</v>
      </c>
    </row>
    <row r="5145" spans="1:6" x14ac:dyDescent="0.3">
      <c r="A5145" t="s">
        <v>74</v>
      </c>
      <c r="B5145">
        <v>2020</v>
      </c>
      <c r="C5145" t="s">
        <v>2</v>
      </c>
      <c r="D5145" s="35">
        <v>884639985.88</v>
      </c>
      <c r="E5145" s="35">
        <v>6667673</v>
      </c>
      <c r="F5145" s="35">
        <v>732064530.35000002</v>
      </c>
    </row>
    <row r="5146" spans="1:6" x14ac:dyDescent="0.3">
      <c r="A5146" t="s">
        <v>74</v>
      </c>
      <c r="B5146">
        <v>2020</v>
      </c>
      <c r="C5146" t="s">
        <v>5</v>
      </c>
      <c r="D5146" s="35">
        <v>206675404.74999991</v>
      </c>
      <c r="E5146" s="35">
        <v>142645</v>
      </c>
      <c r="F5146" s="35">
        <v>196694868.5</v>
      </c>
    </row>
    <row r="5147" spans="1:6" x14ac:dyDescent="0.3">
      <c r="A5147" t="s">
        <v>74</v>
      </c>
      <c r="B5147">
        <v>2020</v>
      </c>
      <c r="C5147" t="s">
        <v>17</v>
      </c>
      <c r="D5147" s="35">
        <v>10026711.960000001</v>
      </c>
      <c r="E5147" s="35">
        <v>343452</v>
      </c>
      <c r="F5147" s="35">
        <v>3651759.57</v>
      </c>
    </row>
    <row r="5148" spans="1:6" x14ac:dyDescent="0.3">
      <c r="A5148" t="s">
        <v>74</v>
      </c>
      <c r="B5148">
        <v>2020</v>
      </c>
      <c r="C5148" t="s">
        <v>9</v>
      </c>
      <c r="D5148" s="35">
        <v>43943443.409999996</v>
      </c>
      <c r="E5148" s="35">
        <v>2339788</v>
      </c>
      <c r="F5148" s="35">
        <v>19255966.300000001</v>
      </c>
    </row>
    <row r="5149" spans="1:6" x14ac:dyDescent="0.3">
      <c r="A5149" t="s">
        <v>74</v>
      </c>
      <c r="B5149">
        <v>2020</v>
      </c>
      <c r="C5149" t="s">
        <v>8</v>
      </c>
      <c r="D5149" s="35">
        <v>248952218.90000001</v>
      </c>
      <c r="E5149" s="35">
        <v>19586</v>
      </c>
      <c r="F5149" s="35">
        <v>248544446.09999999</v>
      </c>
    </row>
    <row r="5150" spans="1:6" x14ac:dyDescent="0.3">
      <c r="A5150" t="s">
        <v>74</v>
      </c>
      <c r="B5150">
        <v>2020</v>
      </c>
      <c r="C5150" t="s">
        <v>6</v>
      </c>
      <c r="D5150" s="35">
        <v>324648925.76999998</v>
      </c>
      <c r="E5150" s="35">
        <v>5403135</v>
      </c>
      <c r="F5150" s="35">
        <v>268356576.65000001</v>
      </c>
    </row>
    <row r="5151" spans="1:6" x14ac:dyDescent="0.3">
      <c r="A5151" t="s">
        <v>74</v>
      </c>
      <c r="B5151">
        <v>2020</v>
      </c>
      <c r="C5151" t="s">
        <v>15</v>
      </c>
      <c r="D5151" s="35">
        <v>103787598.66</v>
      </c>
      <c r="E5151" s="35">
        <v>1748623</v>
      </c>
      <c r="F5151" s="35">
        <v>68462301.870000005</v>
      </c>
    </row>
    <row r="5152" spans="1:6" x14ac:dyDescent="0.3">
      <c r="A5152" t="s">
        <v>74</v>
      </c>
      <c r="B5152">
        <v>2020</v>
      </c>
      <c r="C5152" t="s">
        <v>18</v>
      </c>
      <c r="D5152" s="35">
        <v>30416728.5</v>
      </c>
      <c r="E5152" s="35">
        <v>104548</v>
      </c>
      <c r="F5152" s="35">
        <v>20339796.45000001</v>
      </c>
    </row>
    <row r="5153" spans="1:6" x14ac:dyDescent="0.3">
      <c r="A5153" t="s">
        <v>74</v>
      </c>
      <c r="B5153">
        <v>2021</v>
      </c>
      <c r="C5153" t="s">
        <v>10</v>
      </c>
      <c r="D5153" s="35">
        <v>138104514.21000001</v>
      </c>
      <c r="E5153" s="35">
        <v>2807624</v>
      </c>
      <c r="F5153" s="35">
        <v>101072782.25</v>
      </c>
    </row>
    <row r="5154" spans="1:6" x14ac:dyDescent="0.3">
      <c r="A5154" t="s">
        <v>74</v>
      </c>
      <c r="B5154">
        <v>2021</v>
      </c>
      <c r="C5154" t="s">
        <v>4</v>
      </c>
      <c r="D5154" s="35">
        <v>333210932.99000001</v>
      </c>
      <c r="E5154" s="35">
        <v>919672</v>
      </c>
      <c r="F5154" s="35">
        <v>327216486.73000002</v>
      </c>
    </row>
    <row r="5155" spans="1:6" x14ac:dyDescent="0.3">
      <c r="A5155" t="s">
        <v>74</v>
      </c>
      <c r="B5155">
        <v>2021</v>
      </c>
      <c r="C5155" t="s">
        <v>13</v>
      </c>
      <c r="D5155" s="35">
        <v>199808272.69999999</v>
      </c>
      <c r="E5155" s="35">
        <v>1356021</v>
      </c>
      <c r="F5155" s="35">
        <v>174969259.75</v>
      </c>
    </row>
    <row r="5156" spans="1:6" x14ac:dyDescent="0.3">
      <c r="A5156" t="s">
        <v>74</v>
      </c>
      <c r="B5156">
        <v>2021</v>
      </c>
      <c r="C5156" t="s">
        <v>16</v>
      </c>
      <c r="D5156" s="35">
        <v>38280259.310000002</v>
      </c>
      <c r="E5156" s="35">
        <v>219633</v>
      </c>
      <c r="F5156" s="35">
        <v>31070535.460000001</v>
      </c>
    </row>
    <row r="5157" spans="1:6" x14ac:dyDescent="0.3">
      <c r="A5157" t="s">
        <v>74</v>
      </c>
      <c r="B5157">
        <v>2021</v>
      </c>
      <c r="C5157" t="s">
        <v>14</v>
      </c>
      <c r="D5157" s="35">
        <v>112864428.67</v>
      </c>
      <c r="E5157" s="35">
        <v>1849658</v>
      </c>
      <c r="F5157" s="35">
        <v>60454289.450000003</v>
      </c>
    </row>
    <row r="5158" spans="1:6" x14ac:dyDescent="0.3">
      <c r="A5158" t="s">
        <v>74</v>
      </c>
      <c r="B5158">
        <v>2021</v>
      </c>
      <c r="C5158" t="s">
        <v>7</v>
      </c>
      <c r="D5158" s="35">
        <v>150286728.37999991</v>
      </c>
      <c r="E5158" s="35">
        <v>58947</v>
      </c>
      <c r="F5158" s="35">
        <v>149035438.02000001</v>
      </c>
    </row>
    <row r="5159" spans="1:6" x14ac:dyDescent="0.3">
      <c r="A5159" t="s">
        <v>74</v>
      </c>
      <c r="B5159">
        <v>2021</v>
      </c>
      <c r="C5159" t="s">
        <v>11</v>
      </c>
      <c r="D5159" s="35">
        <v>166962142.47</v>
      </c>
      <c r="E5159" s="35">
        <v>130499</v>
      </c>
      <c r="F5159" s="35">
        <v>158281916.75999999</v>
      </c>
    </row>
    <row r="5160" spans="1:6" x14ac:dyDescent="0.3">
      <c r="A5160" t="s">
        <v>74</v>
      </c>
      <c r="B5160">
        <v>2021</v>
      </c>
      <c r="C5160" t="s">
        <v>3</v>
      </c>
      <c r="D5160" s="35">
        <v>284517162.11000001</v>
      </c>
      <c r="E5160" s="35">
        <v>1509890</v>
      </c>
      <c r="F5160" s="35">
        <v>266202068.47</v>
      </c>
    </row>
    <row r="5161" spans="1:6" x14ac:dyDescent="0.3">
      <c r="A5161" t="s">
        <v>74</v>
      </c>
      <c r="B5161">
        <v>2021</v>
      </c>
      <c r="C5161" t="s">
        <v>12</v>
      </c>
      <c r="D5161" s="35">
        <v>186571994.20999989</v>
      </c>
      <c r="E5161" s="35">
        <v>4260009</v>
      </c>
      <c r="F5161" s="35">
        <v>123388938.58</v>
      </c>
    </row>
    <row r="5162" spans="1:6" x14ac:dyDescent="0.3">
      <c r="A5162" t="s">
        <v>74</v>
      </c>
      <c r="B5162">
        <v>2021</v>
      </c>
      <c r="C5162" t="s">
        <v>2</v>
      </c>
      <c r="D5162" s="35">
        <v>926502136.50999975</v>
      </c>
      <c r="E5162" s="35">
        <v>6854729</v>
      </c>
      <c r="F5162" s="35">
        <v>761548090.16000009</v>
      </c>
    </row>
    <row r="5163" spans="1:6" x14ac:dyDescent="0.3">
      <c r="A5163" t="s">
        <v>74</v>
      </c>
      <c r="B5163">
        <v>2021</v>
      </c>
      <c r="C5163" t="s">
        <v>5</v>
      </c>
      <c r="D5163" s="35">
        <v>223816180.50999999</v>
      </c>
      <c r="E5163" s="35">
        <v>135386</v>
      </c>
      <c r="F5163" s="35">
        <v>212987564.53</v>
      </c>
    </row>
    <row r="5164" spans="1:6" x14ac:dyDescent="0.3">
      <c r="A5164" t="s">
        <v>74</v>
      </c>
      <c r="B5164">
        <v>2021</v>
      </c>
      <c r="C5164" t="s">
        <v>17</v>
      </c>
      <c r="D5164" s="35">
        <v>10529955.439999999</v>
      </c>
      <c r="E5164" s="35">
        <v>333495</v>
      </c>
      <c r="F5164" s="35">
        <v>3928220.24</v>
      </c>
    </row>
    <row r="5165" spans="1:6" x14ac:dyDescent="0.3">
      <c r="A5165" t="s">
        <v>74</v>
      </c>
      <c r="B5165">
        <v>2021</v>
      </c>
      <c r="C5165" t="s">
        <v>9</v>
      </c>
      <c r="D5165" s="35">
        <v>41630619.710000001</v>
      </c>
      <c r="E5165" s="35">
        <v>2564014</v>
      </c>
      <c r="F5165" s="35">
        <v>16305908.390000001</v>
      </c>
    </row>
    <row r="5166" spans="1:6" x14ac:dyDescent="0.3">
      <c r="A5166" t="s">
        <v>74</v>
      </c>
      <c r="B5166">
        <v>2021</v>
      </c>
      <c r="C5166" t="s">
        <v>8</v>
      </c>
      <c r="D5166" s="35">
        <v>303943925.19</v>
      </c>
      <c r="E5166" s="35">
        <v>19891</v>
      </c>
      <c r="F5166" s="35">
        <v>302841718.51000011</v>
      </c>
    </row>
    <row r="5167" spans="1:6" x14ac:dyDescent="0.3">
      <c r="A5167" t="s">
        <v>74</v>
      </c>
      <c r="B5167">
        <v>2021</v>
      </c>
      <c r="C5167" t="s">
        <v>6</v>
      </c>
      <c r="D5167" s="35">
        <v>314756933.27999997</v>
      </c>
      <c r="E5167" s="35">
        <v>5996551</v>
      </c>
      <c r="F5167" s="35">
        <v>251014413.77000001</v>
      </c>
    </row>
    <row r="5168" spans="1:6" x14ac:dyDescent="0.3">
      <c r="A5168" t="s">
        <v>74</v>
      </c>
      <c r="B5168">
        <v>2021</v>
      </c>
      <c r="C5168" t="s">
        <v>15</v>
      </c>
      <c r="D5168" s="35">
        <v>93900990.420000017</v>
      </c>
      <c r="E5168" s="35">
        <v>1857439</v>
      </c>
      <c r="F5168" s="35">
        <v>54344630.659999989</v>
      </c>
    </row>
    <row r="5169" spans="1:6" x14ac:dyDescent="0.3">
      <c r="A5169" t="s">
        <v>74</v>
      </c>
      <c r="B5169">
        <v>2021</v>
      </c>
      <c r="C5169" t="s">
        <v>18</v>
      </c>
      <c r="D5169" s="35">
        <v>27472946.350000001</v>
      </c>
      <c r="E5169" s="35">
        <v>103438</v>
      </c>
      <c r="F5169" s="35">
        <v>16067012.289999999</v>
      </c>
    </row>
    <row r="5170" spans="1:6" x14ac:dyDescent="0.3">
      <c r="A5170" t="s">
        <v>74</v>
      </c>
      <c r="B5170">
        <v>2022</v>
      </c>
      <c r="C5170" t="s">
        <v>10</v>
      </c>
      <c r="D5170" s="35">
        <v>154300447.74000001</v>
      </c>
      <c r="E5170" s="35">
        <v>3098777</v>
      </c>
      <c r="F5170" s="35">
        <v>113636573.04000001</v>
      </c>
    </row>
    <row r="5171" spans="1:6" x14ac:dyDescent="0.3">
      <c r="A5171" t="s">
        <v>74</v>
      </c>
      <c r="B5171">
        <v>2022</v>
      </c>
      <c r="C5171" t="s">
        <v>4</v>
      </c>
      <c r="D5171" s="35">
        <v>385441856.91000003</v>
      </c>
      <c r="E5171" s="35">
        <v>1021313</v>
      </c>
      <c r="F5171" s="35">
        <v>379593769.88</v>
      </c>
    </row>
    <row r="5172" spans="1:6" x14ac:dyDescent="0.3">
      <c r="A5172" t="s">
        <v>74</v>
      </c>
      <c r="B5172">
        <v>2022</v>
      </c>
      <c r="C5172" t="s">
        <v>13</v>
      </c>
      <c r="D5172" s="35">
        <v>209257054.25999999</v>
      </c>
      <c r="E5172" s="35">
        <v>1458084</v>
      </c>
      <c r="F5172" s="35">
        <v>184397128.06</v>
      </c>
    </row>
    <row r="5173" spans="1:6" x14ac:dyDescent="0.3">
      <c r="A5173" t="s">
        <v>74</v>
      </c>
      <c r="B5173">
        <v>2022</v>
      </c>
      <c r="C5173" t="s">
        <v>16</v>
      </c>
      <c r="D5173" s="35">
        <v>41397212.789999999</v>
      </c>
      <c r="E5173" s="35">
        <v>236662</v>
      </c>
      <c r="F5173" s="35">
        <v>33998522.159999996</v>
      </c>
    </row>
    <row r="5174" spans="1:6" x14ac:dyDescent="0.3">
      <c r="A5174" t="s">
        <v>74</v>
      </c>
      <c r="B5174">
        <v>2022</v>
      </c>
      <c r="C5174" t="s">
        <v>14</v>
      </c>
      <c r="D5174" s="35">
        <v>111161620.06</v>
      </c>
      <c r="E5174" s="35">
        <v>2212321</v>
      </c>
      <c r="F5174" s="35">
        <v>61155773.069999993</v>
      </c>
    </row>
    <row r="5175" spans="1:6" x14ac:dyDescent="0.3">
      <c r="A5175" t="s">
        <v>74</v>
      </c>
      <c r="B5175">
        <v>2022</v>
      </c>
      <c r="C5175" t="s">
        <v>7</v>
      </c>
      <c r="D5175" s="35">
        <v>162399792.43000001</v>
      </c>
      <c r="E5175" s="35">
        <v>60355</v>
      </c>
      <c r="F5175" s="35">
        <v>160565048.74000001</v>
      </c>
    </row>
    <row r="5176" spans="1:6" x14ac:dyDescent="0.3">
      <c r="A5176" t="s">
        <v>74</v>
      </c>
      <c r="B5176">
        <v>2022</v>
      </c>
      <c r="C5176" t="s">
        <v>11</v>
      </c>
      <c r="D5176" s="35">
        <v>190669798.78999999</v>
      </c>
      <c r="E5176" s="35">
        <v>129896</v>
      </c>
      <c r="F5176" s="35">
        <v>181831419.21000001</v>
      </c>
    </row>
    <row r="5177" spans="1:6" x14ac:dyDescent="0.3">
      <c r="A5177" t="s">
        <v>74</v>
      </c>
      <c r="B5177">
        <v>2022</v>
      </c>
      <c r="C5177" t="s">
        <v>3</v>
      </c>
      <c r="D5177" s="35">
        <v>364390864.56999999</v>
      </c>
      <c r="E5177" s="35">
        <v>1797678</v>
      </c>
      <c r="F5177" s="35">
        <v>344437401.87</v>
      </c>
    </row>
    <row r="5178" spans="1:6" x14ac:dyDescent="0.3">
      <c r="A5178" t="s">
        <v>74</v>
      </c>
      <c r="B5178">
        <v>2022</v>
      </c>
      <c r="C5178" t="s">
        <v>12</v>
      </c>
      <c r="D5178" s="35">
        <v>229924745.3000001</v>
      </c>
      <c r="E5178" s="35">
        <v>5800622</v>
      </c>
      <c r="F5178" s="35">
        <v>129889486.48999999</v>
      </c>
    </row>
    <row r="5179" spans="1:6" x14ac:dyDescent="0.3">
      <c r="A5179" t="s">
        <v>74</v>
      </c>
      <c r="B5179">
        <v>2022</v>
      </c>
      <c r="C5179" t="s">
        <v>2</v>
      </c>
      <c r="D5179" s="35">
        <v>1066855680.45</v>
      </c>
      <c r="E5179" s="35">
        <v>7474899</v>
      </c>
      <c r="F5179" s="35">
        <v>894295848.50999999</v>
      </c>
    </row>
    <row r="5180" spans="1:6" x14ac:dyDescent="0.3">
      <c r="A5180" t="s">
        <v>74</v>
      </c>
      <c r="B5180">
        <v>2022</v>
      </c>
      <c r="C5180" t="s">
        <v>5</v>
      </c>
      <c r="D5180" s="35">
        <v>257357194.21000001</v>
      </c>
      <c r="E5180" s="35">
        <v>135650</v>
      </c>
      <c r="F5180" s="35">
        <v>245144831.96000001</v>
      </c>
    </row>
    <row r="5181" spans="1:6" x14ac:dyDescent="0.3">
      <c r="A5181" t="s">
        <v>74</v>
      </c>
      <c r="B5181">
        <v>2022</v>
      </c>
      <c r="C5181" t="s">
        <v>17</v>
      </c>
      <c r="D5181" s="35">
        <v>10263457.140000001</v>
      </c>
      <c r="E5181" s="35">
        <v>354847</v>
      </c>
      <c r="F5181" s="35">
        <v>3751708.0100000012</v>
      </c>
    </row>
    <row r="5182" spans="1:6" x14ac:dyDescent="0.3">
      <c r="A5182" t="s">
        <v>74</v>
      </c>
      <c r="B5182">
        <v>2022</v>
      </c>
      <c r="C5182" t="s">
        <v>9</v>
      </c>
      <c r="D5182" s="35">
        <v>41847908.109999999</v>
      </c>
      <c r="E5182" s="35">
        <v>3142622</v>
      </c>
      <c r="F5182" s="35">
        <v>12437471.289999999</v>
      </c>
    </row>
    <row r="5183" spans="1:6" x14ac:dyDescent="0.3">
      <c r="A5183" t="s">
        <v>74</v>
      </c>
      <c r="B5183">
        <v>2022</v>
      </c>
      <c r="C5183" t="s">
        <v>8</v>
      </c>
      <c r="D5183" s="35">
        <v>378781541.81</v>
      </c>
      <c r="E5183" s="35">
        <v>21981</v>
      </c>
      <c r="F5183" s="35">
        <v>376327521.97000003</v>
      </c>
    </row>
    <row r="5184" spans="1:6" x14ac:dyDescent="0.3">
      <c r="A5184" t="s">
        <v>74</v>
      </c>
      <c r="B5184">
        <v>2022</v>
      </c>
      <c r="C5184" t="s">
        <v>6</v>
      </c>
      <c r="D5184" s="35">
        <v>344174093.68000001</v>
      </c>
      <c r="E5184" s="35">
        <v>6591575</v>
      </c>
      <c r="F5184" s="35">
        <v>282595246.57999998</v>
      </c>
    </row>
    <row r="5185" spans="1:6" x14ac:dyDescent="0.3">
      <c r="A5185" t="s">
        <v>74</v>
      </c>
      <c r="B5185">
        <v>2022</v>
      </c>
      <c r="C5185" t="s">
        <v>15</v>
      </c>
      <c r="D5185" s="35">
        <v>77133986.449999988</v>
      </c>
      <c r="E5185" s="35">
        <v>1914241</v>
      </c>
      <c r="F5185" s="35">
        <v>38854232.43999999</v>
      </c>
    </row>
    <row r="5186" spans="1:6" x14ac:dyDescent="0.3">
      <c r="A5186" t="s">
        <v>74</v>
      </c>
      <c r="B5186">
        <v>2022</v>
      </c>
      <c r="C5186" t="s">
        <v>18</v>
      </c>
      <c r="D5186" s="35">
        <v>24915866.239999998</v>
      </c>
      <c r="E5186" s="35">
        <v>98886</v>
      </c>
      <c r="F5186" s="35">
        <v>13615571.43</v>
      </c>
    </row>
    <row r="5187" spans="1:6" x14ac:dyDescent="0.3">
      <c r="A5187" t="s">
        <v>74</v>
      </c>
      <c r="B5187">
        <v>2023</v>
      </c>
      <c r="C5187" t="s">
        <v>10</v>
      </c>
      <c r="D5187" s="35">
        <v>156390360.49000001</v>
      </c>
      <c r="E5187" s="35">
        <v>2941709</v>
      </c>
      <c r="F5187" s="35">
        <v>124016900.40000001</v>
      </c>
    </row>
    <row r="5188" spans="1:6" x14ac:dyDescent="0.3">
      <c r="A5188" t="s">
        <v>74</v>
      </c>
      <c r="B5188">
        <v>2023</v>
      </c>
      <c r="C5188" t="s">
        <v>4</v>
      </c>
      <c r="D5188" s="35">
        <v>411695840.57999998</v>
      </c>
      <c r="E5188" s="35">
        <v>1020612</v>
      </c>
      <c r="F5188" s="35">
        <v>406966131.42000002</v>
      </c>
    </row>
    <row r="5189" spans="1:6" x14ac:dyDescent="0.3">
      <c r="A5189" t="s">
        <v>74</v>
      </c>
      <c r="B5189">
        <v>2023</v>
      </c>
      <c r="C5189" t="s">
        <v>13</v>
      </c>
      <c r="D5189" s="35">
        <v>169254034.86000001</v>
      </c>
      <c r="E5189" s="35">
        <v>1352939</v>
      </c>
      <c r="F5189" s="35">
        <v>146833262.28999999</v>
      </c>
    </row>
    <row r="5190" spans="1:6" x14ac:dyDescent="0.3">
      <c r="A5190" t="s">
        <v>74</v>
      </c>
      <c r="B5190">
        <v>2023</v>
      </c>
      <c r="C5190" t="s">
        <v>16</v>
      </c>
      <c r="D5190" s="35">
        <v>41505496.130000003</v>
      </c>
      <c r="E5190" s="35">
        <v>237173</v>
      </c>
      <c r="F5190" s="35">
        <v>35027201.559999987</v>
      </c>
    </row>
    <row r="5191" spans="1:6" x14ac:dyDescent="0.3">
      <c r="A5191" t="s">
        <v>74</v>
      </c>
      <c r="B5191">
        <v>2023</v>
      </c>
      <c r="C5191" t="s">
        <v>14</v>
      </c>
      <c r="D5191" s="35">
        <v>111870915.87</v>
      </c>
      <c r="E5191" s="35">
        <v>2172051</v>
      </c>
      <c r="F5191" s="35">
        <v>65216690.930000007</v>
      </c>
    </row>
    <row r="5192" spans="1:6" x14ac:dyDescent="0.3">
      <c r="A5192" t="s">
        <v>74</v>
      </c>
      <c r="B5192">
        <v>2023</v>
      </c>
      <c r="C5192" t="s">
        <v>7</v>
      </c>
      <c r="D5192" s="35">
        <v>161505131.25</v>
      </c>
      <c r="E5192" s="35">
        <v>56499</v>
      </c>
      <c r="F5192" s="35">
        <v>160057147.38</v>
      </c>
    </row>
    <row r="5193" spans="1:6" x14ac:dyDescent="0.3">
      <c r="A5193" t="s">
        <v>74</v>
      </c>
      <c r="B5193">
        <v>2023</v>
      </c>
      <c r="C5193" t="s">
        <v>11</v>
      </c>
      <c r="D5193" s="35">
        <v>209808353.30000001</v>
      </c>
      <c r="E5193" s="35">
        <v>137936</v>
      </c>
      <c r="F5193" s="35">
        <v>202445041.43000001</v>
      </c>
    </row>
    <row r="5194" spans="1:6" x14ac:dyDescent="0.3">
      <c r="A5194" t="s">
        <v>74</v>
      </c>
      <c r="B5194">
        <v>2023</v>
      </c>
      <c r="C5194" t="s">
        <v>3</v>
      </c>
      <c r="D5194" s="35">
        <v>428040105.26000011</v>
      </c>
      <c r="E5194" s="35">
        <v>1771070</v>
      </c>
      <c r="F5194" s="35">
        <v>407082101.82999998</v>
      </c>
    </row>
    <row r="5195" spans="1:6" x14ac:dyDescent="0.3">
      <c r="A5195" t="s">
        <v>74</v>
      </c>
      <c r="B5195">
        <v>2023</v>
      </c>
      <c r="C5195" t="s">
        <v>12</v>
      </c>
      <c r="D5195" s="35">
        <v>185296911.5</v>
      </c>
      <c r="E5195" s="35">
        <v>5830157</v>
      </c>
      <c r="F5195" s="35">
        <v>95335997.079999998</v>
      </c>
    </row>
    <row r="5196" spans="1:6" x14ac:dyDescent="0.3">
      <c r="A5196" t="s">
        <v>74</v>
      </c>
      <c r="B5196">
        <v>2023</v>
      </c>
      <c r="C5196" t="s">
        <v>2</v>
      </c>
      <c r="D5196" s="35">
        <v>1104370780.1600001</v>
      </c>
      <c r="E5196" s="35">
        <v>7187987</v>
      </c>
      <c r="F5196" s="35">
        <v>948792011.85000014</v>
      </c>
    </row>
    <row r="5197" spans="1:6" x14ac:dyDescent="0.3">
      <c r="A5197" t="s">
        <v>74</v>
      </c>
      <c r="B5197">
        <v>2023</v>
      </c>
      <c r="C5197" t="s">
        <v>5</v>
      </c>
      <c r="D5197" s="35">
        <v>286413987.80000001</v>
      </c>
      <c r="E5197" s="35">
        <v>129606</v>
      </c>
      <c r="F5197" s="35">
        <v>273032147.72000003</v>
      </c>
    </row>
    <row r="5198" spans="1:6" x14ac:dyDescent="0.3">
      <c r="A5198" t="s">
        <v>74</v>
      </c>
      <c r="B5198">
        <v>2023</v>
      </c>
      <c r="C5198" t="s">
        <v>17</v>
      </c>
      <c r="D5198" s="35">
        <v>13491572.109999999</v>
      </c>
      <c r="E5198" s="35">
        <v>416696</v>
      </c>
      <c r="F5198" s="35">
        <v>4860048.5500000007</v>
      </c>
    </row>
    <row r="5199" spans="1:6" x14ac:dyDescent="0.3">
      <c r="A5199" t="s">
        <v>74</v>
      </c>
      <c r="B5199">
        <v>2023</v>
      </c>
      <c r="C5199" t="s">
        <v>9</v>
      </c>
      <c r="D5199" s="35">
        <v>44135124.659999996</v>
      </c>
      <c r="E5199" s="35">
        <v>3047687</v>
      </c>
      <c r="F5199" s="35">
        <v>11599977.51</v>
      </c>
    </row>
    <row r="5200" spans="1:6" x14ac:dyDescent="0.3">
      <c r="A5200" t="s">
        <v>74</v>
      </c>
      <c r="B5200">
        <v>2023</v>
      </c>
      <c r="C5200" t="s">
        <v>8</v>
      </c>
      <c r="D5200" s="35">
        <v>406991163.45999998</v>
      </c>
      <c r="E5200" s="35">
        <v>21745</v>
      </c>
      <c r="F5200" s="35">
        <v>403955047.24000013</v>
      </c>
    </row>
    <row r="5201" spans="1:6" x14ac:dyDescent="0.3">
      <c r="A5201" t="s">
        <v>74</v>
      </c>
      <c r="B5201">
        <v>2023</v>
      </c>
      <c r="C5201" t="s">
        <v>6</v>
      </c>
      <c r="D5201" s="35">
        <v>328393912.19000012</v>
      </c>
      <c r="E5201" s="35">
        <v>6306767</v>
      </c>
      <c r="F5201" s="35">
        <v>271361003.37</v>
      </c>
    </row>
    <row r="5202" spans="1:6" x14ac:dyDescent="0.3">
      <c r="A5202" t="s">
        <v>74</v>
      </c>
      <c r="B5202">
        <v>2023</v>
      </c>
      <c r="C5202" t="s">
        <v>15</v>
      </c>
      <c r="D5202" s="35">
        <v>59441542.369999997</v>
      </c>
      <c r="E5202" s="35">
        <v>1519456</v>
      </c>
      <c r="F5202" s="35">
        <v>29562812.48</v>
      </c>
    </row>
    <row r="5203" spans="1:6" x14ac:dyDescent="0.3">
      <c r="A5203" t="s">
        <v>74</v>
      </c>
      <c r="B5203">
        <v>2023</v>
      </c>
      <c r="C5203" t="s">
        <v>18</v>
      </c>
      <c r="D5203" s="35">
        <v>24912195.850000001</v>
      </c>
      <c r="E5203" s="35">
        <v>89523</v>
      </c>
      <c r="F5203" s="35">
        <v>16787059.420000002</v>
      </c>
    </row>
    <row r="5204" spans="1:6" x14ac:dyDescent="0.3">
      <c r="A5204" t="s">
        <v>74</v>
      </c>
      <c r="B5204">
        <v>2024</v>
      </c>
      <c r="C5204" t="s">
        <v>10</v>
      </c>
      <c r="D5204" s="35">
        <v>139878755.58999991</v>
      </c>
      <c r="E5204" s="35">
        <v>2427930</v>
      </c>
      <c r="F5204" s="35">
        <v>115442625.63</v>
      </c>
    </row>
    <row r="5205" spans="1:6" x14ac:dyDescent="0.3">
      <c r="A5205" t="s">
        <v>74</v>
      </c>
      <c r="B5205">
        <v>2024</v>
      </c>
      <c r="C5205" t="s">
        <v>4</v>
      </c>
      <c r="D5205" s="35">
        <v>278909155.33999997</v>
      </c>
      <c r="E5205" s="35">
        <v>825986</v>
      </c>
      <c r="F5205" s="35">
        <v>275707737.05000001</v>
      </c>
    </row>
    <row r="5206" spans="1:6" x14ac:dyDescent="0.3">
      <c r="A5206" t="s">
        <v>74</v>
      </c>
      <c r="B5206">
        <v>2024</v>
      </c>
      <c r="C5206" t="s">
        <v>13</v>
      </c>
      <c r="D5206" s="35">
        <v>138919093.44</v>
      </c>
      <c r="E5206" s="35">
        <v>931205</v>
      </c>
      <c r="F5206" s="35">
        <v>124645895.23999999</v>
      </c>
    </row>
    <row r="5207" spans="1:6" x14ac:dyDescent="0.3">
      <c r="A5207" t="s">
        <v>74</v>
      </c>
      <c r="B5207">
        <v>2024</v>
      </c>
      <c r="C5207" t="s">
        <v>16</v>
      </c>
      <c r="D5207" s="35">
        <v>36449713.809999987</v>
      </c>
      <c r="E5207" s="35">
        <v>184046</v>
      </c>
      <c r="F5207" s="35">
        <v>31898506.289999999</v>
      </c>
    </row>
    <row r="5208" spans="1:6" x14ac:dyDescent="0.3">
      <c r="A5208" t="s">
        <v>74</v>
      </c>
      <c r="B5208">
        <v>2024</v>
      </c>
      <c r="C5208" t="s">
        <v>14</v>
      </c>
      <c r="D5208" s="35">
        <v>100424152.37</v>
      </c>
      <c r="E5208" s="35">
        <v>1804728</v>
      </c>
      <c r="F5208" s="35">
        <v>60694142.75999999</v>
      </c>
    </row>
    <row r="5209" spans="1:6" x14ac:dyDescent="0.3">
      <c r="A5209" t="s">
        <v>74</v>
      </c>
      <c r="B5209">
        <v>2024</v>
      </c>
      <c r="C5209" t="s">
        <v>7</v>
      </c>
      <c r="D5209" s="35">
        <v>128185325.02</v>
      </c>
      <c r="E5209" s="35">
        <v>42109</v>
      </c>
      <c r="F5209" s="35">
        <v>127112138.33</v>
      </c>
    </row>
    <row r="5210" spans="1:6" x14ac:dyDescent="0.3">
      <c r="A5210" t="s">
        <v>74</v>
      </c>
      <c r="B5210">
        <v>2024</v>
      </c>
      <c r="C5210" t="s">
        <v>11</v>
      </c>
      <c r="D5210" s="35">
        <v>185706912.34999999</v>
      </c>
      <c r="E5210" s="35">
        <v>113361</v>
      </c>
      <c r="F5210" s="35">
        <v>179794892.19000009</v>
      </c>
    </row>
    <row r="5211" spans="1:6" x14ac:dyDescent="0.3">
      <c r="A5211" t="s">
        <v>74</v>
      </c>
      <c r="B5211">
        <v>2024</v>
      </c>
      <c r="C5211" t="s">
        <v>3</v>
      </c>
      <c r="D5211" s="35">
        <v>365105698.14999992</v>
      </c>
      <c r="E5211" s="35">
        <v>1435211</v>
      </c>
      <c r="F5211" s="35">
        <v>344399250.89999998</v>
      </c>
    </row>
    <row r="5212" spans="1:6" x14ac:dyDescent="0.3">
      <c r="A5212" t="s">
        <v>74</v>
      </c>
      <c r="B5212">
        <v>2024</v>
      </c>
      <c r="C5212" t="s">
        <v>12</v>
      </c>
      <c r="D5212" s="35">
        <v>137840670.53</v>
      </c>
      <c r="E5212" s="35">
        <v>4452121</v>
      </c>
      <c r="F5212" s="35">
        <v>67167821.620000005</v>
      </c>
    </row>
    <row r="5213" spans="1:6" x14ac:dyDescent="0.3">
      <c r="A5213" t="s">
        <v>74</v>
      </c>
      <c r="B5213">
        <v>2024</v>
      </c>
      <c r="C5213" t="s">
        <v>2</v>
      </c>
      <c r="D5213" s="35">
        <v>977508067.37</v>
      </c>
      <c r="E5213" s="35">
        <v>5978037</v>
      </c>
      <c r="F5213" s="35">
        <v>826384019.41999996</v>
      </c>
    </row>
    <row r="5214" spans="1:6" x14ac:dyDescent="0.3">
      <c r="A5214" t="s">
        <v>74</v>
      </c>
      <c r="B5214">
        <v>2024</v>
      </c>
      <c r="C5214" t="s">
        <v>5</v>
      </c>
      <c r="D5214" s="35">
        <v>293328247.88</v>
      </c>
      <c r="E5214" s="35">
        <v>111208</v>
      </c>
      <c r="F5214" s="35">
        <v>284110904.17999989</v>
      </c>
    </row>
    <row r="5215" spans="1:6" x14ac:dyDescent="0.3">
      <c r="A5215" t="s">
        <v>74</v>
      </c>
      <c r="B5215">
        <v>2024</v>
      </c>
      <c r="C5215" t="s">
        <v>17</v>
      </c>
      <c r="D5215" s="35">
        <v>11581155.6</v>
      </c>
      <c r="E5215" s="35">
        <v>359469</v>
      </c>
      <c r="F5215" s="35">
        <v>3841282.82</v>
      </c>
    </row>
    <row r="5216" spans="1:6" x14ac:dyDescent="0.3">
      <c r="A5216" t="s">
        <v>74</v>
      </c>
      <c r="B5216">
        <v>2024</v>
      </c>
      <c r="C5216" t="s">
        <v>9</v>
      </c>
      <c r="D5216" s="35">
        <v>43015308.160000011</v>
      </c>
      <c r="E5216" s="35">
        <v>2465594</v>
      </c>
      <c r="F5216" s="35">
        <v>9591672.9000000004</v>
      </c>
    </row>
    <row r="5217" spans="1:6" x14ac:dyDescent="0.3">
      <c r="A5217" t="s">
        <v>74</v>
      </c>
      <c r="B5217">
        <v>2024</v>
      </c>
      <c r="C5217" t="s">
        <v>8</v>
      </c>
      <c r="D5217" s="35">
        <v>414050331.55999988</v>
      </c>
      <c r="E5217" s="35">
        <v>19866</v>
      </c>
      <c r="F5217" s="35">
        <v>411218078.81999999</v>
      </c>
    </row>
    <row r="5218" spans="1:6" x14ac:dyDescent="0.3">
      <c r="A5218" t="s">
        <v>74</v>
      </c>
      <c r="B5218">
        <v>2024</v>
      </c>
      <c r="C5218" t="s">
        <v>6</v>
      </c>
      <c r="D5218" s="35">
        <v>248183307.47999999</v>
      </c>
      <c r="E5218" s="35">
        <v>5093068</v>
      </c>
      <c r="F5218" s="35">
        <v>188650890.66</v>
      </c>
    </row>
    <row r="5219" spans="1:6" x14ac:dyDescent="0.3">
      <c r="A5219" t="s">
        <v>74</v>
      </c>
      <c r="B5219">
        <v>2024</v>
      </c>
      <c r="C5219" t="s">
        <v>15</v>
      </c>
      <c r="D5219" s="35">
        <v>39710544.579999998</v>
      </c>
      <c r="E5219" s="35">
        <v>1094039</v>
      </c>
      <c r="F5219" s="35">
        <v>19192059.030000001</v>
      </c>
    </row>
    <row r="5220" spans="1:6" x14ac:dyDescent="0.3">
      <c r="A5220" t="s">
        <v>74</v>
      </c>
      <c r="B5220">
        <v>2024</v>
      </c>
      <c r="C5220" t="s">
        <v>18</v>
      </c>
      <c r="D5220" s="35">
        <v>22842247.699999999</v>
      </c>
      <c r="E5220" s="35">
        <v>78486</v>
      </c>
      <c r="F5220" s="35">
        <v>16881086.16</v>
      </c>
    </row>
    <row r="5221" spans="1:6" x14ac:dyDescent="0.3">
      <c r="A5221" t="s">
        <v>74</v>
      </c>
      <c r="B5221">
        <v>2025</v>
      </c>
      <c r="C5221" t="s">
        <v>10</v>
      </c>
      <c r="D5221" s="35">
        <v>148109632.88</v>
      </c>
      <c r="E5221" s="35">
        <v>2305814</v>
      </c>
      <c r="F5221" s="35">
        <v>125481543.59</v>
      </c>
    </row>
    <row r="5222" spans="1:6" x14ac:dyDescent="0.3">
      <c r="A5222" t="s">
        <v>74</v>
      </c>
      <c r="B5222">
        <v>2025</v>
      </c>
      <c r="C5222" t="s">
        <v>4</v>
      </c>
      <c r="D5222" s="35">
        <v>310725473.38</v>
      </c>
      <c r="E5222" s="35">
        <v>815417</v>
      </c>
      <c r="F5222" s="35">
        <v>307741514.63999999</v>
      </c>
    </row>
    <row r="5223" spans="1:6" x14ac:dyDescent="0.3">
      <c r="A5223" t="s">
        <v>74</v>
      </c>
      <c r="B5223">
        <v>2025</v>
      </c>
      <c r="C5223" t="s">
        <v>13</v>
      </c>
      <c r="D5223" s="35">
        <v>153933070.21000001</v>
      </c>
      <c r="E5223" s="35">
        <v>922766</v>
      </c>
      <c r="F5223" s="35">
        <v>140222717.91</v>
      </c>
    </row>
    <row r="5224" spans="1:6" x14ac:dyDescent="0.3">
      <c r="A5224" t="s">
        <v>74</v>
      </c>
      <c r="B5224">
        <v>2025</v>
      </c>
      <c r="C5224" t="s">
        <v>16</v>
      </c>
      <c r="D5224" s="35">
        <v>47396770.020000003</v>
      </c>
      <c r="E5224" s="35">
        <v>189976</v>
      </c>
      <c r="F5224" s="35">
        <v>42026995.389999993</v>
      </c>
    </row>
    <row r="5225" spans="1:6" x14ac:dyDescent="0.3">
      <c r="A5225" t="s">
        <v>74</v>
      </c>
      <c r="B5225">
        <v>2025</v>
      </c>
      <c r="C5225" t="s">
        <v>14</v>
      </c>
      <c r="D5225" s="35">
        <v>102541203.79000001</v>
      </c>
      <c r="E5225" s="35">
        <v>1792243</v>
      </c>
      <c r="F5225" s="35">
        <v>67684934.200000018</v>
      </c>
    </row>
    <row r="5226" spans="1:6" x14ac:dyDescent="0.3">
      <c r="A5226" t="s">
        <v>74</v>
      </c>
      <c r="B5226">
        <v>2025</v>
      </c>
      <c r="C5226" t="s">
        <v>7</v>
      </c>
      <c r="D5226" s="35">
        <v>128076546.27</v>
      </c>
      <c r="E5226" s="35">
        <v>37971</v>
      </c>
      <c r="F5226" s="35">
        <v>127462285.56999999</v>
      </c>
    </row>
    <row r="5227" spans="1:6" x14ac:dyDescent="0.3">
      <c r="A5227" t="s">
        <v>74</v>
      </c>
      <c r="B5227">
        <v>2025</v>
      </c>
      <c r="C5227" t="s">
        <v>11</v>
      </c>
      <c r="D5227" s="35">
        <v>190116951.81</v>
      </c>
      <c r="E5227" s="35">
        <v>109787</v>
      </c>
      <c r="F5227" s="35">
        <v>184776964.30000001</v>
      </c>
    </row>
    <row r="5228" spans="1:6" x14ac:dyDescent="0.3">
      <c r="A5228" t="s">
        <v>74</v>
      </c>
      <c r="B5228">
        <v>2025</v>
      </c>
      <c r="C5228" t="s">
        <v>3</v>
      </c>
      <c r="D5228" s="35">
        <v>403155832.69999993</v>
      </c>
      <c r="E5228" s="35">
        <v>1399334</v>
      </c>
      <c r="F5228" s="35">
        <v>386571767.04000002</v>
      </c>
    </row>
    <row r="5229" spans="1:6" x14ac:dyDescent="0.3">
      <c r="A5229" t="s">
        <v>74</v>
      </c>
      <c r="B5229">
        <v>2025</v>
      </c>
      <c r="C5229" t="s">
        <v>12</v>
      </c>
      <c r="D5229" s="35">
        <v>116688871.86</v>
      </c>
      <c r="E5229" s="35">
        <v>4199313</v>
      </c>
      <c r="F5229" s="35">
        <v>51703751.13000001</v>
      </c>
    </row>
    <row r="5230" spans="1:6" x14ac:dyDescent="0.3">
      <c r="A5230" t="s">
        <v>74</v>
      </c>
      <c r="B5230">
        <v>2025</v>
      </c>
      <c r="C5230" t="s">
        <v>2</v>
      </c>
      <c r="D5230" s="35">
        <v>1011075658.11</v>
      </c>
      <c r="E5230" s="35">
        <v>5922550</v>
      </c>
      <c r="F5230" s="35">
        <v>875915494.28000021</v>
      </c>
    </row>
    <row r="5231" spans="1:6" x14ac:dyDescent="0.3">
      <c r="A5231" t="s">
        <v>74</v>
      </c>
      <c r="B5231">
        <v>2025</v>
      </c>
      <c r="C5231" t="s">
        <v>5</v>
      </c>
      <c r="D5231" s="35">
        <v>304390331.01999998</v>
      </c>
      <c r="E5231" s="35">
        <v>111585</v>
      </c>
      <c r="F5231" s="35">
        <v>295492448.81</v>
      </c>
    </row>
    <row r="5232" spans="1:6" x14ac:dyDescent="0.3">
      <c r="A5232" t="s">
        <v>74</v>
      </c>
      <c r="B5232">
        <v>2025</v>
      </c>
      <c r="C5232" t="s">
        <v>17</v>
      </c>
      <c r="D5232" s="35">
        <v>11028088.52</v>
      </c>
      <c r="E5232" s="35">
        <v>331703</v>
      </c>
      <c r="F5232" s="35">
        <v>3803490.16</v>
      </c>
    </row>
    <row r="5233" spans="1:6" x14ac:dyDescent="0.3">
      <c r="A5233" t="s">
        <v>74</v>
      </c>
      <c r="B5233">
        <v>2025</v>
      </c>
      <c r="C5233" t="s">
        <v>9</v>
      </c>
      <c r="D5233" s="35">
        <v>40713653.579999998</v>
      </c>
      <c r="E5233" s="35">
        <v>2493842</v>
      </c>
      <c r="F5233" s="35">
        <v>9246444.7699999996</v>
      </c>
    </row>
    <row r="5234" spans="1:6" x14ac:dyDescent="0.3">
      <c r="A5234" t="s">
        <v>74</v>
      </c>
      <c r="B5234">
        <v>2025</v>
      </c>
      <c r="C5234" t="s">
        <v>8</v>
      </c>
      <c r="D5234" s="35">
        <v>425757792.99000001</v>
      </c>
      <c r="E5234" s="35">
        <v>19129</v>
      </c>
      <c r="F5234" s="35">
        <v>422417803.2100001</v>
      </c>
    </row>
    <row r="5235" spans="1:6" x14ac:dyDescent="0.3">
      <c r="A5235" t="s">
        <v>74</v>
      </c>
      <c r="B5235">
        <v>2025</v>
      </c>
      <c r="C5235" t="s">
        <v>6</v>
      </c>
      <c r="D5235" s="35">
        <v>241694075.17999989</v>
      </c>
      <c r="E5235" s="35">
        <v>4827708</v>
      </c>
      <c r="F5235" s="35">
        <v>183344484.25</v>
      </c>
    </row>
    <row r="5236" spans="1:6" x14ac:dyDescent="0.3">
      <c r="A5236" t="s">
        <v>74</v>
      </c>
      <c r="B5236">
        <v>2025</v>
      </c>
      <c r="C5236" t="s">
        <v>15</v>
      </c>
      <c r="D5236" s="35">
        <v>46104083.780000009</v>
      </c>
      <c r="E5236" s="35">
        <v>833960</v>
      </c>
      <c r="F5236" s="35">
        <v>27653550.43</v>
      </c>
    </row>
    <row r="5237" spans="1:6" x14ac:dyDescent="0.3">
      <c r="A5237" t="s">
        <v>74</v>
      </c>
      <c r="B5237">
        <v>2025</v>
      </c>
      <c r="C5237" t="s">
        <v>18</v>
      </c>
      <c r="D5237" s="35">
        <v>22802956.940000009</v>
      </c>
      <c r="E5237" s="35">
        <v>80321</v>
      </c>
      <c r="F5237" s="35">
        <v>16800280.899999999</v>
      </c>
    </row>
    <row r="5238" spans="1:6" x14ac:dyDescent="0.3">
      <c r="A5238" t="s">
        <v>75</v>
      </c>
      <c r="B5238">
        <v>2019</v>
      </c>
      <c r="C5238" t="s">
        <v>10</v>
      </c>
      <c r="D5238" s="35">
        <v>10140769.720000001</v>
      </c>
      <c r="E5238" s="35">
        <v>243143</v>
      </c>
      <c r="F5238" s="35">
        <v>6801959.79</v>
      </c>
    </row>
    <row r="5239" spans="1:6" x14ac:dyDescent="0.3">
      <c r="A5239" t="s">
        <v>75</v>
      </c>
      <c r="B5239">
        <v>2019</v>
      </c>
      <c r="C5239" t="s">
        <v>4</v>
      </c>
      <c r="D5239" s="35">
        <v>23249511.66</v>
      </c>
      <c r="E5239" s="35">
        <v>87708</v>
      </c>
      <c r="F5239" s="35">
        <v>22865841.25</v>
      </c>
    </row>
    <row r="5240" spans="1:6" x14ac:dyDescent="0.3">
      <c r="A5240" t="s">
        <v>75</v>
      </c>
      <c r="B5240">
        <v>2019</v>
      </c>
      <c r="C5240" t="s">
        <v>13</v>
      </c>
      <c r="D5240" s="35">
        <v>9098897.7800000012</v>
      </c>
      <c r="E5240" s="35">
        <v>122849</v>
      </c>
      <c r="F5240" s="35">
        <v>7476136.0599999987</v>
      </c>
    </row>
    <row r="5241" spans="1:6" x14ac:dyDescent="0.3">
      <c r="A5241" t="s">
        <v>75</v>
      </c>
      <c r="B5241">
        <v>2019</v>
      </c>
      <c r="C5241" t="s">
        <v>16</v>
      </c>
      <c r="D5241" s="35">
        <v>2205114.13</v>
      </c>
      <c r="E5241" s="35">
        <v>7628</v>
      </c>
      <c r="F5241" s="35">
        <v>1711694.16</v>
      </c>
    </row>
    <row r="5242" spans="1:6" x14ac:dyDescent="0.3">
      <c r="A5242" t="s">
        <v>75</v>
      </c>
      <c r="B5242">
        <v>2019</v>
      </c>
      <c r="C5242" t="s">
        <v>14</v>
      </c>
      <c r="D5242" s="35">
        <v>6942520.5799999991</v>
      </c>
      <c r="E5242" s="35">
        <v>181434</v>
      </c>
      <c r="F5242" s="35">
        <v>4398786.8099999987</v>
      </c>
    </row>
    <row r="5243" spans="1:6" x14ac:dyDescent="0.3">
      <c r="A5243" t="s">
        <v>75</v>
      </c>
      <c r="B5243">
        <v>2019</v>
      </c>
      <c r="C5243" t="s">
        <v>7</v>
      </c>
      <c r="D5243" s="35">
        <v>7081902.7699999996</v>
      </c>
      <c r="E5243" s="35">
        <v>3716</v>
      </c>
      <c r="F5243" s="35">
        <v>7065378.75</v>
      </c>
    </row>
    <row r="5244" spans="1:6" x14ac:dyDescent="0.3">
      <c r="A5244" t="s">
        <v>75</v>
      </c>
      <c r="B5244">
        <v>2019</v>
      </c>
      <c r="C5244" t="s">
        <v>11</v>
      </c>
      <c r="D5244" s="35">
        <v>5082140.5</v>
      </c>
      <c r="E5244" s="35">
        <v>21485</v>
      </c>
      <c r="F5244" s="35">
        <v>4889851.2999999989</v>
      </c>
    </row>
    <row r="5245" spans="1:6" x14ac:dyDescent="0.3">
      <c r="A5245" t="s">
        <v>75</v>
      </c>
      <c r="B5245">
        <v>2019</v>
      </c>
      <c r="C5245" t="s">
        <v>3</v>
      </c>
      <c r="D5245" s="35">
        <v>21981898.649999991</v>
      </c>
      <c r="E5245" s="35">
        <v>94924</v>
      </c>
      <c r="F5245" s="35">
        <v>20986680.989999998</v>
      </c>
    </row>
    <row r="5246" spans="1:6" x14ac:dyDescent="0.3">
      <c r="A5246" t="s">
        <v>75</v>
      </c>
      <c r="B5246">
        <v>2019</v>
      </c>
      <c r="C5246" t="s">
        <v>12</v>
      </c>
      <c r="D5246" s="35">
        <v>27995116.469999999</v>
      </c>
      <c r="E5246" s="35">
        <v>264470</v>
      </c>
      <c r="F5246" s="35">
        <v>22727788.420000002</v>
      </c>
    </row>
    <row r="5247" spans="1:6" x14ac:dyDescent="0.3">
      <c r="A5247" t="s">
        <v>75</v>
      </c>
      <c r="B5247">
        <v>2019</v>
      </c>
      <c r="C5247" t="s">
        <v>2</v>
      </c>
      <c r="D5247" s="35">
        <v>90354001.019999996</v>
      </c>
      <c r="E5247" s="35">
        <v>785252</v>
      </c>
      <c r="F5247" s="35">
        <v>75675044.370000005</v>
      </c>
    </row>
    <row r="5248" spans="1:6" x14ac:dyDescent="0.3">
      <c r="A5248" t="s">
        <v>75</v>
      </c>
      <c r="B5248">
        <v>2019</v>
      </c>
      <c r="C5248" t="s">
        <v>5</v>
      </c>
      <c r="D5248" s="35">
        <v>13744490.359999999</v>
      </c>
      <c r="E5248" s="35">
        <v>9765</v>
      </c>
      <c r="F5248" s="35">
        <v>13212589.529999999</v>
      </c>
    </row>
    <row r="5249" spans="1:6" x14ac:dyDescent="0.3">
      <c r="A5249" t="s">
        <v>75</v>
      </c>
      <c r="B5249">
        <v>2019</v>
      </c>
      <c r="C5249" t="s">
        <v>17</v>
      </c>
      <c r="D5249" s="35">
        <v>761360.35</v>
      </c>
      <c r="E5249" s="35">
        <v>52190</v>
      </c>
      <c r="F5249" s="35">
        <v>148288.49</v>
      </c>
    </row>
    <row r="5250" spans="1:6" x14ac:dyDescent="0.3">
      <c r="A5250" t="s">
        <v>75</v>
      </c>
      <c r="B5250">
        <v>2019</v>
      </c>
      <c r="C5250" t="s">
        <v>9</v>
      </c>
      <c r="D5250" s="35">
        <v>15709371.07</v>
      </c>
      <c r="E5250" s="35">
        <v>294299</v>
      </c>
      <c r="F5250" s="35">
        <v>11993144.32</v>
      </c>
    </row>
    <row r="5251" spans="1:6" x14ac:dyDescent="0.3">
      <c r="A5251" t="s">
        <v>75</v>
      </c>
      <c r="B5251">
        <v>2019</v>
      </c>
      <c r="C5251" t="s">
        <v>8</v>
      </c>
      <c r="D5251" s="35">
        <v>11629446.74</v>
      </c>
      <c r="E5251" s="35">
        <v>1314</v>
      </c>
      <c r="F5251" s="35">
        <v>11629446.74</v>
      </c>
    </row>
    <row r="5252" spans="1:6" x14ac:dyDescent="0.3">
      <c r="A5252" t="s">
        <v>75</v>
      </c>
      <c r="B5252">
        <v>2019</v>
      </c>
      <c r="C5252" t="s">
        <v>6</v>
      </c>
      <c r="D5252" s="35">
        <v>15933664.92</v>
      </c>
      <c r="E5252" s="35">
        <v>228774</v>
      </c>
      <c r="F5252" s="35">
        <v>13943881.25</v>
      </c>
    </row>
    <row r="5253" spans="1:6" x14ac:dyDescent="0.3">
      <c r="A5253" t="s">
        <v>75</v>
      </c>
      <c r="B5253">
        <v>2019</v>
      </c>
      <c r="C5253" t="s">
        <v>15</v>
      </c>
      <c r="D5253" s="35">
        <v>7263504.5600000015</v>
      </c>
      <c r="E5253" s="35">
        <v>141529</v>
      </c>
      <c r="F5253" s="35">
        <v>4749809.21</v>
      </c>
    </row>
    <row r="5254" spans="1:6" x14ac:dyDescent="0.3">
      <c r="A5254" t="s">
        <v>75</v>
      </c>
      <c r="B5254">
        <v>2019</v>
      </c>
      <c r="C5254" t="s">
        <v>18</v>
      </c>
      <c r="D5254" s="35">
        <v>988130.14</v>
      </c>
      <c r="E5254" s="35">
        <v>15988</v>
      </c>
      <c r="F5254" s="35">
        <v>538508.02</v>
      </c>
    </row>
    <row r="5255" spans="1:6" x14ac:dyDescent="0.3">
      <c r="A5255" t="s">
        <v>75</v>
      </c>
      <c r="B5255">
        <v>2020</v>
      </c>
      <c r="C5255" t="s">
        <v>10</v>
      </c>
      <c r="D5255" s="35">
        <v>11898970.640000001</v>
      </c>
      <c r="E5255" s="35">
        <v>330095</v>
      </c>
      <c r="F5255" s="35">
        <v>7096867.0800000001</v>
      </c>
    </row>
    <row r="5256" spans="1:6" x14ac:dyDescent="0.3">
      <c r="A5256" t="s">
        <v>75</v>
      </c>
      <c r="B5256">
        <v>2020</v>
      </c>
      <c r="C5256" t="s">
        <v>4</v>
      </c>
      <c r="D5256" s="35">
        <v>31139119.329999998</v>
      </c>
      <c r="E5256" s="35">
        <v>115014</v>
      </c>
      <c r="F5256" s="35">
        <v>30736523.719999999</v>
      </c>
    </row>
    <row r="5257" spans="1:6" x14ac:dyDescent="0.3">
      <c r="A5257" t="s">
        <v>75</v>
      </c>
      <c r="B5257">
        <v>2020</v>
      </c>
      <c r="C5257" t="s">
        <v>13</v>
      </c>
      <c r="D5257" s="35">
        <v>11809577.640000001</v>
      </c>
      <c r="E5257" s="35">
        <v>148137</v>
      </c>
      <c r="F5257" s="35">
        <v>9399819.4699999988</v>
      </c>
    </row>
    <row r="5258" spans="1:6" x14ac:dyDescent="0.3">
      <c r="A5258" t="s">
        <v>75</v>
      </c>
      <c r="B5258">
        <v>2020</v>
      </c>
      <c r="C5258" t="s">
        <v>16</v>
      </c>
      <c r="D5258" s="35">
        <v>2764237.08</v>
      </c>
      <c r="E5258" s="35">
        <v>9504</v>
      </c>
      <c r="F5258" s="35">
        <v>2082207.91</v>
      </c>
    </row>
    <row r="5259" spans="1:6" x14ac:dyDescent="0.3">
      <c r="A5259" t="s">
        <v>75</v>
      </c>
      <c r="B5259">
        <v>2020</v>
      </c>
      <c r="C5259" t="s">
        <v>14</v>
      </c>
      <c r="D5259" s="35">
        <v>9586930.5000000037</v>
      </c>
      <c r="E5259" s="35">
        <v>223162</v>
      </c>
      <c r="F5259" s="35">
        <v>6192845.669999999</v>
      </c>
    </row>
    <row r="5260" spans="1:6" x14ac:dyDescent="0.3">
      <c r="A5260" t="s">
        <v>75</v>
      </c>
      <c r="B5260">
        <v>2020</v>
      </c>
      <c r="C5260" t="s">
        <v>7</v>
      </c>
      <c r="D5260" s="35">
        <v>15307298.1</v>
      </c>
      <c r="E5260" s="35">
        <v>6367</v>
      </c>
      <c r="F5260" s="35">
        <v>15207325.050000001</v>
      </c>
    </row>
    <row r="5261" spans="1:6" x14ac:dyDescent="0.3">
      <c r="A5261" t="s">
        <v>75</v>
      </c>
      <c r="B5261">
        <v>2020</v>
      </c>
      <c r="C5261" t="s">
        <v>11</v>
      </c>
      <c r="D5261" s="35">
        <v>7569463.8899999997</v>
      </c>
      <c r="E5261" s="35">
        <v>26262</v>
      </c>
      <c r="F5261" s="35">
        <v>7286244.0100000016</v>
      </c>
    </row>
    <row r="5262" spans="1:6" x14ac:dyDescent="0.3">
      <c r="A5262" t="s">
        <v>75</v>
      </c>
      <c r="B5262">
        <v>2020</v>
      </c>
      <c r="C5262" t="s">
        <v>3</v>
      </c>
      <c r="D5262" s="35">
        <v>40053779.650000013</v>
      </c>
      <c r="E5262" s="35">
        <v>103830</v>
      </c>
      <c r="F5262" s="35">
        <v>38738148.010000013</v>
      </c>
    </row>
    <row r="5263" spans="1:6" x14ac:dyDescent="0.3">
      <c r="A5263" t="s">
        <v>75</v>
      </c>
      <c r="B5263">
        <v>2020</v>
      </c>
      <c r="C5263" t="s">
        <v>12</v>
      </c>
      <c r="D5263" s="35">
        <v>23654968.710000001</v>
      </c>
      <c r="E5263" s="35">
        <v>250496</v>
      </c>
      <c r="F5263" s="35">
        <v>18715408.31000001</v>
      </c>
    </row>
    <row r="5264" spans="1:6" x14ac:dyDescent="0.3">
      <c r="A5264" t="s">
        <v>75</v>
      </c>
      <c r="B5264">
        <v>2020</v>
      </c>
      <c r="C5264" t="s">
        <v>2</v>
      </c>
      <c r="D5264" s="35">
        <v>112522110.27</v>
      </c>
      <c r="E5264" s="35">
        <v>928002</v>
      </c>
      <c r="F5264" s="35">
        <v>96701566.010000005</v>
      </c>
    </row>
    <row r="5265" spans="1:6" x14ac:dyDescent="0.3">
      <c r="A5265" t="s">
        <v>75</v>
      </c>
      <c r="B5265">
        <v>2020</v>
      </c>
      <c r="C5265" t="s">
        <v>5</v>
      </c>
      <c r="D5265" s="35">
        <v>17358377.469999999</v>
      </c>
      <c r="E5265" s="35">
        <v>11801</v>
      </c>
      <c r="F5265" s="35">
        <v>16659377.83</v>
      </c>
    </row>
    <row r="5266" spans="1:6" x14ac:dyDescent="0.3">
      <c r="A5266" t="s">
        <v>75</v>
      </c>
      <c r="B5266">
        <v>2020</v>
      </c>
      <c r="C5266" t="s">
        <v>17</v>
      </c>
      <c r="D5266" s="35">
        <v>873867.04</v>
      </c>
      <c r="E5266" s="35">
        <v>53295</v>
      </c>
      <c r="F5266" s="35">
        <v>244450.56</v>
      </c>
    </row>
    <row r="5267" spans="1:6" x14ac:dyDescent="0.3">
      <c r="A5267" t="s">
        <v>75</v>
      </c>
      <c r="B5267">
        <v>2020</v>
      </c>
      <c r="C5267" t="s">
        <v>9</v>
      </c>
      <c r="D5267" s="35">
        <v>25078239.57</v>
      </c>
      <c r="E5267" s="35">
        <v>348349</v>
      </c>
      <c r="F5267" s="35">
        <v>20832858.579999998</v>
      </c>
    </row>
    <row r="5268" spans="1:6" x14ac:dyDescent="0.3">
      <c r="A5268" t="s">
        <v>75</v>
      </c>
      <c r="B5268">
        <v>2020</v>
      </c>
      <c r="C5268" t="s">
        <v>8</v>
      </c>
      <c r="D5268" s="35">
        <v>22643055.739999998</v>
      </c>
      <c r="E5268" s="35">
        <v>1764</v>
      </c>
      <c r="F5268" s="35">
        <v>22643055.739999998</v>
      </c>
    </row>
    <row r="5269" spans="1:6" x14ac:dyDescent="0.3">
      <c r="A5269" t="s">
        <v>75</v>
      </c>
      <c r="B5269">
        <v>2020</v>
      </c>
      <c r="C5269" t="s">
        <v>6</v>
      </c>
      <c r="D5269" s="35">
        <v>21231079.649999999</v>
      </c>
      <c r="E5269" s="35">
        <v>279926</v>
      </c>
      <c r="F5269" s="35">
        <v>18181048.25</v>
      </c>
    </row>
    <row r="5270" spans="1:6" x14ac:dyDescent="0.3">
      <c r="A5270" t="s">
        <v>75</v>
      </c>
      <c r="B5270">
        <v>2020</v>
      </c>
      <c r="C5270" t="s">
        <v>15</v>
      </c>
      <c r="D5270" s="35">
        <v>7073600.4899999993</v>
      </c>
      <c r="E5270" s="35">
        <v>137044</v>
      </c>
      <c r="F5270" s="35">
        <v>3724657.37</v>
      </c>
    </row>
    <row r="5271" spans="1:6" x14ac:dyDescent="0.3">
      <c r="A5271" t="s">
        <v>75</v>
      </c>
      <c r="B5271">
        <v>2020</v>
      </c>
      <c r="C5271" t="s">
        <v>18</v>
      </c>
      <c r="D5271" s="35">
        <v>1228377.5</v>
      </c>
      <c r="E5271" s="35">
        <v>20534</v>
      </c>
      <c r="F5271" s="35">
        <v>987511.54</v>
      </c>
    </row>
    <row r="5272" spans="1:6" x14ac:dyDescent="0.3">
      <c r="A5272" t="s">
        <v>75</v>
      </c>
      <c r="B5272">
        <v>2021</v>
      </c>
      <c r="C5272" t="s">
        <v>10</v>
      </c>
      <c r="D5272" s="35">
        <v>15995560.199999999</v>
      </c>
      <c r="E5272" s="35">
        <v>372672</v>
      </c>
      <c r="F5272" s="35">
        <v>10021280</v>
      </c>
    </row>
    <row r="5273" spans="1:6" x14ac:dyDescent="0.3">
      <c r="A5273" t="s">
        <v>75</v>
      </c>
      <c r="B5273">
        <v>2021</v>
      </c>
      <c r="C5273" t="s">
        <v>4</v>
      </c>
      <c r="D5273" s="35">
        <v>37460818.280000001</v>
      </c>
      <c r="E5273" s="35">
        <v>125148</v>
      </c>
      <c r="F5273" s="35">
        <v>36865468.150000013</v>
      </c>
    </row>
    <row r="5274" spans="1:6" x14ac:dyDescent="0.3">
      <c r="A5274" t="s">
        <v>75</v>
      </c>
      <c r="B5274">
        <v>2021</v>
      </c>
      <c r="C5274" t="s">
        <v>13</v>
      </c>
      <c r="D5274" s="35">
        <v>13565439</v>
      </c>
      <c r="E5274" s="35">
        <v>167694</v>
      </c>
      <c r="F5274" s="35">
        <v>10513049.029999999</v>
      </c>
    </row>
    <row r="5275" spans="1:6" x14ac:dyDescent="0.3">
      <c r="A5275" t="s">
        <v>75</v>
      </c>
      <c r="B5275">
        <v>2021</v>
      </c>
      <c r="C5275" t="s">
        <v>16</v>
      </c>
      <c r="D5275" s="35">
        <v>3834997.7799999989</v>
      </c>
      <c r="E5275" s="35">
        <v>11228</v>
      </c>
      <c r="F5275" s="35">
        <v>3111437.66</v>
      </c>
    </row>
    <row r="5276" spans="1:6" x14ac:dyDescent="0.3">
      <c r="A5276" t="s">
        <v>75</v>
      </c>
      <c r="B5276">
        <v>2021</v>
      </c>
      <c r="C5276" t="s">
        <v>14</v>
      </c>
      <c r="D5276" s="35">
        <v>10485241.24</v>
      </c>
      <c r="E5276" s="35">
        <v>251023</v>
      </c>
      <c r="F5276" s="35">
        <v>6722217.6000000006</v>
      </c>
    </row>
    <row r="5277" spans="1:6" x14ac:dyDescent="0.3">
      <c r="A5277" t="s">
        <v>75</v>
      </c>
      <c r="B5277">
        <v>2021</v>
      </c>
      <c r="C5277" t="s">
        <v>7</v>
      </c>
      <c r="D5277" s="35">
        <v>17350943.68</v>
      </c>
      <c r="E5277" s="35">
        <v>6458</v>
      </c>
      <c r="F5277" s="35">
        <v>16972927.960000001</v>
      </c>
    </row>
    <row r="5278" spans="1:6" x14ac:dyDescent="0.3">
      <c r="A5278" t="s">
        <v>75</v>
      </c>
      <c r="B5278">
        <v>2021</v>
      </c>
      <c r="C5278" t="s">
        <v>11</v>
      </c>
      <c r="D5278" s="35">
        <v>10151939.16</v>
      </c>
      <c r="E5278" s="35">
        <v>33672</v>
      </c>
      <c r="F5278" s="35">
        <v>9837643.5800000019</v>
      </c>
    </row>
    <row r="5279" spans="1:6" x14ac:dyDescent="0.3">
      <c r="A5279" t="s">
        <v>75</v>
      </c>
      <c r="B5279">
        <v>2021</v>
      </c>
      <c r="C5279" t="s">
        <v>3</v>
      </c>
      <c r="D5279" s="35">
        <v>66595415.859999992</v>
      </c>
      <c r="E5279" s="35">
        <v>123133</v>
      </c>
      <c r="F5279" s="35">
        <v>65085721.139999993</v>
      </c>
    </row>
    <row r="5280" spans="1:6" x14ac:dyDescent="0.3">
      <c r="A5280" t="s">
        <v>75</v>
      </c>
      <c r="B5280">
        <v>2021</v>
      </c>
      <c r="C5280" t="s">
        <v>12</v>
      </c>
      <c r="D5280" s="35">
        <v>26209160.110000011</v>
      </c>
      <c r="E5280" s="35">
        <v>262520</v>
      </c>
      <c r="F5280" s="35">
        <v>21423834.07</v>
      </c>
    </row>
    <row r="5281" spans="1:6" x14ac:dyDescent="0.3">
      <c r="A5281" t="s">
        <v>75</v>
      </c>
      <c r="B5281">
        <v>2021</v>
      </c>
      <c r="C5281" t="s">
        <v>2</v>
      </c>
      <c r="D5281" s="35">
        <v>130172234.23999999</v>
      </c>
      <c r="E5281" s="35">
        <v>1053189</v>
      </c>
      <c r="F5281" s="35">
        <v>113715616.05</v>
      </c>
    </row>
    <row r="5282" spans="1:6" x14ac:dyDescent="0.3">
      <c r="A5282" t="s">
        <v>75</v>
      </c>
      <c r="B5282">
        <v>2021</v>
      </c>
      <c r="C5282" t="s">
        <v>5</v>
      </c>
      <c r="D5282" s="35">
        <v>22426724.739999998</v>
      </c>
      <c r="E5282" s="35">
        <v>14187</v>
      </c>
      <c r="F5282" s="35">
        <v>21886074.09</v>
      </c>
    </row>
    <row r="5283" spans="1:6" x14ac:dyDescent="0.3">
      <c r="A5283" t="s">
        <v>75</v>
      </c>
      <c r="B5283">
        <v>2021</v>
      </c>
      <c r="C5283" t="s">
        <v>17</v>
      </c>
      <c r="D5283" s="35">
        <v>1040578.45</v>
      </c>
      <c r="E5283" s="35">
        <v>61884</v>
      </c>
      <c r="F5283" s="35">
        <v>319840.3</v>
      </c>
    </row>
    <row r="5284" spans="1:6" x14ac:dyDescent="0.3">
      <c r="A5284" t="s">
        <v>75</v>
      </c>
      <c r="B5284">
        <v>2021</v>
      </c>
      <c r="C5284" t="s">
        <v>9</v>
      </c>
      <c r="D5284" s="35">
        <v>29851627.109999999</v>
      </c>
      <c r="E5284" s="35">
        <v>384185</v>
      </c>
      <c r="F5284" s="35">
        <v>25016520.550000001</v>
      </c>
    </row>
    <row r="5285" spans="1:6" x14ac:dyDescent="0.3">
      <c r="A5285" t="s">
        <v>75</v>
      </c>
      <c r="B5285">
        <v>2021</v>
      </c>
      <c r="C5285" t="s">
        <v>8</v>
      </c>
      <c r="D5285" s="35">
        <v>25357058.16</v>
      </c>
      <c r="E5285" s="35">
        <v>1751</v>
      </c>
      <c r="F5285" s="35">
        <v>25328856.120000001</v>
      </c>
    </row>
    <row r="5286" spans="1:6" x14ac:dyDescent="0.3">
      <c r="A5286" t="s">
        <v>75</v>
      </c>
      <c r="B5286">
        <v>2021</v>
      </c>
      <c r="C5286" t="s">
        <v>6</v>
      </c>
      <c r="D5286" s="35">
        <v>24979940</v>
      </c>
      <c r="E5286" s="35">
        <v>297476</v>
      </c>
      <c r="F5286" s="35">
        <v>20746334.690000001</v>
      </c>
    </row>
    <row r="5287" spans="1:6" x14ac:dyDescent="0.3">
      <c r="A5287" t="s">
        <v>75</v>
      </c>
      <c r="B5287">
        <v>2021</v>
      </c>
      <c r="C5287" t="s">
        <v>15</v>
      </c>
      <c r="D5287" s="35">
        <v>7547431.120000002</v>
      </c>
      <c r="E5287" s="35">
        <v>142842</v>
      </c>
      <c r="F5287" s="35">
        <v>4503717.2300000004</v>
      </c>
    </row>
    <row r="5288" spans="1:6" x14ac:dyDescent="0.3">
      <c r="A5288" t="s">
        <v>75</v>
      </c>
      <c r="B5288">
        <v>2021</v>
      </c>
      <c r="C5288" t="s">
        <v>18</v>
      </c>
      <c r="D5288" s="35">
        <v>1153290.72</v>
      </c>
      <c r="E5288" s="35">
        <v>21358</v>
      </c>
      <c r="F5288" s="35">
        <v>798827.18000000017</v>
      </c>
    </row>
    <row r="5289" spans="1:6" x14ac:dyDescent="0.3">
      <c r="A5289" t="s">
        <v>75</v>
      </c>
      <c r="B5289">
        <v>2022</v>
      </c>
      <c r="C5289" t="s">
        <v>10</v>
      </c>
      <c r="D5289" s="35">
        <v>17564744.09</v>
      </c>
      <c r="E5289" s="35">
        <v>412220</v>
      </c>
      <c r="F5289" s="35">
        <v>11764210.49</v>
      </c>
    </row>
    <row r="5290" spans="1:6" x14ac:dyDescent="0.3">
      <c r="A5290" t="s">
        <v>75</v>
      </c>
      <c r="B5290">
        <v>2022</v>
      </c>
      <c r="C5290" t="s">
        <v>4</v>
      </c>
      <c r="D5290" s="35">
        <v>44838004.079999998</v>
      </c>
      <c r="E5290" s="35">
        <v>143430</v>
      </c>
      <c r="F5290" s="35">
        <v>44111894.700000003</v>
      </c>
    </row>
    <row r="5291" spans="1:6" x14ac:dyDescent="0.3">
      <c r="A5291" t="s">
        <v>75</v>
      </c>
      <c r="B5291">
        <v>2022</v>
      </c>
      <c r="C5291" t="s">
        <v>13</v>
      </c>
      <c r="D5291" s="35">
        <v>12527870.76</v>
      </c>
      <c r="E5291" s="35">
        <v>166616</v>
      </c>
      <c r="F5291" s="35">
        <v>9649158</v>
      </c>
    </row>
    <row r="5292" spans="1:6" x14ac:dyDescent="0.3">
      <c r="A5292" t="s">
        <v>75</v>
      </c>
      <c r="B5292">
        <v>2022</v>
      </c>
      <c r="C5292" t="s">
        <v>16</v>
      </c>
      <c r="D5292" s="35">
        <v>4916492.51</v>
      </c>
      <c r="E5292" s="35">
        <v>12803</v>
      </c>
      <c r="F5292" s="35">
        <v>4132234.34</v>
      </c>
    </row>
    <row r="5293" spans="1:6" x14ac:dyDescent="0.3">
      <c r="A5293" t="s">
        <v>75</v>
      </c>
      <c r="B5293">
        <v>2022</v>
      </c>
      <c r="C5293" t="s">
        <v>14</v>
      </c>
      <c r="D5293" s="35">
        <v>10883151.720000001</v>
      </c>
      <c r="E5293" s="35">
        <v>267763</v>
      </c>
      <c r="F5293" s="35">
        <v>7236955.6600000011</v>
      </c>
    </row>
    <row r="5294" spans="1:6" x14ac:dyDescent="0.3">
      <c r="A5294" t="s">
        <v>75</v>
      </c>
      <c r="B5294">
        <v>2022</v>
      </c>
      <c r="C5294" t="s">
        <v>7</v>
      </c>
      <c r="D5294" s="35">
        <v>18165086.59</v>
      </c>
      <c r="E5294" s="35">
        <v>6570</v>
      </c>
      <c r="F5294" s="35">
        <v>18067649.18</v>
      </c>
    </row>
    <row r="5295" spans="1:6" x14ac:dyDescent="0.3">
      <c r="A5295" t="s">
        <v>75</v>
      </c>
      <c r="B5295">
        <v>2022</v>
      </c>
      <c r="C5295" t="s">
        <v>11</v>
      </c>
      <c r="D5295" s="35">
        <v>11877584.75</v>
      </c>
      <c r="E5295" s="35">
        <v>26766</v>
      </c>
      <c r="F5295" s="35">
        <v>11547551.75</v>
      </c>
    </row>
    <row r="5296" spans="1:6" x14ac:dyDescent="0.3">
      <c r="A5296" t="s">
        <v>75</v>
      </c>
      <c r="B5296">
        <v>2022</v>
      </c>
      <c r="C5296" t="s">
        <v>3</v>
      </c>
      <c r="D5296" s="35">
        <v>76314833.359999999</v>
      </c>
      <c r="E5296" s="35">
        <v>137954</v>
      </c>
      <c r="F5296" s="35">
        <v>74876874.299999982</v>
      </c>
    </row>
    <row r="5297" spans="1:6" x14ac:dyDescent="0.3">
      <c r="A5297" t="s">
        <v>75</v>
      </c>
      <c r="B5297">
        <v>2022</v>
      </c>
      <c r="C5297" t="s">
        <v>12</v>
      </c>
      <c r="D5297" s="35">
        <v>27325615.010000002</v>
      </c>
      <c r="E5297" s="35">
        <v>310076</v>
      </c>
      <c r="F5297" s="35">
        <v>22228069.199999999</v>
      </c>
    </row>
    <row r="5298" spans="1:6" x14ac:dyDescent="0.3">
      <c r="A5298" t="s">
        <v>75</v>
      </c>
      <c r="B5298">
        <v>2022</v>
      </c>
      <c r="C5298" t="s">
        <v>2</v>
      </c>
      <c r="D5298" s="35">
        <v>165154213.75</v>
      </c>
      <c r="E5298" s="35">
        <v>1153234</v>
      </c>
      <c r="F5298" s="35">
        <v>148665630.56</v>
      </c>
    </row>
    <row r="5299" spans="1:6" x14ac:dyDescent="0.3">
      <c r="A5299" t="s">
        <v>75</v>
      </c>
      <c r="B5299">
        <v>2022</v>
      </c>
      <c r="C5299" t="s">
        <v>5</v>
      </c>
      <c r="D5299" s="35">
        <v>26905777.559999999</v>
      </c>
      <c r="E5299" s="35">
        <v>16582</v>
      </c>
      <c r="F5299" s="35">
        <v>26417296.27</v>
      </c>
    </row>
    <row r="5300" spans="1:6" x14ac:dyDescent="0.3">
      <c r="A5300" t="s">
        <v>75</v>
      </c>
      <c r="B5300">
        <v>2022</v>
      </c>
      <c r="C5300" t="s">
        <v>17</v>
      </c>
      <c r="D5300" s="35">
        <v>1120680.1200000001</v>
      </c>
      <c r="E5300" s="35">
        <v>61549</v>
      </c>
      <c r="F5300" s="35">
        <v>394976.15999999992</v>
      </c>
    </row>
    <row r="5301" spans="1:6" x14ac:dyDescent="0.3">
      <c r="A5301" t="s">
        <v>75</v>
      </c>
      <c r="B5301">
        <v>2022</v>
      </c>
      <c r="C5301" t="s">
        <v>9</v>
      </c>
      <c r="D5301" s="35">
        <v>32661066.75</v>
      </c>
      <c r="E5301" s="35">
        <v>399198</v>
      </c>
      <c r="F5301" s="35">
        <v>26317399.82</v>
      </c>
    </row>
    <row r="5302" spans="1:6" x14ac:dyDescent="0.3">
      <c r="A5302" t="s">
        <v>75</v>
      </c>
      <c r="B5302">
        <v>2022</v>
      </c>
      <c r="C5302" t="s">
        <v>8</v>
      </c>
      <c r="D5302" s="35">
        <v>31293198.43</v>
      </c>
      <c r="E5302" s="35">
        <v>2223</v>
      </c>
      <c r="F5302" s="35">
        <v>31293198.43</v>
      </c>
    </row>
    <row r="5303" spans="1:6" x14ac:dyDescent="0.3">
      <c r="A5303" t="s">
        <v>75</v>
      </c>
      <c r="B5303">
        <v>2022</v>
      </c>
      <c r="C5303" t="s">
        <v>6</v>
      </c>
      <c r="D5303" s="35">
        <v>26681081.550000001</v>
      </c>
      <c r="E5303" s="35">
        <v>331527</v>
      </c>
      <c r="F5303" s="35">
        <v>21734725.510000002</v>
      </c>
    </row>
    <row r="5304" spans="1:6" x14ac:dyDescent="0.3">
      <c r="A5304" t="s">
        <v>75</v>
      </c>
      <c r="B5304">
        <v>2022</v>
      </c>
      <c r="C5304" t="s">
        <v>15</v>
      </c>
      <c r="D5304" s="35">
        <v>5951889.8400000008</v>
      </c>
      <c r="E5304" s="35">
        <v>108148</v>
      </c>
      <c r="F5304" s="35">
        <v>3941097.4700000011</v>
      </c>
    </row>
    <row r="5305" spans="1:6" x14ac:dyDescent="0.3">
      <c r="A5305" t="s">
        <v>75</v>
      </c>
      <c r="B5305">
        <v>2022</v>
      </c>
      <c r="C5305" t="s">
        <v>18</v>
      </c>
      <c r="D5305" s="35">
        <v>898418.8600000001</v>
      </c>
      <c r="E5305" s="35">
        <v>16252</v>
      </c>
      <c r="F5305" s="35">
        <v>618323.11</v>
      </c>
    </row>
    <row r="5306" spans="1:6" x14ac:dyDescent="0.3">
      <c r="A5306" t="s">
        <v>75</v>
      </c>
      <c r="B5306">
        <v>2023</v>
      </c>
      <c r="C5306" t="s">
        <v>10</v>
      </c>
      <c r="D5306" s="35">
        <v>14633102.98</v>
      </c>
      <c r="E5306" s="35">
        <v>368106</v>
      </c>
      <c r="F5306" s="35">
        <v>10749264.59</v>
      </c>
    </row>
    <row r="5307" spans="1:6" x14ac:dyDescent="0.3">
      <c r="A5307" t="s">
        <v>75</v>
      </c>
      <c r="B5307">
        <v>2023</v>
      </c>
      <c r="C5307" t="s">
        <v>4</v>
      </c>
      <c r="D5307" s="35">
        <v>43917153.54999999</v>
      </c>
      <c r="E5307" s="35">
        <v>131652</v>
      </c>
      <c r="F5307" s="35">
        <v>43232645.909999996</v>
      </c>
    </row>
    <row r="5308" spans="1:6" x14ac:dyDescent="0.3">
      <c r="A5308" t="s">
        <v>75</v>
      </c>
      <c r="B5308">
        <v>2023</v>
      </c>
      <c r="C5308" t="s">
        <v>13</v>
      </c>
      <c r="D5308" s="35">
        <v>10323002.24</v>
      </c>
      <c r="E5308" s="35">
        <v>138145</v>
      </c>
      <c r="F5308" s="35">
        <v>7849773.6599999992</v>
      </c>
    </row>
    <row r="5309" spans="1:6" x14ac:dyDescent="0.3">
      <c r="A5309" t="s">
        <v>75</v>
      </c>
      <c r="B5309">
        <v>2023</v>
      </c>
      <c r="C5309" t="s">
        <v>16</v>
      </c>
      <c r="D5309" s="35">
        <v>4279270.6099999975</v>
      </c>
      <c r="E5309" s="35">
        <v>11076</v>
      </c>
      <c r="F5309" s="35">
        <v>3642816.12</v>
      </c>
    </row>
    <row r="5310" spans="1:6" x14ac:dyDescent="0.3">
      <c r="A5310" t="s">
        <v>75</v>
      </c>
      <c r="B5310">
        <v>2023</v>
      </c>
      <c r="C5310" t="s">
        <v>14</v>
      </c>
      <c r="D5310" s="35">
        <v>8905035.9099999983</v>
      </c>
      <c r="E5310" s="35">
        <v>241250</v>
      </c>
      <c r="F5310" s="35">
        <v>5920731.0000000019</v>
      </c>
    </row>
    <row r="5311" spans="1:6" x14ac:dyDescent="0.3">
      <c r="A5311" t="s">
        <v>75</v>
      </c>
      <c r="B5311">
        <v>2023</v>
      </c>
      <c r="C5311" t="s">
        <v>7</v>
      </c>
      <c r="D5311" s="35">
        <v>18245701.34</v>
      </c>
      <c r="E5311" s="35">
        <v>6439</v>
      </c>
      <c r="F5311" s="35">
        <v>18100792.760000002</v>
      </c>
    </row>
    <row r="5312" spans="1:6" x14ac:dyDescent="0.3">
      <c r="A5312" t="s">
        <v>75</v>
      </c>
      <c r="B5312">
        <v>2023</v>
      </c>
      <c r="C5312" t="s">
        <v>11</v>
      </c>
      <c r="D5312" s="35">
        <v>11945628.869999999</v>
      </c>
      <c r="E5312" s="35">
        <v>18116</v>
      </c>
      <c r="F5312" s="35">
        <v>11667643.369999999</v>
      </c>
    </row>
    <row r="5313" spans="1:6" x14ac:dyDescent="0.3">
      <c r="A5313" t="s">
        <v>75</v>
      </c>
      <c r="B5313">
        <v>2023</v>
      </c>
      <c r="C5313" t="s">
        <v>3</v>
      </c>
      <c r="D5313" s="35">
        <v>56876381.840000004</v>
      </c>
      <c r="E5313" s="35">
        <v>115368</v>
      </c>
      <c r="F5313" s="35">
        <v>55807254.930000007</v>
      </c>
    </row>
    <row r="5314" spans="1:6" x14ac:dyDescent="0.3">
      <c r="A5314" t="s">
        <v>75</v>
      </c>
      <c r="B5314">
        <v>2023</v>
      </c>
      <c r="C5314" t="s">
        <v>12</v>
      </c>
      <c r="D5314" s="35">
        <v>18080746</v>
      </c>
      <c r="E5314" s="35">
        <v>273507</v>
      </c>
      <c r="F5314" s="35">
        <v>14128536.9</v>
      </c>
    </row>
    <row r="5315" spans="1:6" x14ac:dyDescent="0.3">
      <c r="A5315" t="s">
        <v>75</v>
      </c>
      <c r="B5315">
        <v>2023</v>
      </c>
      <c r="C5315" t="s">
        <v>2</v>
      </c>
      <c r="D5315" s="35">
        <v>167694357.30000001</v>
      </c>
      <c r="E5315" s="35">
        <v>1130406</v>
      </c>
      <c r="F5315" s="35">
        <v>152212498.66</v>
      </c>
    </row>
    <row r="5316" spans="1:6" x14ac:dyDescent="0.3">
      <c r="A5316" t="s">
        <v>75</v>
      </c>
      <c r="B5316">
        <v>2023</v>
      </c>
      <c r="C5316" t="s">
        <v>5</v>
      </c>
      <c r="D5316" s="35">
        <v>24065628.239999998</v>
      </c>
      <c r="E5316" s="35">
        <v>11593</v>
      </c>
      <c r="F5316" s="35">
        <v>23713208.010000009</v>
      </c>
    </row>
    <row r="5317" spans="1:6" x14ac:dyDescent="0.3">
      <c r="A5317" t="s">
        <v>75</v>
      </c>
      <c r="B5317">
        <v>2023</v>
      </c>
      <c r="C5317" t="s">
        <v>17</v>
      </c>
      <c r="D5317" s="35">
        <v>1061889.75</v>
      </c>
      <c r="E5317" s="35">
        <v>52753</v>
      </c>
      <c r="F5317" s="35">
        <v>517265.99999999988</v>
      </c>
    </row>
    <row r="5318" spans="1:6" x14ac:dyDescent="0.3">
      <c r="A5318" t="s">
        <v>75</v>
      </c>
      <c r="B5318">
        <v>2023</v>
      </c>
      <c r="C5318" t="s">
        <v>9</v>
      </c>
      <c r="D5318" s="35">
        <v>27015246.550000001</v>
      </c>
      <c r="E5318" s="35">
        <v>366649</v>
      </c>
      <c r="F5318" s="35">
        <v>21134622.989999998</v>
      </c>
    </row>
    <row r="5319" spans="1:6" x14ac:dyDescent="0.3">
      <c r="A5319" t="s">
        <v>75</v>
      </c>
      <c r="B5319">
        <v>2023</v>
      </c>
      <c r="C5319" t="s">
        <v>8</v>
      </c>
      <c r="D5319" s="35">
        <v>23035405.82</v>
      </c>
      <c r="E5319" s="35">
        <v>1810</v>
      </c>
      <c r="F5319" s="35">
        <v>23035405.82</v>
      </c>
    </row>
    <row r="5320" spans="1:6" x14ac:dyDescent="0.3">
      <c r="A5320" t="s">
        <v>75</v>
      </c>
      <c r="B5320">
        <v>2023</v>
      </c>
      <c r="C5320" t="s">
        <v>6</v>
      </c>
      <c r="D5320" s="35">
        <v>23926151.52</v>
      </c>
      <c r="E5320" s="35">
        <v>290831</v>
      </c>
      <c r="F5320" s="35">
        <v>19951299.800000001</v>
      </c>
    </row>
    <row r="5321" spans="1:6" x14ac:dyDescent="0.3">
      <c r="A5321" t="s">
        <v>75</v>
      </c>
      <c r="B5321">
        <v>2023</v>
      </c>
      <c r="C5321" t="s">
        <v>15</v>
      </c>
      <c r="D5321" s="35">
        <v>4081520.05</v>
      </c>
      <c r="E5321" s="35">
        <v>71820</v>
      </c>
      <c r="F5321" s="35">
        <v>2739147.17</v>
      </c>
    </row>
    <row r="5322" spans="1:6" x14ac:dyDescent="0.3">
      <c r="A5322" t="s">
        <v>75</v>
      </c>
      <c r="B5322">
        <v>2023</v>
      </c>
      <c r="C5322" t="s">
        <v>18</v>
      </c>
      <c r="D5322" s="35">
        <v>594504.79</v>
      </c>
      <c r="E5322" s="35">
        <v>11487</v>
      </c>
      <c r="F5322" s="35">
        <v>409780.04</v>
      </c>
    </row>
    <row r="5323" spans="1:6" x14ac:dyDescent="0.3">
      <c r="A5323" t="s">
        <v>75</v>
      </c>
      <c r="B5323">
        <v>2024</v>
      </c>
      <c r="C5323" t="s">
        <v>10</v>
      </c>
      <c r="D5323" s="35">
        <v>16361127.810000001</v>
      </c>
      <c r="E5323" s="35">
        <v>346977</v>
      </c>
      <c r="F5323" s="35">
        <v>12264770.199999999</v>
      </c>
    </row>
    <row r="5324" spans="1:6" x14ac:dyDescent="0.3">
      <c r="A5324" t="s">
        <v>75</v>
      </c>
      <c r="B5324">
        <v>2024</v>
      </c>
      <c r="C5324" t="s">
        <v>4</v>
      </c>
      <c r="D5324" s="35">
        <v>42428703.13000001</v>
      </c>
      <c r="E5324" s="35">
        <v>127435</v>
      </c>
      <c r="F5324" s="35">
        <v>41699995.850000001</v>
      </c>
    </row>
    <row r="5325" spans="1:6" x14ac:dyDescent="0.3">
      <c r="A5325" t="s">
        <v>75</v>
      </c>
      <c r="B5325">
        <v>2024</v>
      </c>
      <c r="C5325" t="s">
        <v>13</v>
      </c>
      <c r="D5325" s="35">
        <v>11374945.65</v>
      </c>
      <c r="E5325" s="35">
        <v>117462</v>
      </c>
      <c r="F5325" s="35">
        <v>9021759.7700000014</v>
      </c>
    </row>
    <row r="5326" spans="1:6" x14ac:dyDescent="0.3">
      <c r="A5326" t="s">
        <v>75</v>
      </c>
      <c r="B5326">
        <v>2024</v>
      </c>
      <c r="C5326" t="s">
        <v>16</v>
      </c>
      <c r="D5326" s="35">
        <v>4465963.4499999993</v>
      </c>
      <c r="E5326" s="35">
        <v>10115</v>
      </c>
      <c r="F5326" s="35">
        <v>3912868.85</v>
      </c>
    </row>
    <row r="5327" spans="1:6" x14ac:dyDescent="0.3">
      <c r="A5327" t="s">
        <v>75</v>
      </c>
      <c r="B5327">
        <v>2024</v>
      </c>
      <c r="C5327" t="s">
        <v>14</v>
      </c>
      <c r="D5327" s="35">
        <v>9199906.370000001</v>
      </c>
      <c r="E5327" s="35">
        <v>226515</v>
      </c>
      <c r="F5327" s="35">
        <v>5933195.6100000003</v>
      </c>
    </row>
    <row r="5328" spans="1:6" x14ac:dyDescent="0.3">
      <c r="A5328" t="s">
        <v>75</v>
      </c>
      <c r="B5328">
        <v>2024</v>
      </c>
      <c r="C5328" t="s">
        <v>7</v>
      </c>
      <c r="D5328" s="35">
        <v>15674571.68</v>
      </c>
      <c r="E5328" s="35">
        <v>5400</v>
      </c>
      <c r="F5328" s="35">
        <v>15586781.050000001</v>
      </c>
    </row>
    <row r="5329" spans="1:6" x14ac:dyDescent="0.3">
      <c r="A5329" t="s">
        <v>75</v>
      </c>
      <c r="B5329">
        <v>2024</v>
      </c>
      <c r="C5329" t="s">
        <v>11</v>
      </c>
      <c r="D5329" s="35">
        <v>10127644.390000001</v>
      </c>
      <c r="E5329" s="35">
        <v>14345</v>
      </c>
      <c r="F5329" s="35">
        <v>9828840.879999999</v>
      </c>
    </row>
    <row r="5330" spans="1:6" x14ac:dyDescent="0.3">
      <c r="A5330" t="s">
        <v>75</v>
      </c>
      <c r="B5330">
        <v>2024</v>
      </c>
      <c r="C5330" t="s">
        <v>3</v>
      </c>
      <c r="D5330" s="35">
        <v>46281319.969999976</v>
      </c>
      <c r="E5330" s="35">
        <v>98059</v>
      </c>
      <c r="F5330" s="35">
        <v>45291182.680000007</v>
      </c>
    </row>
    <row r="5331" spans="1:6" x14ac:dyDescent="0.3">
      <c r="A5331" t="s">
        <v>75</v>
      </c>
      <c r="B5331">
        <v>2024</v>
      </c>
      <c r="C5331" t="s">
        <v>12</v>
      </c>
      <c r="D5331" s="35">
        <v>17202513.030000001</v>
      </c>
      <c r="E5331" s="35">
        <v>240560</v>
      </c>
      <c r="F5331" s="35">
        <v>13341475.33</v>
      </c>
    </row>
    <row r="5332" spans="1:6" x14ac:dyDescent="0.3">
      <c r="A5332" t="s">
        <v>75</v>
      </c>
      <c r="B5332">
        <v>2024</v>
      </c>
      <c r="C5332" t="s">
        <v>2</v>
      </c>
      <c r="D5332" s="35">
        <v>159605280.94</v>
      </c>
      <c r="E5332" s="35">
        <v>1051645</v>
      </c>
      <c r="F5332" s="35">
        <v>142259072.72</v>
      </c>
    </row>
    <row r="5333" spans="1:6" x14ac:dyDescent="0.3">
      <c r="A5333" t="s">
        <v>75</v>
      </c>
      <c r="B5333">
        <v>2024</v>
      </c>
      <c r="C5333" t="s">
        <v>5</v>
      </c>
      <c r="D5333" s="35">
        <v>21318906.91</v>
      </c>
      <c r="E5333" s="35">
        <v>9014</v>
      </c>
      <c r="F5333" s="35">
        <v>20901660.460000001</v>
      </c>
    </row>
    <row r="5334" spans="1:6" x14ac:dyDescent="0.3">
      <c r="A5334" t="s">
        <v>75</v>
      </c>
      <c r="B5334">
        <v>2024</v>
      </c>
      <c r="C5334" t="s">
        <v>17</v>
      </c>
      <c r="D5334" s="35">
        <v>912174.68999999983</v>
      </c>
      <c r="E5334" s="35">
        <v>39159</v>
      </c>
      <c r="F5334" s="35">
        <v>444716.76</v>
      </c>
    </row>
    <row r="5335" spans="1:6" x14ac:dyDescent="0.3">
      <c r="A5335" t="s">
        <v>75</v>
      </c>
      <c r="B5335">
        <v>2024</v>
      </c>
      <c r="C5335" t="s">
        <v>9</v>
      </c>
      <c r="D5335" s="35">
        <v>27957957.09</v>
      </c>
      <c r="E5335" s="35">
        <v>333699</v>
      </c>
      <c r="F5335" s="35">
        <v>21261056.579999998</v>
      </c>
    </row>
    <row r="5336" spans="1:6" x14ac:dyDescent="0.3">
      <c r="A5336" t="s">
        <v>75</v>
      </c>
      <c r="B5336">
        <v>2024</v>
      </c>
      <c r="C5336" t="s">
        <v>8</v>
      </c>
      <c r="D5336" s="35">
        <v>19836297</v>
      </c>
      <c r="E5336" s="35">
        <v>1382</v>
      </c>
      <c r="F5336" s="35">
        <v>19836297</v>
      </c>
    </row>
    <row r="5337" spans="1:6" x14ac:dyDescent="0.3">
      <c r="A5337" t="s">
        <v>75</v>
      </c>
      <c r="B5337">
        <v>2024</v>
      </c>
      <c r="C5337" t="s">
        <v>6</v>
      </c>
      <c r="D5337" s="35">
        <v>21672979.489999998</v>
      </c>
      <c r="E5337" s="35">
        <v>269208</v>
      </c>
      <c r="F5337" s="35">
        <v>16825445.800000001</v>
      </c>
    </row>
    <row r="5338" spans="1:6" x14ac:dyDescent="0.3">
      <c r="A5338" t="s">
        <v>75</v>
      </c>
      <c r="B5338">
        <v>2024</v>
      </c>
      <c r="C5338" t="s">
        <v>15</v>
      </c>
      <c r="D5338" s="35">
        <v>2896109.32</v>
      </c>
      <c r="E5338" s="35">
        <v>57012</v>
      </c>
      <c r="F5338" s="35">
        <v>1683661.79</v>
      </c>
    </row>
    <row r="5339" spans="1:6" x14ac:dyDescent="0.3">
      <c r="A5339" t="s">
        <v>75</v>
      </c>
      <c r="B5339">
        <v>2024</v>
      </c>
      <c r="C5339" t="s">
        <v>18</v>
      </c>
      <c r="D5339" s="35">
        <v>810698.00000000012</v>
      </c>
      <c r="E5339" s="35">
        <v>10370</v>
      </c>
      <c r="F5339" s="35">
        <v>587661.27</v>
      </c>
    </row>
    <row r="5340" spans="1:6" x14ac:dyDescent="0.3">
      <c r="A5340" t="s">
        <v>75</v>
      </c>
      <c r="B5340">
        <v>2025</v>
      </c>
      <c r="C5340" t="s">
        <v>10</v>
      </c>
      <c r="D5340" s="35">
        <v>20574605.550000001</v>
      </c>
      <c r="E5340" s="35">
        <v>438101</v>
      </c>
      <c r="F5340" s="35">
        <v>15885368.050000001</v>
      </c>
    </row>
    <row r="5341" spans="1:6" x14ac:dyDescent="0.3">
      <c r="A5341" t="s">
        <v>75</v>
      </c>
      <c r="B5341">
        <v>2025</v>
      </c>
      <c r="C5341" t="s">
        <v>4</v>
      </c>
      <c r="D5341" s="35">
        <v>51605276.499999993</v>
      </c>
      <c r="E5341" s="35">
        <v>155841</v>
      </c>
      <c r="F5341" s="35">
        <v>50656027.090000004</v>
      </c>
    </row>
    <row r="5342" spans="1:6" x14ac:dyDescent="0.3">
      <c r="A5342" t="s">
        <v>75</v>
      </c>
      <c r="B5342">
        <v>2025</v>
      </c>
      <c r="C5342" t="s">
        <v>13</v>
      </c>
      <c r="D5342" s="35">
        <v>16349926.33</v>
      </c>
      <c r="E5342" s="35">
        <v>153965</v>
      </c>
      <c r="F5342" s="35">
        <v>13495019.6</v>
      </c>
    </row>
    <row r="5343" spans="1:6" x14ac:dyDescent="0.3">
      <c r="A5343" t="s">
        <v>75</v>
      </c>
      <c r="B5343">
        <v>2025</v>
      </c>
      <c r="C5343" t="s">
        <v>16</v>
      </c>
      <c r="D5343" s="35">
        <v>6325878.2900000019</v>
      </c>
      <c r="E5343" s="35">
        <v>12832</v>
      </c>
      <c r="F5343" s="35">
        <v>5664612.7599999998</v>
      </c>
    </row>
    <row r="5344" spans="1:6" x14ac:dyDescent="0.3">
      <c r="A5344" t="s">
        <v>75</v>
      </c>
      <c r="B5344">
        <v>2025</v>
      </c>
      <c r="C5344" t="s">
        <v>14</v>
      </c>
      <c r="D5344" s="35">
        <v>10963937.630000001</v>
      </c>
      <c r="E5344" s="35">
        <v>263367</v>
      </c>
      <c r="F5344" s="35">
        <v>7168224.04</v>
      </c>
    </row>
    <row r="5345" spans="1:6" x14ac:dyDescent="0.3">
      <c r="A5345" t="s">
        <v>75</v>
      </c>
      <c r="B5345">
        <v>2025</v>
      </c>
      <c r="C5345" t="s">
        <v>7</v>
      </c>
      <c r="D5345" s="35">
        <v>16842498.920000002</v>
      </c>
      <c r="E5345" s="35">
        <v>5921</v>
      </c>
      <c r="F5345" s="35">
        <v>16698559.59</v>
      </c>
    </row>
    <row r="5346" spans="1:6" x14ac:dyDescent="0.3">
      <c r="A5346" t="s">
        <v>75</v>
      </c>
      <c r="B5346">
        <v>2025</v>
      </c>
      <c r="C5346" t="s">
        <v>11</v>
      </c>
      <c r="D5346" s="35">
        <v>13255906.550000001</v>
      </c>
      <c r="E5346" s="35">
        <v>15867</v>
      </c>
      <c r="F5346" s="35">
        <v>12880036.779999999</v>
      </c>
    </row>
    <row r="5347" spans="1:6" x14ac:dyDescent="0.3">
      <c r="A5347" t="s">
        <v>75</v>
      </c>
      <c r="B5347">
        <v>2025</v>
      </c>
      <c r="C5347" t="s">
        <v>3</v>
      </c>
      <c r="D5347" s="35">
        <v>59218551.090000004</v>
      </c>
      <c r="E5347" s="35">
        <v>121248</v>
      </c>
      <c r="F5347" s="35">
        <v>58035278.190000013</v>
      </c>
    </row>
    <row r="5348" spans="1:6" x14ac:dyDescent="0.3">
      <c r="A5348" t="s">
        <v>75</v>
      </c>
      <c r="B5348">
        <v>2025</v>
      </c>
      <c r="C5348" t="s">
        <v>12</v>
      </c>
      <c r="D5348" s="35">
        <v>17907924.52</v>
      </c>
      <c r="E5348" s="35">
        <v>273672</v>
      </c>
      <c r="F5348" s="35">
        <v>13563709.800000001</v>
      </c>
    </row>
    <row r="5349" spans="1:6" x14ac:dyDescent="0.3">
      <c r="A5349" t="s">
        <v>75</v>
      </c>
      <c r="B5349">
        <v>2025</v>
      </c>
      <c r="C5349" t="s">
        <v>2</v>
      </c>
      <c r="D5349" s="35">
        <v>182136411.31000009</v>
      </c>
      <c r="E5349" s="35">
        <v>1096851</v>
      </c>
      <c r="F5349" s="35">
        <v>164590320.41999999</v>
      </c>
    </row>
    <row r="5350" spans="1:6" x14ac:dyDescent="0.3">
      <c r="A5350" t="s">
        <v>75</v>
      </c>
      <c r="B5350">
        <v>2025</v>
      </c>
      <c r="C5350" t="s">
        <v>5</v>
      </c>
      <c r="D5350" s="35">
        <v>28684581.800000001</v>
      </c>
      <c r="E5350" s="35">
        <v>11799</v>
      </c>
      <c r="F5350" s="35">
        <v>27864657.789999999</v>
      </c>
    </row>
    <row r="5351" spans="1:6" x14ac:dyDescent="0.3">
      <c r="A5351" t="s">
        <v>75</v>
      </c>
      <c r="B5351">
        <v>2025</v>
      </c>
      <c r="C5351" t="s">
        <v>17</v>
      </c>
      <c r="D5351" s="35">
        <v>1297037.3899999999</v>
      </c>
      <c r="E5351" s="35">
        <v>42057</v>
      </c>
      <c r="F5351" s="35">
        <v>800948.66</v>
      </c>
    </row>
    <row r="5352" spans="1:6" x14ac:dyDescent="0.3">
      <c r="A5352" t="s">
        <v>75</v>
      </c>
      <c r="B5352">
        <v>2025</v>
      </c>
      <c r="C5352" t="s">
        <v>9</v>
      </c>
      <c r="D5352" s="35">
        <v>39620963.419999979</v>
      </c>
      <c r="E5352" s="35">
        <v>394551</v>
      </c>
      <c r="F5352" s="35">
        <v>32689948.899999999</v>
      </c>
    </row>
    <row r="5353" spans="1:6" x14ac:dyDescent="0.3">
      <c r="A5353" t="s">
        <v>75</v>
      </c>
      <c r="B5353">
        <v>2025</v>
      </c>
      <c r="C5353" t="s">
        <v>8</v>
      </c>
      <c r="D5353" s="35">
        <v>21189020.09</v>
      </c>
      <c r="E5353" s="35">
        <v>1371</v>
      </c>
      <c r="F5353" s="35">
        <v>21189020.09</v>
      </c>
    </row>
    <row r="5354" spans="1:6" x14ac:dyDescent="0.3">
      <c r="A5354" t="s">
        <v>75</v>
      </c>
      <c r="B5354">
        <v>2025</v>
      </c>
      <c r="C5354" t="s">
        <v>6</v>
      </c>
      <c r="D5354" s="35">
        <v>26501213.129999999</v>
      </c>
      <c r="E5354" s="35">
        <v>314823</v>
      </c>
      <c r="F5354" s="35">
        <v>21001404.289999999</v>
      </c>
    </row>
    <row r="5355" spans="1:6" x14ac:dyDescent="0.3">
      <c r="A5355" t="s">
        <v>75</v>
      </c>
      <c r="B5355">
        <v>2025</v>
      </c>
      <c r="C5355" t="s">
        <v>15</v>
      </c>
      <c r="D5355" s="35">
        <v>3408463.5399999991</v>
      </c>
      <c r="E5355" s="35">
        <v>68311</v>
      </c>
      <c r="F5355" s="35">
        <v>2103209.9300000002</v>
      </c>
    </row>
    <row r="5356" spans="1:6" x14ac:dyDescent="0.3">
      <c r="A5356" t="s">
        <v>75</v>
      </c>
      <c r="B5356">
        <v>2025</v>
      </c>
      <c r="C5356" t="s">
        <v>18</v>
      </c>
      <c r="D5356" s="35">
        <v>1068600.71</v>
      </c>
      <c r="E5356" s="35">
        <v>13364</v>
      </c>
      <c r="F5356" s="35">
        <v>604823.82999999996</v>
      </c>
    </row>
    <row r="5357" spans="1:6" x14ac:dyDescent="0.3">
      <c r="A5357" t="s">
        <v>76</v>
      </c>
      <c r="B5357">
        <v>2019</v>
      </c>
      <c r="C5357" t="s">
        <v>10</v>
      </c>
      <c r="D5357" s="35">
        <v>157557408.86000001</v>
      </c>
      <c r="E5357" s="35">
        <v>2400761</v>
      </c>
      <c r="F5357" s="35">
        <v>55504218.180000007</v>
      </c>
    </row>
    <row r="5358" spans="1:6" x14ac:dyDescent="0.3">
      <c r="A5358" t="s">
        <v>76</v>
      </c>
      <c r="B5358">
        <v>2019</v>
      </c>
      <c r="C5358" t="s">
        <v>4</v>
      </c>
      <c r="D5358" s="35">
        <v>173590423.46000001</v>
      </c>
      <c r="E5358" s="35">
        <v>623112</v>
      </c>
      <c r="F5358" s="35">
        <v>168541365.33000001</v>
      </c>
    </row>
    <row r="5359" spans="1:6" x14ac:dyDescent="0.3">
      <c r="A5359" t="s">
        <v>76</v>
      </c>
      <c r="B5359">
        <v>2019</v>
      </c>
      <c r="C5359" t="s">
        <v>13</v>
      </c>
      <c r="D5359" s="35">
        <v>61428544.840000004</v>
      </c>
      <c r="E5359" s="35">
        <v>777269</v>
      </c>
      <c r="F5359" s="35">
        <v>46504603.340000004</v>
      </c>
    </row>
    <row r="5360" spans="1:6" x14ac:dyDescent="0.3">
      <c r="A5360" t="s">
        <v>76</v>
      </c>
      <c r="B5360">
        <v>2019</v>
      </c>
      <c r="C5360" t="s">
        <v>16</v>
      </c>
      <c r="D5360" s="35">
        <v>16888435.07</v>
      </c>
      <c r="E5360" s="35">
        <v>55836</v>
      </c>
      <c r="F5360" s="35">
        <v>14471327.130000001</v>
      </c>
    </row>
    <row r="5361" spans="1:6" x14ac:dyDescent="0.3">
      <c r="A5361" t="s">
        <v>76</v>
      </c>
      <c r="B5361">
        <v>2019</v>
      </c>
      <c r="C5361" t="s">
        <v>14</v>
      </c>
      <c r="D5361" s="35">
        <v>254308352.52000001</v>
      </c>
      <c r="E5361" s="35">
        <v>1041465</v>
      </c>
      <c r="F5361" s="35">
        <v>31569579.739999991</v>
      </c>
    </row>
    <row r="5362" spans="1:6" x14ac:dyDescent="0.3">
      <c r="A5362" t="s">
        <v>76</v>
      </c>
      <c r="B5362">
        <v>2019</v>
      </c>
      <c r="C5362" t="s">
        <v>7</v>
      </c>
      <c r="D5362" s="35">
        <v>78472799.600000009</v>
      </c>
      <c r="E5362" s="35">
        <v>34184</v>
      </c>
      <c r="F5362" s="35">
        <v>77397572.150000021</v>
      </c>
    </row>
    <row r="5363" spans="1:6" x14ac:dyDescent="0.3">
      <c r="A5363" t="s">
        <v>76</v>
      </c>
      <c r="B5363">
        <v>2019</v>
      </c>
      <c r="C5363" t="s">
        <v>11</v>
      </c>
      <c r="D5363" s="35">
        <v>123082690.48999999</v>
      </c>
      <c r="E5363" s="35">
        <v>83313</v>
      </c>
      <c r="F5363" s="35">
        <v>87367235.98999998</v>
      </c>
    </row>
    <row r="5364" spans="1:6" x14ac:dyDescent="0.3">
      <c r="A5364" t="s">
        <v>76</v>
      </c>
      <c r="B5364">
        <v>2019</v>
      </c>
      <c r="C5364" t="s">
        <v>3</v>
      </c>
      <c r="D5364" s="35">
        <v>222038559.63999999</v>
      </c>
      <c r="E5364" s="35">
        <v>697616</v>
      </c>
      <c r="F5364" s="35">
        <v>118870151.61</v>
      </c>
    </row>
    <row r="5365" spans="1:6" x14ac:dyDescent="0.3">
      <c r="A5365" t="s">
        <v>76</v>
      </c>
      <c r="B5365">
        <v>2019</v>
      </c>
      <c r="C5365" t="s">
        <v>12</v>
      </c>
      <c r="D5365" s="35">
        <v>227095763.44</v>
      </c>
      <c r="E5365" s="35">
        <v>1585088</v>
      </c>
      <c r="F5365" s="35">
        <v>78704865.560000017</v>
      </c>
    </row>
    <row r="5366" spans="1:6" x14ac:dyDescent="0.3">
      <c r="A5366" t="s">
        <v>76</v>
      </c>
      <c r="B5366">
        <v>2019</v>
      </c>
      <c r="C5366" t="s">
        <v>2</v>
      </c>
      <c r="D5366" s="35">
        <v>499039207.56999999</v>
      </c>
      <c r="E5366" s="35">
        <v>3709191</v>
      </c>
      <c r="F5366" s="35">
        <v>280399261.27999997</v>
      </c>
    </row>
    <row r="5367" spans="1:6" x14ac:dyDescent="0.3">
      <c r="A5367" t="s">
        <v>76</v>
      </c>
      <c r="B5367">
        <v>2019</v>
      </c>
      <c r="C5367" t="s">
        <v>5</v>
      </c>
      <c r="D5367" s="35">
        <v>195463498.52000001</v>
      </c>
      <c r="E5367" s="35">
        <v>74676</v>
      </c>
      <c r="F5367" s="35">
        <v>147920600.28999999</v>
      </c>
    </row>
    <row r="5368" spans="1:6" x14ac:dyDescent="0.3">
      <c r="A5368" t="s">
        <v>76</v>
      </c>
      <c r="B5368">
        <v>2019</v>
      </c>
      <c r="C5368" t="s">
        <v>17</v>
      </c>
      <c r="D5368" s="35">
        <v>359900222.24999988</v>
      </c>
      <c r="E5368" s="35">
        <v>395459</v>
      </c>
      <c r="F5368" s="35">
        <v>37786569.510000013</v>
      </c>
    </row>
    <row r="5369" spans="1:6" x14ac:dyDescent="0.3">
      <c r="A5369" t="s">
        <v>76</v>
      </c>
      <c r="B5369">
        <v>2019</v>
      </c>
      <c r="C5369" t="s">
        <v>9</v>
      </c>
      <c r="D5369" s="35">
        <v>623699603.17999983</v>
      </c>
      <c r="E5369" s="35">
        <v>3301959</v>
      </c>
      <c r="F5369" s="35">
        <v>242897277.88999999</v>
      </c>
    </row>
    <row r="5370" spans="1:6" x14ac:dyDescent="0.3">
      <c r="A5370" t="s">
        <v>76</v>
      </c>
      <c r="B5370">
        <v>2019</v>
      </c>
      <c r="C5370" t="s">
        <v>8</v>
      </c>
      <c r="D5370" s="35">
        <v>57287266.360000007</v>
      </c>
      <c r="E5370" s="35">
        <v>4927</v>
      </c>
      <c r="F5370" s="35">
        <v>57287266.360000007</v>
      </c>
    </row>
    <row r="5371" spans="1:6" x14ac:dyDescent="0.3">
      <c r="A5371" t="s">
        <v>76</v>
      </c>
      <c r="B5371">
        <v>2019</v>
      </c>
      <c r="C5371" t="s">
        <v>6</v>
      </c>
      <c r="D5371" s="35">
        <v>223553050.44000009</v>
      </c>
      <c r="E5371" s="35">
        <v>2095162</v>
      </c>
      <c r="F5371" s="35">
        <v>133823142.83</v>
      </c>
    </row>
    <row r="5372" spans="1:6" x14ac:dyDescent="0.3">
      <c r="A5372" t="s">
        <v>76</v>
      </c>
      <c r="B5372">
        <v>2019</v>
      </c>
      <c r="C5372" t="s">
        <v>15</v>
      </c>
      <c r="D5372" s="35">
        <v>177443268.03999999</v>
      </c>
      <c r="E5372" s="35">
        <v>1029398</v>
      </c>
      <c r="F5372" s="35">
        <v>56330784.110000007</v>
      </c>
    </row>
    <row r="5373" spans="1:6" x14ac:dyDescent="0.3">
      <c r="A5373" t="s">
        <v>76</v>
      </c>
      <c r="B5373">
        <v>2019</v>
      </c>
      <c r="C5373" t="s">
        <v>18</v>
      </c>
      <c r="D5373" s="35">
        <v>59494094.940000013</v>
      </c>
      <c r="E5373" s="35">
        <v>95959</v>
      </c>
      <c r="F5373" s="35">
        <v>52971227.5</v>
      </c>
    </row>
    <row r="5374" spans="1:6" x14ac:dyDescent="0.3">
      <c r="A5374" t="s">
        <v>76</v>
      </c>
      <c r="B5374">
        <v>2020</v>
      </c>
      <c r="C5374" t="s">
        <v>10</v>
      </c>
      <c r="D5374" s="35">
        <v>239632732.97999999</v>
      </c>
      <c r="E5374" s="35">
        <v>2658351</v>
      </c>
      <c r="F5374" s="35">
        <v>80098227.919999987</v>
      </c>
    </row>
    <row r="5375" spans="1:6" x14ac:dyDescent="0.3">
      <c r="A5375" t="s">
        <v>76</v>
      </c>
      <c r="B5375">
        <v>2020</v>
      </c>
      <c r="C5375" t="s">
        <v>4</v>
      </c>
      <c r="D5375" s="35">
        <v>240879812.86000001</v>
      </c>
      <c r="E5375" s="35">
        <v>716875</v>
      </c>
      <c r="F5375" s="35">
        <v>234456474.50999999</v>
      </c>
    </row>
    <row r="5376" spans="1:6" x14ac:dyDescent="0.3">
      <c r="A5376" t="s">
        <v>76</v>
      </c>
      <c r="B5376">
        <v>2020</v>
      </c>
      <c r="C5376" t="s">
        <v>13</v>
      </c>
      <c r="D5376" s="35">
        <v>90562526.230000004</v>
      </c>
      <c r="E5376" s="35">
        <v>848862</v>
      </c>
      <c r="F5376" s="35">
        <v>53096395.260000013</v>
      </c>
    </row>
    <row r="5377" spans="1:6" x14ac:dyDescent="0.3">
      <c r="A5377" t="s">
        <v>76</v>
      </c>
      <c r="B5377">
        <v>2020</v>
      </c>
      <c r="C5377" t="s">
        <v>16</v>
      </c>
      <c r="D5377" s="35">
        <v>20750021.780000001</v>
      </c>
      <c r="E5377" s="35">
        <v>67553</v>
      </c>
      <c r="F5377" s="35">
        <v>18143935.969999999</v>
      </c>
    </row>
    <row r="5378" spans="1:6" x14ac:dyDescent="0.3">
      <c r="A5378" t="s">
        <v>76</v>
      </c>
      <c r="B5378">
        <v>2020</v>
      </c>
      <c r="C5378" t="s">
        <v>14</v>
      </c>
      <c r="D5378" s="35">
        <v>340276098.92000002</v>
      </c>
      <c r="E5378" s="35">
        <v>1195790</v>
      </c>
      <c r="F5378" s="35">
        <v>39838126.989999987</v>
      </c>
    </row>
    <row r="5379" spans="1:6" x14ac:dyDescent="0.3">
      <c r="A5379" t="s">
        <v>76</v>
      </c>
      <c r="B5379">
        <v>2020</v>
      </c>
      <c r="C5379" t="s">
        <v>7</v>
      </c>
      <c r="D5379" s="35">
        <v>112068090.51000001</v>
      </c>
      <c r="E5379" s="35">
        <v>42017</v>
      </c>
      <c r="F5379" s="35">
        <v>110401904.23</v>
      </c>
    </row>
    <row r="5380" spans="1:6" x14ac:dyDescent="0.3">
      <c r="A5380" t="s">
        <v>76</v>
      </c>
      <c r="B5380">
        <v>2020</v>
      </c>
      <c r="C5380" t="s">
        <v>11</v>
      </c>
      <c r="D5380" s="35">
        <v>305731456.42999989</v>
      </c>
      <c r="E5380" s="35">
        <v>190339</v>
      </c>
      <c r="F5380" s="35">
        <v>175963457.59999999</v>
      </c>
    </row>
    <row r="5381" spans="1:6" x14ac:dyDescent="0.3">
      <c r="A5381" t="s">
        <v>76</v>
      </c>
      <c r="B5381">
        <v>2020</v>
      </c>
      <c r="C5381" t="s">
        <v>3</v>
      </c>
      <c r="D5381" s="35">
        <v>320314429.10000002</v>
      </c>
      <c r="E5381" s="35">
        <v>684773</v>
      </c>
      <c r="F5381" s="35">
        <v>191027497.34</v>
      </c>
    </row>
    <row r="5382" spans="1:6" x14ac:dyDescent="0.3">
      <c r="A5382" t="s">
        <v>76</v>
      </c>
      <c r="B5382">
        <v>2020</v>
      </c>
      <c r="C5382" t="s">
        <v>12</v>
      </c>
      <c r="D5382" s="35">
        <v>282344334.69999999</v>
      </c>
      <c r="E5382" s="35">
        <v>1466816</v>
      </c>
      <c r="F5382" s="35">
        <v>78392224.37000002</v>
      </c>
    </row>
    <row r="5383" spans="1:6" x14ac:dyDescent="0.3">
      <c r="A5383" t="s">
        <v>76</v>
      </c>
      <c r="B5383">
        <v>2020</v>
      </c>
      <c r="C5383" t="s">
        <v>2</v>
      </c>
      <c r="D5383" s="35">
        <v>628431999.71000004</v>
      </c>
      <c r="E5383" s="35">
        <v>4115329</v>
      </c>
      <c r="F5383" s="35">
        <v>333045327.41000003</v>
      </c>
    </row>
    <row r="5384" spans="1:6" x14ac:dyDescent="0.3">
      <c r="A5384" t="s">
        <v>76</v>
      </c>
      <c r="B5384">
        <v>2020</v>
      </c>
      <c r="C5384" t="s">
        <v>5</v>
      </c>
      <c r="D5384" s="35">
        <v>227700719.34999999</v>
      </c>
      <c r="E5384" s="35">
        <v>83209</v>
      </c>
      <c r="F5384" s="35">
        <v>185379043.5</v>
      </c>
    </row>
    <row r="5385" spans="1:6" x14ac:dyDescent="0.3">
      <c r="A5385" t="s">
        <v>76</v>
      </c>
      <c r="B5385">
        <v>2020</v>
      </c>
      <c r="C5385" t="s">
        <v>17</v>
      </c>
      <c r="D5385" s="35">
        <v>490869454.51000011</v>
      </c>
      <c r="E5385" s="35">
        <v>465592</v>
      </c>
      <c r="F5385" s="35">
        <v>51802765.349999987</v>
      </c>
    </row>
    <row r="5386" spans="1:6" x14ac:dyDescent="0.3">
      <c r="A5386" t="s">
        <v>76</v>
      </c>
      <c r="B5386">
        <v>2020</v>
      </c>
      <c r="C5386" t="s">
        <v>9</v>
      </c>
      <c r="D5386" s="35">
        <v>913884438.31000042</v>
      </c>
      <c r="E5386" s="35">
        <v>4233726</v>
      </c>
      <c r="F5386" s="35">
        <v>352380316.17000002</v>
      </c>
    </row>
    <row r="5387" spans="1:6" x14ac:dyDescent="0.3">
      <c r="A5387" t="s">
        <v>76</v>
      </c>
      <c r="B5387">
        <v>2020</v>
      </c>
      <c r="C5387" t="s">
        <v>8</v>
      </c>
      <c r="D5387" s="35">
        <v>71963575.239999995</v>
      </c>
      <c r="E5387" s="35">
        <v>5644</v>
      </c>
      <c r="F5387" s="35">
        <v>71963575.239999995</v>
      </c>
    </row>
    <row r="5388" spans="1:6" x14ac:dyDescent="0.3">
      <c r="A5388" t="s">
        <v>76</v>
      </c>
      <c r="B5388">
        <v>2020</v>
      </c>
      <c r="C5388" t="s">
        <v>6</v>
      </c>
      <c r="D5388" s="35">
        <v>251809298.65000001</v>
      </c>
      <c r="E5388" s="35">
        <v>2133705</v>
      </c>
      <c r="F5388" s="35">
        <v>143514682.41</v>
      </c>
    </row>
    <row r="5389" spans="1:6" x14ac:dyDescent="0.3">
      <c r="A5389" t="s">
        <v>76</v>
      </c>
      <c r="B5389">
        <v>2020</v>
      </c>
      <c r="C5389" t="s">
        <v>15</v>
      </c>
      <c r="D5389" s="35">
        <v>232602287.52999991</v>
      </c>
      <c r="E5389" s="35">
        <v>909671</v>
      </c>
      <c r="F5389" s="35">
        <v>67751817.800000027</v>
      </c>
    </row>
    <row r="5390" spans="1:6" x14ac:dyDescent="0.3">
      <c r="A5390" t="s">
        <v>76</v>
      </c>
      <c r="B5390">
        <v>2020</v>
      </c>
      <c r="C5390" t="s">
        <v>18</v>
      </c>
      <c r="D5390" s="35">
        <v>99614729.37999998</v>
      </c>
      <c r="E5390" s="35">
        <v>132062</v>
      </c>
      <c r="F5390" s="35">
        <v>83374130.37999998</v>
      </c>
    </row>
    <row r="5391" spans="1:6" x14ac:dyDescent="0.3">
      <c r="A5391" t="s">
        <v>76</v>
      </c>
      <c r="B5391">
        <v>2021</v>
      </c>
      <c r="C5391" t="s">
        <v>10</v>
      </c>
      <c r="D5391" s="35">
        <v>293012037.54000002</v>
      </c>
      <c r="E5391" s="35">
        <v>2490334</v>
      </c>
      <c r="F5391" s="35">
        <v>97505334.049999982</v>
      </c>
    </row>
    <row r="5392" spans="1:6" x14ac:dyDescent="0.3">
      <c r="A5392" t="s">
        <v>76</v>
      </c>
      <c r="B5392">
        <v>2021</v>
      </c>
      <c r="C5392" t="s">
        <v>4</v>
      </c>
      <c r="D5392" s="35">
        <v>279900577.11000001</v>
      </c>
      <c r="E5392" s="35">
        <v>695313</v>
      </c>
      <c r="F5392" s="35">
        <v>271447040.25999999</v>
      </c>
    </row>
    <row r="5393" spans="1:6" x14ac:dyDescent="0.3">
      <c r="A5393" t="s">
        <v>76</v>
      </c>
      <c r="B5393">
        <v>2021</v>
      </c>
      <c r="C5393" t="s">
        <v>13</v>
      </c>
      <c r="D5393" s="35">
        <v>115800156.01000001</v>
      </c>
      <c r="E5393" s="35">
        <v>804279</v>
      </c>
      <c r="F5393" s="35">
        <v>71498051.070000008</v>
      </c>
    </row>
    <row r="5394" spans="1:6" x14ac:dyDescent="0.3">
      <c r="A5394" t="s">
        <v>76</v>
      </c>
      <c r="B5394">
        <v>2021</v>
      </c>
      <c r="C5394" t="s">
        <v>16</v>
      </c>
      <c r="D5394" s="35">
        <v>26333712.260000002</v>
      </c>
      <c r="E5394" s="35">
        <v>76820</v>
      </c>
      <c r="F5394" s="35">
        <v>22722002.350000001</v>
      </c>
    </row>
    <row r="5395" spans="1:6" x14ac:dyDescent="0.3">
      <c r="A5395" t="s">
        <v>76</v>
      </c>
      <c r="B5395">
        <v>2021</v>
      </c>
      <c r="C5395" t="s">
        <v>14</v>
      </c>
      <c r="D5395" s="35">
        <v>365893456.79000002</v>
      </c>
      <c r="E5395" s="35">
        <v>1243236</v>
      </c>
      <c r="F5395" s="35">
        <v>41808880.549999997</v>
      </c>
    </row>
    <row r="5396" spans="1:6" x14ac:dyDescent="0.3">
      <c r="A5396" t="s">
        <v>76</v>
      </c>
      <c r="B5396">
        <v>2021</v>
      </c>
      <c r="C5396" t="s">
        <v>7</v>
      </c>
      <c r="D5396" s="35">
        <v>126900113.58</v>
      </c>
      <c r="E5396" s="35">
        <v>44671</v>
      </c>
      <c r="F5396" s="35">
        <v>123646187.65000001</v>
      </c>
    </row>
    <row r="5397" spans="1:6" x14ac:dyDescent="0.3">
      <c r="A5397" t="s">
        <v>76</v>
      </c>
      <c r="B5397">
        <v>2021</v>
      </c>
      <c r="C5397" t="s">
        <v>11</v>
      </c>
      <c r="D5397" s="35">
        <v>349545899.92999989</v>
      </c>
      <c r="E5397" s="35">
        <v>216271</v>
      </c>
      <c r="F5397" s="35">
        <v>231046537.97</v>
      </c>
    </row>
    <row r="5398" spans="1:6" x14ac:dyDescent="0.3">
      <c r="A5398" t="s">
        <v>76</v>
      </c>
      <c r="B5398">
        <v>2021</v>
      </c>
      <c r="C5398" t="s">
        <v>3</v>
      </c>
      <c r="D5398" s="35">
        <v>394937184.80000001</v>
      </c>
      <c r="E5398" s="35">
        <v>772093</v>
      </c>
      <c r="F5398" s="35">
        <v>263486930.44999999</v>
      </c>
    </row>
    <row r="5399" spans="1:6" x14ac:dyDescent="0.3">
      <c r="A5399" t="s">
        <v>76</v>
      </c>
      <c r="B5399">
        <v>2021</v>
      </c>
      <c r="C5399" t="s">
        <v>12</v>
      </c>
      <c r="D5399" s="35">
        <v>302528261.75999987</v>
      </c>
      <c r="E5399" s="35">
        <v>1553653</v>
      </c>
      <c r="F5399" s="35">
        <v>82146328.059999987</v>
      </c>
    </row>
    <row r="5400" spans="1:6" x14ac:dyDescent="0.3">
      <c r="A5400" t="s">
        <v>76</v>
      </c>
      <c r="B5400">
        <v>2021</v>
      </c>
      <c r="C5400" t="s">
        <v>2</v>
      </c>
      <c r="D5400" s="35">
        <v>698510269.19000018</v>
      </c>
      <c r="E5400" s="35">
        <v>4167709</v>
      </c>
      <c r="F5400" s="35">
        <v>382801261.18000001</v>
      </c>
    </row>
    <row r="5401" spans="1:6" x14ac:dyDescent="0.3">
      <c r="A5401" t="s">
        <v>76</v>
      </c>
      <c r="B5401">
        <v>2021</v>
      </c>
      <c r="C5401" t="s">
        <v>5</v>
      </c>
      <c r="D5401" s="35">
        <v>213381535.31</v>
      </c>
      <c r="E5401" s="35">
        <v>87823</v>
      </c>
      <c r="F5401" s="35">
        <v>183046012.3300001</v>
      </c>
    </row>
    <row r="5402" spans="1:6" x14ac:dyDescent="0.3">
      <c r="A5402" t="s">
        <v>76</v>
      </c>
      <c r="B5402">
        <v>2021</v>
      </c>
      <c r="C5402" t="s">
        <v>17</v>
      </c>
      <c r="D5402" s="35">
        <v>474284035.95999992</v>
      </c>
      <c r="E5402" s="35">
        <v>500773</v>
      </c>
      <c r="F5402" s="35">
        <v>52308409.060000002</v>
      </c>
    </row>
    <row r="5403" spans="1:6" x14ac:dyDescent="0.3">
      <c r="A5403" t="s">
        <v>76</v>
      </c>
      <c r="B5403">
        <v>2021</v>
      </c>
      <c r="C5403" t="s">
        <v>9</v>
      </c>
      <c r="D5403" s="35">
        <v>1006940493.21</v>
      </c>
      <c r="E5403" s="35">
        <v>4792689</v>
      </c>
      <c r="F5403" s="35">
        <v>373089578.82999998</v>
      </c>
    </row>
    <row r="5404" spans="1:6" x14ac:dyDescent="0.3">
      <c r="A5404" t="s">
        <v>76</v>
      </c>
      <c r="B5404">
        <v>2021</v>
      </c>
      <c r="C5404" t="s">
        <v>8</v>
      </c>
      <c r="D5404" s="35">
        <v>83952279.890000001</v>
      </c>
      <c r="E5404" s="35">
        <v>5533</v>
      </c>
      <c r="F5404" s="35">
        <v>83816356.299999997</v>
      </c>
    </row>
    <row r="5405" spans="1:6" x14ac:dyDescent="0.3">
      <c r="A5405" t="s">
        <v>76</v>
      </c>
      <c r="B5405">
        <v>2021</v>
      </c>
      <c r="C5405" t="s">
        <v>6</v>
      </c>
      <c r="D5405" s="35">
        <v>280005190.56999999</v>
      </c>
      <c r="E5405" s="35">
        <v>2111115</v>
      </c>
      <c r="F5405" s="35">
        <v>163414729.96000001</v>
      </c>
    </row>
    <row r="5406" spans="1:6" x14ac:dyDescent="0.3">
      <c r="A5406" t="s">
        <v>76</v>
      </c>
      <c r="B5406">
        <v>2021</v>
      </c>
      <c r="C5406" t="s">
        <v>15</v>
      </c>
      <c r="D5406" s="35">
        <v>251799029.38999999</v>
      </c>
      <c r="E5406" s="35">
        <v>807622</v>
      </c>
      <c r="F5406" s="35">
        <v>74408288.689999998</v>
      </c>
    </row>
    <row r="5407" spans="1:6" x14ac:dyDescent="0.3">
      <c r="A5407" t="s">
        <v>76</v>
      </c>
      <c r="B5407">
        <v>2021</v>
      </c>
      <c r="C5407" t="s">
        <v>18</v>
      </c>
      <c r="D5407" s="35">
        <v>82621815.689999998</v>
      </c>
      <c r="E5407" s="35">
        <v>106686</v>
      </c>
      <c r="F5407" s="35">
        <v>57117986.810000002</v>
      </c>
    </row>
    <row r="5408" spans="1:6" x14ac:dyDescent="0.3">
      <c r="A5408" t="s">
        <v>76</v>
      </c>
      <c r="B5408">
        <v>2022</v>
      </c>
      <c r="C5408" t="s">
        <v>10</v>
      </c>
      <c r="D5408" s="35">
        <v>378762079.35000002</v>
      </c>
      <c r="E5408" s="35">
        <v>3162468</v>
      </c>
      <c r="F5408" s="35">
        <v>125490641.54000001</v>
      </c>
    </row>
    <row r="5409" spans="1:6" x14ac:dyDescent="0.3">
      <c r="A5409" t="s">
        <v>76</v>
      </c>
      <c r="B5409">
        <v>2022</v>
      </c>
      <c r="C5409" t="s">
        <v>4</v>
      </c>
      <c r="D5409" s="35">
        <v>356156598.92999989</v>
      </c>
      <c r="E5409" s="35">
        <v>921732</v>
      </c>
      <c r="F5409" s="35">
        <v>346176564.23999989</v>
      </c>
    </row>
    <row r="5410" spans="1:6" x14ac:dyDescent="0.3">
      <c r="A5410" t="s">
        <v>76</v>
      </c>
      <c r="B5410">
        <v>2022</v>
      </c>
      <c r="C5410" t="s">
        <v>13</v>
      </c>
      <c r="D5410" s="35">
        <v>142571955.03</v>
      </c>
      <c r="E5410" s="35">
        <v>953980</v>
      </c>
      <c r="F5410" s="35">
        <v>111761520.15000001</v>
      </c>
    </row>
    <row r="5411" spans="1:6" x14ac:dyDescent="0.3">
      <c r="A5411" t="s">
        <v>76</v>
      </c>
      <c r="B5411">
        <v>2022</v>
      </c>
      <c r="C5411" t="s">
        <v>16</v>
      </c>
      <c r="D5411" s="35">
        <v>30446641.550000001</v>
      </c>
      <c r="E5411" s="35">
        <v>94627</v>
      </c>
      <c r="F5411" s="35">
        <v>26551380.88000001</v>
      </c>
    </row>
    <row r="5412" spans="1:6" x14ac:dyDescent="0.3">
      <c r="A5412" t="s">
        <v>76</v>
      </c>
      <c r="B5412">
        <v>2022</v>
      </c>
      <c r="C5412" t="s">
        <v>14</v>
      </c>
      <c r="D5412" s="35">
        <v>427127551.30000001</v>
      </c>
      <c r="E5412" s="35">
        <v>1511505</v>
      </c>
      <c r="F5412" s="35">
        <v>42491459.059999987</v>
      </c>
    </row>
    <row r="5413" spans="1:6" x14ac:dyDescent="0.3">
      <c r="A5413" t="s">
        <v>76</v>
      </c>
      <c r="B5413">
        <v>2022</v>
      </c>
      <c r="C5413" t="s">
        <v>7</v>
      </c>
      <c r="D5413" s="35">
        <v>145489096.37</v>
      </c>
      <c r="E5413" s="35">
        <v>49496</v>
      </c>
      <c r="F5413" s="35">
        <v>142504875.62</v>
      </c>
    </row>
    <row r="5414" spans="1:6" x14ac:dyDescent="0.3">
      <c r="A5414" t="s">
        <v>76</v>
      </c>
      <c r="B5414">
        <v>2022</v>
      </c>
      <c r="C5414" t="s">
        <v>11</v>
      </c>
      <c r="D5414" s="35">
        <v>320682858.70999998</v>
      </c>
      <c r="E5414" s="35">
        <v>152493</v>
      </c>
      <c r="F5414" s="35">
        <v>219987726.13999999</v>
      </c>
    </row>
    <row r="5415" spans="1:6" x14ac:dyDescent="0.3">
      <c r="A5415" t="s">
        <v>76</v>
      </c>
      <c r="B5415">
        <v>2022</v>
      </c>
      <c r="C5415" t="s">
        <v>3</v>
      </c>
      <c r="D5415" s="35">
        <v>471285905.76999998</v>
      </c>
      <c r="E5415" s="35">
        <v>901840</v>
      </c>
      <c r="F5415" s="35">
        <v>329401626.04000002</v>
      </c>
    </row>
    <row r="5416" spans="1:6" x14ac:dyDescent="0.3">
      <c r="A5416" t="s">
        <v>76</v>
      </c>
      <c r="B5416">
        <v>2022</v>
      </c>
      <c r="C5416" t="s">
        <v>12</v>
      </c>
      <c r="D5416" s="35">
        <v>319919334.87000012</v>
      </c>
      <c r="E5416" s="35">
        <v>1942241</v>
      </c>
      <c r="F5416" s="35">
        <v>78318399.090000004</v>
      </c>
    </row>
    <row r="5417" spans="1:6" x14ac:dyDescent="0.3">
      <c r="A5417" t="s">
        <v>76</v>
      </c>
      <c r="B5417">
        <v>2022</v>
      </c>
      <c r="C5417" t="s">
        <v>2</v>
      </c>
      <c r="D5417" s="35">
        <v>805487341.5</v>
      </c>
      <c r="E5417" s="35">
        <v>4733137</v>
      </c>
      <c r="F5417" s="35">
        <v>444160390.98000002</v>
      </c>
    </row>
    <row r="5418" spans="1:6" x14ac:dyDescent="0.3">
      <c r="A5418" t="s">
        <v>76</v>
      </c>
      <c r="B5418">
        <v>2022</v>
      </c>
      <c r="C5418" t="s">
        <v>5</v>
      </c>
      <c r="D5418" s="35">
        <v>208527678.78999999</v>
      </c>
      <c r="E5418" s="35">
        <v>94279</v>
      </c>
      <c r="F5418" s="35">
        <v>185829750.05999991</v>
      </c>
    </row>
    <row r="5419" spans="1:6" x14ac:dyDescent="0.3">
      <c r="A5419" t="s">
        <v>76</v>
      </c>
      <c r="B5419">
        <v>2022</v>
      </c>
      <c r="C5419" t="s">
        <v>17</v>
      </c>
      <c r="D5419" s="35">
        <v>662211573.80999982</v>
      </c>
      <c r="E5419" s="35">
        <v>555589</v>
      </c>
      <c r="F5419" s="35">
        <v>62658421.109999999</v>
      </c>
    </row>
    <row r="5420" spans="1:6" x14ac:dyDescent="0.3">
      <c r="A5420" t="s">
        <v>76</v>
      </c>
      <c r="B5420">
        <v>2022</v>
      </c>
      <c r="C5420" t="s">
        <v>9</v>
      </c>
      <c r="D5420" s="35">
        <v>1283122681.24</v>
      </c>
      <c r="E5420" s="35">
        <v>5167301</v>
      </c>
      <c r="F5420" s="35">
        <v>459338839.70999992</v>
      </c>
    </row>
    <row r="5421" spans="1:6" x14ac:dyDescent="0.3">
      <c r="A5421" t="s">
        <v>76</v>
      </c>
      <c r="B5421">
        <v>2022</v>
      </c>
      <c r="C5421" t="s">
        <v>8</v>
      </c>
      <c r="D5421" s="35">
        <v>116797855.77</v>
      </c>
      <c r="E5421" s="35">
        <v>6130</v>
      </c>
      <c r="F5421" s="35">
        <v>116705254.38</v>
      </c>
    </row>
    <row r="5422" spans="1:6" x14ac:dyDescent="0.3">
      <c r="A5422" t="s">
        <v>76</v>
      </c>
      <c r="B5422">
        <v>2022</v>
      </c>
      <c r="C5422" t="s">
        <v>6</v>
      </c>
      <c r="D5422" s="35">
        <v>328253393.45999998</v>
      </c>
      <c r="E5422" s="35">
        <v>2594319</v>
      </c>
      <c r="F5422" s="35">
        <v>176733723.44</v>
      </c>
    </row>
    <row r="5423" spans="1:6" x14ac:dyDescent="0.3">
      <c r="A5423" t="s">
        <v>76</v>
      </c>
      <c r="B5423">
        <v>2022</v>
      </c>
      <c r="C5423" t="s">
        <v>15</v>
      </c>
      <c r="D5423" s="35">
        <v>227264478.0200001</v>
      </c>
      <c r="E5423" s="35">
        <v>763485</v>
      </c>
      <c r="F5423" s="35">
        <v>74957138.829999998</v>
      </c>
    </row>
    <row r="5424" spans="1:6" x14ac:dyDescent="0.3">
      <c r="A5424" t="s">
        <v>76</v>
      </c>
      <c r="B5424">
        <v>2022</v>
      </c>
      <c r="C5424" t="s">
        <v>18</v>
      </c>
      <c r="D5424" s="35">
        <v>45666441.18</v>
      </c>
      <c r="E5424" s="35">
        <v>81738</v>
      </c>
      <c r="F5424" s="35">
        <v>29384234.02</v>
      </c>
    </row>
    <row r="5425" spans="1:6" x14ac:dyDescent="0.3">
      <c r="A5425" t="s">
        <v>76</v>
      </c>
      <c r="B5425">
        <v>2023</v>
      </c>
      <c r="C5425" t="s">
        <v>10</v>
      </c>
      <c r="D5425" s="35">
        <v>299981033.93000001</v>
      </c>
      <c r="E5425" s="35">
        <v>3108398</v>
      </c>
      <c r="F5425" s="35">
        <v>123612255.78</v>
      </c>
    </row>
    <row r="5426" spans="1:6" x14ac:dyDescent="0.3">
      <c r="A5426" t="s">
        <v>76</v>
      </c>
      <c r="B5426">
        <v>2023</v>
      </c>
      <c r="C5426" t="s">
        <v>4</v>
      </c>
      <c r="D5426" s="35">
        <v>444919744.53000009</v>
      </c>
      <c r="E5426" s="35">
        <v>974042</v>
      </c>
      <c r="F5426" s="35">
        <v>438310910.7100001</v>
      </c>
    </row>
    <row r="5427" spans="1:6" x14ac:dyDescent="0.3">
      <c r="A5427" t="s">
        <v>76</v>
      </c>
      <c r="B5427">
        <v>2023</v>
      </c>
      <c r="C5427" t="s">
        <v>13</v>
      </c>
      <c r="D5427" s="35">
        <v>139103803.40000001</v>
      </c>
      <c r="E5427" s="35">
        <v>980444</v>
      </c>
      <c r="F5427" s="35">
        <v>112969351.52</v>
      </c>
    </row>
    <row r="5428" spans="1:6" x14ac:dyDescent="0.3">
      <c r="A5428" t="s">
        <v>76</v>
      </c>
      <c r="B5428">
        <v>2023</v>
      </c>
      <c r="C5428" t="s">
        <v>16</v>
      </c>
      <c r="D5428" s="35">
        <v>29482964.620000001</v>
      </c>
      <c r="E5428" s="35">
        <v>101005</v>
      </c>
      <c r="F5428" s="35">
        <v>25393135.910000011</v>
      </c>
    </row>
    <row r="5429" spans="1:6" x14ac:dyDescent="0.3">
      <c r="A5429" t="s">
        <v>76</v>
      </c>
      <c r="B5429">
        <v>2023</v>
      </c>
      <c r="C5429" t="s">
        <v>14</v>
      </c>
      <c r="D5429" s="35">
        <v>434518767.6500001</v>
      </c>
      <c r="E5429" s="35">
        <v>1553561</v>
      </c>
      <c r="F5429" s="35">
        <v>44341355.609999992</v>
      </c>
    </row>
    <row r="5430" spans="1:6" x14ac:dyDescent="0.3">
      <c r="A5430" t="s">
        <v>76</v>
      </c>
      <c r="B5430">
        <v>2023</v>
      </c>
      <c r="C5430" t="s">
        <v>7</v>
      </c>
      <c r="D5430" s="35">
        <v>162451494.56999999</v>
      </c>
      <c r="E5430" s="35">
        <v>50138</v>
      </c>
      <c r="F5430" s="35">
        <v>159887984.56</v>
      </c>
    </row>
    <row r="5431" spans="1:6" x14ac:dyDescent="0.3">
      <c r="A5431" t="s">
        <v>76</v>
      </c>
      <c r="B5431">
        <v>2023</v>
      </c>
      <c r="C5431" t="s">
        <v>11</v>
      </c>
      <c r="D5431" s="35">
        <v>364713436.58999997</v>
      </c>
      <c r="E5431" s="35">
        <v>124472</v>
      </c>
      <c r="F5431" s="35">
        <v>224822117.81</v>
      </c>
    </row>
    <row r="5432" spans="1:6" x14ac:dyDescent="0.3">
      <c r="A5432" t="s">
        <v>76</v>
      </c>
      <c r="B5432">
        <v>2023</v>
      </c>
      <c r="C5432" t="s">
        <v>3</v>
      </c>
      <c r="D5432" s="35">
        <v>483803298.35000002</v>
      </c>
      <c r="E5432" s="35">
        <v>950777</v>
      </c>
      <c r="F5432" s="35">
        <v>315420066.76000011</v>
      </c>
    </row>
    <row r="5433" spans="1:6" x14ac:dyDescent="0.3">
      <c r="A5433" t="s">
        <v>76</v>
      </c>
      <c r="B5433">
        <v>2023</v>
      </c>
      <c r="C5433" t="s">
        <v>12</v>
      </c>
      <c r="D5433" s="35">
        <v>342991771.31999999</v>
      </c>
      <c r="E5433" s="35">
        <v>2171700</v>
      </c>
      <c r="F5433" s="35">
        <v>78002732.570000008</v>
      </c>
    </row>
    <row r="5434" spans="1:6" x14ac:dyDescent="0.3">
      <c r="A5434" t="s">
        <v>76</v>
      </c>
      <c r="B5434">
        <v>2023</v>
      </c>
      <c r="C5434" t="s">
        <v>2</v>
      </c>
      <c r="D5434" s="35">
        <v>768479333.67999983</v>
      </c>
      <c r="E5434" s="35">
        <v>4883864</v>
      </c>
      <c r="F5434" s="35">
        <v>437472981.43000001</v>
      </c>
    </row>
    <row r="5435" spans="1:6" x14ac:dyDescent="0.3">
      <c r="A5435" t="s">
        <v>76</v>
      </c>
      <c r="B5435">
        <v>2023</v>
      </c>
      <c r="C5435" t="s">
        <v>5</v>
      </c>
      <c r="D5435" s="35">
        <v>185795480.09</v>
      </c>
      <c r="E5435" s="35">
        <v>91813</v>
      </c>
      <c r="F5435" s="35">
        <v>162898695.78</v>
      </c>
    </row>
    <row r="5436" spans="1:6" x14ac:dyDescent="0.3">
      <c r="A5436" t="s">
        <v>76</v>
      </c>
      <c r="B5436">
        <v>2023</v>
      </c>
      <c r="C5436" t="s">
        <v>17</v>
      </c>
      <c r="D5436" s="35">
        <v>743818345.83999991</v>
      </c>
      <c r="E5436" s="35">
        <v>612698</v>
      </c>
      <c r="F5436" s="35">
        <v>97220908.099999979</v>
      </c>
    </row>
    <row r="5437" spans="1:6" x14ac:dyDescent="0.3">
      <c r="A5437" t="s">
        <v>76</v>
      </c>
      <c r="B5437">
        <v>2023</v>
      </c>
      <c r="C5437" t="s">
        <v>9</v>
      </c>
      <c r="D5437" s="35">
        <v>1237271366.6700001</v>
      </c>
      <c r="E5437" s="35">
        <v>5164284</v>
      </c>
      <c r="F5437" s="35">
        <v>498434177.0999999</v>
      </c>
    </row>
    <row r="5438" spans="1:6" x14ac:dyDescent="0.3">
      <c r="A5438" t="s">
        <v>76</v>
      </c>
      <c r="B5438">
        <v>2023</v>
      </c>
      <c r="C5438" t="s">
        <v>8</v>
      </c>
      <c r="D5438" s="35">
        <v>109780834.78</v>
      </c>
      <c r="E5438" s="35">
        <v>5324</v>
      </c>
      <c r="F5438" s="35">
        <v>109604523.05</v>
      </c>
    </row>
    <row r="5439" spans="1:6" x14ac:dyDescent="0.3">
      <c r="A5439" t="s">
        <v>76</v>
      </c>
      <c r="B5439">
        <v>2023</v>
      </c>
      <c r="C5439" t="s">
        <v>6</v>
      </c>
      <c r="D5439" s="35">
        <v>327068191.13</v>
      </c>
      <c r="E5439" s="35">
        <v>2688152</v>
      </c>
      <c r="F5439" s="35">
        <v>174762518.53</v>
      </c>
    </row>
    <row r="5440" spans="1:6" x14ac:dyDescent="0.3">
      <c r="A5440" t="s">
        <v>76</v>
      </c>
      <c r="B5440">
        <v>2023</v>
      </c>
      <c r="C5440" t="s">
        <v>15</v>
      </c>
      <c r="D5440" s="35">
        <v>170565191.37</v>
      </c>
      <c r="E5440" s="35">
        <v>640109</v>
      </c>
      <c r="F5440" s="35">
        <v>52836348.149999999</v>
      </c>
    </row>
    <row r="5441" spans="1:6" x14ac:dyDescent="0.3">
      <c r="A5441" t="s">
        <v>76</v>
      </c>
      <c r="B5441">
        <v>2023</v>
      </c>
      <c r="C5441" t="s">
        <v>18</v>
      </c>
      <c r="D5441" s="35">
        <v>24035242.91</v>
      </c>
      <c r="E5441" s="35">
        <v>66634</v>
      </c>
      <c r="F5441" s="35">
        <v>14956309.359999999</v>
      </c>
    </row>
    <row r="5442" spans="1:6" x14ac:dyDescent="0.3">
      <c r="A5442" t="s">
        <v>76</v>
      </c>
      <c r="B5442">
        <v>2024</v>
      </c>
      <c r="C5442" t="s">
        <v>10</v>
      </c>
      <c r="D5442" s="35">
        <v>164137826.30000001</v>
      </c>
      <c r="E5442" s="35">
        <v>2997336</v>
      </c>
      <c r="F5442" s="35">
        <v>100038986.23</v>
      </c>
    </row>
    <row r="5443" spans="1:6" x14ac:dyDescent="0.3">
      <c r="A5443" t="s">
        <v>76</v>
      </c>
      <c r="B5443">
        <v>2024</v>
      </c>
      <c r="C5443" t="s">
        <v>4</v>
      </c>
      <c r="D5443" s="35">
        <v>391085577.24000001</v>
      </c>
      <c r="E5443" s="35">
        <v>962230</v>
      </c>
      <c r="F5443" s="35">
        <v>387408161.42000002</v>
      </c>
    </row>
    <row r="5444" spans="1:6" x14ac:dyDescent="0.3">
      <c r="A5444" t="s">
        <v>76</v>
      </c>
      <c r="B5444">
        <v>2024</v>
      </c>
      <c r="C5444" t="s">
        <v>13</v>
      </c>
      <c r="D5444" s="35">
        <v>81398477.309999987</v>
      </c>
      <c r="E5444" s="35">
        <v>919358</v>
      </c>
      <c r="F5444" s="35">
        <v>62290089.289999999</v>
      </c>
    </row>
    <row r="5445" spans="1:6" x14ac:dyDescent="0.3">
      <c r="A5445" t="s">
        <v>76</v>
      </c>
      <c r="B5445">
        <v>2024</v>
      </c>
      <c r="C5445" t="s">
        <v>16</v>
      </c>
      <c r="D5445" s="35">
        <v>28782670.68</v>
      </c>
      <c r="E5445" s="35">
        <v>96678</v>
      </c>
      <c r="F5445" s="35">
        <v>25464877.030000001</v>
      </c>
    </row>
    <row r="5446" spans="1:6" x14ac:dyDescent="0.3">
      <c r="A5446" t="s">
        <v>76</v>
      </c>
      <c r="B5446">
        <v>2024</v>
      </c>
      <c r="C5446" t="s">
        <v>14</v>
      </c>
      <c r="D5446" s="35">
        <v>172899730.45000011</v>
      </c>
      <c r="E5446" s="35">
        <v>1394629</v>
      </c>
      <c r="F5446" s="35">
        <v>39120723.550000012</v>
      </c>
    </row>
    <row r="5447" spans="1:6" x14ac:dyDescent="0.3">
      <c r="A5447" t="s">
        <v>76</v>
      </c>
      <c r="B5447">
        <v>2024</v>
      </c>
      <c r="C5447" t="s">
        <v>7</v>
      </c>
      <c r="D5447" s="35">
        <v>150319948</v>
      </c>
      <c r="E5447" s="35">
        <v>42992</v>
      </c>
      <c r="F5447" s="35">
        <v>148268727.68000001</v>
      </c>
    </row>
    <row r="5448" spans="1:6" x14ac:dyDescent="0.3">
      <c r="A5448" t="s">
        <v>76</v>
      </c>
      <c r="B5448">
        <v>2024</v>
      </c>
      <c r="C5448" t="s">
        <v>11</v>
      </c>
      <c r="D5448" s="35">
        <v>171047078.91999999</v>
      </c>
      <c r="E5448" s="35">
        <v>84843</v>
      </c>
      <c r="F5448" s="35">
        <v>110081290.22</v>
      </c>
    </row>
    <row r="5449" spans="1:6" x14ac:dyDescent="0.3">
      <c r="A5449" t="s">
        <v>76</v>
      </c>
      <c r="B5449">
        <v>2024</v>
      </c>
      <c r="C5449" t="s">
        <v>3</v>
      </c>
      <c r="D5449" s="35">
        <v>395235640.27999997</v>
      </c>
      <c r="E5449" s="35">
        <v>863980</v>
      </c>
      <c r="F5449" s="35">
        <v>337128315.68000013</v>
      </c>
    </row>
    <row r="5450" spans="1:6" x14ac:dyDescent="0.3">
      <c r="A5450" t="s">
        <v>76</v>
      </c>
      <c r="B5450">
        <v>2024</v>
      </c>
      <c r="C5450" t="s">
        <v>12</v>
      </c>
      <c r="D5450" s="35">
        <v>166068717.03</v>
      </c>
      <c r="E5450" s="35">
        <v>2017742</v>
      </c>
      <c r="F5450" s="35">
        <v>65738507.469999991</v>
      </c>
    </row>
    <row r="5451" spans="1:6" x14ac:dyDescent="0.3">
      <c r="A5451" t="s">
        <v>76</v>
      </c>
      <c r="B5451">
        <v>2024</v>
      </c>
      <c r="C5451" t="s">
        <v>2</v>
      </c>
      <c r="D5451" s="35">
        <v>600010742.68000007</v>
      </c>
      <c r="E5451" s="35">
        <v>4758842</v>
      </c>
      <c r="F5451" s="35">
        <v>463393930.22000003</v>
      </c>
    </row>
    <row r="5452" spans="1:6" x14ac:dyDescent="0.3">
      <c r="A5452" t="s">
        <v>76</v>
      </c>
      <c r="B5452">
        <v>2024</v>
      </c>
      <c r="C5452" t="s">
        <v>5</v>
      </c>
      <c r="D5452" s="35">
        <v>169667215.77000001</v>
      </c>
      <c r="E5452" s="35">
        <v>84941</v>
      </c>
      <c r="F5452" s="35">
        <v>155603960.19999999</v>
      </c>
    </row>
    <row r="5453" spans="1:6" x14ac:dyDescent="0.3">
      <c r="A5453" t="s">
        <v>76</v>
      </c>
      <c r="B5453">
        <v>2024</v>
      </c>
      <c r="C5453" t="s">
        <v>17</v>
      </c>
      <c r="D5453" s="35">
        <v>252488043.30000001</v>
      </c>
      <c r="E5453" s="35">
        <v>398647</v>
      </c>
      <c r="F5453" s="35">
        <v>35895131.170000002</v>
      </c>
    </row>
    <row r="5454" spans="1:6" x14ac:dyDescent="0.3">
      <c r="A5454" t="s">
        <v>76</v>
      </c>
      <c r="B5454">
        <v>2024</v>
      </c>
      <c r="C5454" t="s">
        <v>9</v>
      </c>
      <c r="D5454" s="35">
        <v>497414721.14999998</v>
      </c>
      <c r="E5454" s="35">
        <v>4655028</v>
      </c>
      <c r="F5454" s="35">
        <v>247413837.88</v>
      </c>
    </row>
    <row r="5455" spans="1:6" x14ac:dyDescent="0.3">
      <c r="A5455" t="s">
        <v>76</v>
      </c>
      <c r="B5455">
        <v>2024</v>
      </c>
      <c r="C5455" t="s">
        <v>8</v>
      </c>
      <c r="D5455" s="35">
        <v>121099437.31999999</v>
      </c>
      <c r="E5455" s="35">
        <v>5522</v>
      </c>
      <c r="F5455" s="35">
        <v>118820647.86</v>
      </c>
    </row>
    <row r="5456" spans="1:6" x14ac:dyDescent="0.3">
      <c r="A5456" t="s">
        <v>76</v>
      </c>
      <c r="B5456">
        <v>2024</v>
      </c>
      <c r="C5456" t="s">
        <v>6</v>
      </c>
      <c r="D5456" s="35">
        <v>209807128.94999999</v>
      </c>
      <c r="E5456" s="35">
        <v>2531296</v>
      </c>
      <c r="F5456" s="35">
        <v>137392841.03</v>
      </c>
    </row>
    <row r="5457" spans="1:6" x14ac:dyDescent="0.3">
      <c r="A5457" t="s">
        <v>76</v>
      </c>
      <c r="B5457">
        <v>2024</v>
      </c>
      <c r="C5457" t="s">
        <v>15</v>
      </c>
      <c r="D5457" s="35">
        <v>63105529.140000001</v>
      </c>
      <c r="E5457" s="35">
        <v>509402</v>
      </c>
      <c r="F5457" s="35">
        <v>21685859.890000001</v>
      </c>
    </row>
    <row r="5458" spans="1:6" x14ac:dyDescent="0.3">
      <c r="A5458" t="s">
        <v>76</v>
      </c>
      <c r="B5458">
        <v>2024</v>
      </c>
      <c r="C5458" t="s">
        <v>18</v>
      </c>
      <c r="D5458" s="35">
        <v>12232290.960000001</v>
      </c>
      <c r="E5458" s="35">
        <v>62790</v>
      </c>
      <c r="F5458" s="35">
        <v>7274738.96</v>
      </c>
    </row>
    <row r="5459" spans="1:6" x14ac:dyDescent="0.3">
      <c r="A5459" t="s">
        <v>76</v>
      </c>
      <c r="B5459">
        <v>2025</v>
      </c>
      <c r="C5459" t="s">
        <v>10</v>
      </c>
      <c r="D5459" s="35">
        <v>117013141.47</v>
      </c>
      <c r="E5459" s="35">
        <v>2813982</v>
      </c>
      <c r="F5459" s="35">
        <v>90409359.140000001</v>
      </c>
    </row>
    <row r="5460" spans="1:6" x14ac:dyDescent="0.3">
      <c r="A5460" t="s">
        <v>76</v>
      </c>
      <c r="B5460">
        <v>2025</v>
      </c>
      <c r="C5460" t="s">
        <v>4</v>
      </c>
      <c r="D5460" s="35">
        <v>378075948.5800001</v>
      </c>
      <c r="E5460" s="35">
        <v>909672</v>
      </c>
      <c r="F5460" s="35">
        <v>374097934.11000001</v>
      </c>
    </row>
    <row r="5461" spans="1:6" x14ac:dyDescent="0.3">
      <c r="A5461" t="s">
        <v>76</v>
      </c>
      <c r="B5461">
        <v>2025</v>
      </c>
      <c r="C5461" t="s">
        <v>13</v>
      </c>
      <c r="D5461" s="35">
        <v>59701946.31000001</v>
      </c>
      <c r="E5461" s="35">
        <v>847231</v>
      </c>
      <c r="F5461" s="35">
        <v>45133885.039999999</v>
      </c>
    </row>
    <row r="5462" spans="1:6" x14ac:dyDescent="0.3">
      <c r="A5462" t="s">
        <v>76</v>
      </c>
      <c r="B5462">
        <v>2025</v>
      </c>
      <c r="C5462" t="s">
        <v>16</v>
      </c>
      <c r="D5462" s="35">
        <v>37029835.689999998</v>
      </c>
      <c r="E5462" s="35">
        <v>96443</v>
      </c>
      <c r="F5462" s="35">
        <v>34556096.710000001</v>
      </c>
    </row>
    <row r="5463" spans="1:6" x14ac:dyDescent="0.3">
      <c r="A5463" t="s">
        <v>76</v>
      </c>
      <c r="B5463">
        <v>2025</v>
      </c>
      <c r="C5463" t="s">
        <v>14</v>
      </c>
      <c r="D5463" s="35">
        <v>51978629.479999982</v>
      </c>
      <c r="E5463" s="35">
        <v>1248187</v>
      </c>
      <c r="F5463" s="35">
        <v>35818468.370000012</v>
      </c>
    </row>
    <row r="5464" spans="1:6" x14ac:dyDescent="0.3">
      <c r="A5464" t="s">
        <v>76</v>
      </c>
      <c r="B5464">
        <v>2025</v>
      </c>
      <c r="C5464" t="s">
        <v>7</v>
      </c>
      <c r="D5464" s="35">
        <v>129965239.31999999</v>
      </c>
      <c r="E5464" s="35">
        <v>35505</v>
      </c>
      <c r="F5464" s="35">
        <v>128921257.01000001</v>
      </c>
    </row>
    <row r="5465" spans="1:6" x14ac:dyDescent="0.3">
      <c r="A5465" t="s">
        <v>76</v>
      </c>
      <c r="B5465">
        <v>2025</v>
      </c>
      <c r="C5465" t="s">
        <v>11</v>
      </c>
      <c r="D5465" s="35">
        <v>62062106.619999997</v>
      </c>
      <c r="E5465" s="35">
        <v>62578</v>
      </c>
      <c r="F5465" s="35">
        <v>56007657.319999993</v>
      </c>
    </row>
    <row r="5466" spans="1:6" x14ac:dyDescent="0.3">
      <c r="A5466" t="s">
        <v>76</v>
      </c>
      <c r="B5466">
        <v>2025</v>
      </c>
      <c r="C5466" t="s">
        <v>3</v>
      </c>
      <c r="D5466" s="35">
        <v>385999592.89999998</v>
      </c>
      <c r="E5466" s="35">
        <v>788346</v>
      </c>
      <c r="F5466" s="35">
        <v>377716342.51999992</v>
      </c>
    </row>
    <row r="5467" spans="1:6" x14ac:dyDescent="0.3">
      <c r="A5467" t="s">
        <v>76</v>
      </c>
      <c r="B5467">
        <v>2025</v>
      </c>
      <c r="C5467" t="s">
        <v>12</v>
      </c>
      <c r="D5467" s="35">
        <v>74416261.349999994</v>
      </c>
      <c r="E5467" s="35">
        <v>1729676</v>
      </c>
      <c r="F5467" s="35">
        <v>46497065.799999997</v>
      </c>
    </row>
    <row r="5468" spans="1:6" x14ac:dyDescent="0.3">
      <c r="A5468" t="s">
        <v>76</v>
      </c>
      <c r="B5468">
        <v>2025</v>
      </c>
      <c r="C5468" t="s">
        <v>2</v>
      </c>
      <c r="D5468" s="35">
        <v>554488406.44999981</v>
      </c>
      <c r="E5468" s="35">
        <v>4594047</v>
      </c>
      <c r="F5468" s="35">
        <v>479722633.93999988</v>
      </c>
    </row>
    <row r="5469" spans="1:6" x14ac:dyDescent="0.3">
      <c r="A5469" t="s">
        <v>76</v>
      </c>
      <c r="B5469">
        <v>2025</v>
      </c>
      <c r="C5469" t="s">
        <v>5</v>
      </c>
      <c r="D5469" s="35">
        <v>171935462.91</v>
      </c>
      <c r="E5469" s="35">
        <v>83347</v>
      </c>
      <c r="F5469" s="35">
        <v>163618082.97999999</v>
      </c>
    </row>
    <row r="5470" spans="1:6" x14ac:dyDescent="0.3">
      <c r="A5470" t="s">
        <v>76</v>
      </c>
      <c r="B5470">
        <v>2025</v>
      </c>
      <c r="C5470" t="s">
        <v>17</v>
      </c>
      <c r="D5470" s="35">
        <v>8112804.4299999997</v>
      </c>
      <c r="E5470" s="35">
        <v>257894</v>
      </c>
      <c r="F5470" s="35">
        <v>1768022.2</v>
      </c>
    </row>
    <row r="5471" spans="1:6" x14ac:dyDescent="0.3">
      <c r="A5471" t="s">
        <v>76</v>
      </c>
      <c r="B5471">
        <v>2025</v>
      </c>
      <c r="C5471" t="s">
        <v>9</v>
      </c>
      <c r="D5471" s="35">
        <v>155901434.53999999</v>
      </c>
      <c r="E5471" s="35">
        <v>4846178</v>
      </c>
      <c r="F5471" s="35">
        <v>119062007.52</v>
      </c>
    </row>
    <row r="5472" spans="1:6" x14ac:dyDescent="0.3">
      <c r="A5472" t="s">
        <v>76</v>
      </c>
      <c r="B5472">
        <v>2025</v>
      </c>
      <c r="C5472" t="s">
        <v>8</v>
      </c>
      <c r="D5472" s="35">
        <v>112795680.2</v>
      </c>
      <c r="E5472" s="35">
        <v>5151</v>
      </c>
      <c r="F5472" s="35">
        <v>110037226.69</v>
      </c>
    </row>
    <row r="5473" spans="1:6" x14ac:dyDescent="0.3">
      <c r="A5473" t="s">
        <v>76</v>
      </c>
      <c r="B5473">
        <v>2025</v>
      </c>
      <c r="C5473" t="s">
        <v>6</v>
      </c>
      <c r="D5473" s="35">
        <v>163899279.85000011</v>
      </c>
      <c r="E5473" s="35">
        <v>2262200</v>
      </c>
      <c r="F5473" s="35">
        <v>132849101.02</v>
      </c>
    </row>
    <row r="5474" spans="1:6" x14ac:dyDescent="0.3">
      <c r="A5474" t="s">
        <v>76</v>
      </c>
      <c r="B5474">
        <v>2025</v>
      </c>
      <c r="C5474" t="s">
        <v>15</v>
      </c>
      <c r="D5474" s="35">
        <v>28089702.580000009</v>
      </c>
      <c r="E5474" s="35">
        <v>428142</v>
      </c>
      <c r="F5474" s="35">
        <v>15973774.640000001</v>
      </c>
    </row>
    <row r="5475" spans="1:6" x14ac:dyDescent="0.3">
      <c r="A5475" t="s">
        <v>76</v>
      </c>
      <c r="B5475">
        <v>2025</v>
      </c>
      <c r="C5475" t="s">
        <v>18</v>
      </c>
      <c r="D5475" s="35">
        <v>9397672.7700000014</v>
      </c>
      <c r="E5475" s="35">
        <v>58885</v>
      </c>
      <c r="F5475" s="35">
        <v>5607553.3399999999</v>
      </c>
    </row>
    <row r="5476" spans="1:6" x14ac:dyDescent="0.3">
      <c r="A5476" t="s">
        <v>77</v>
      </c>
      <c r="B5476">
        <v>2019</v>
      </c>
      <c r="C5476" t="s">
        <v>10</v>
      </c>
      <c r="D5476" s="35">
        <v>4166270.9499999988</v>
      </c>
      <c r="E5476" s="35">
        <v>119908</v>
      </c>
      <c r="F5476" s="35">
        <v>2344833.61</v>
      </c>
    </row>
    <row r="5477" spans="1:6" x14ac:dyDescent="0.3">
      <c r="A5477" t="s">
        <v>77</v>
      </c>
      <c r="B5477">
        <v>2019</v>
      </c>
      <c r="C5477" t="s">
        <v>4</v>
      </c>
      <c r="D5477" s="35">
        <v>17511405.23</v>
      </c>
      <c r="E5477" s="35">
        <v>33037</v>
      </c>
      <c r="F5477" s="35">
        <v>17333562.84</v>
      </c>
    </row>
    <row r="5478" spans="1:6" x14ac:dyDescent="0.3">
      <c r="A5478" t="s">
        <v>77</v>
      </c>
      <c r="B5478">
        <v>2019</v>
      </c>
      <c r="C5478" t="s">
        <v>13</v>
      </c>
      <c r="D5478" s="35">
        <v>5914162.25</v>
      </c>
      <c r="E5478" s="35">
        <v>50756</v>
      </c>
      <c r="F5478" s="35">
        <v>4372387.34</v>
      </c>
    </row>
    <row r="5479" spans="1:6" x14ac:dyDescent="0.3">
      <c r="A5479" t="s">
        <v>77</v>
      </c>
      <c r="B5479">
        <v>2019</v>
      </c>
      <c r="C5479" t="s">
        <v>16</v>
      </c>
      <c r="D5479" s="35">
        <v>1124630.3899999999</v>
      </c>
      <c r="E5479" s="35">
        <v>4218</v>
      </c>
      <c r="F5479" s="35">
        <v>984796.95999999985</v>
      </c>
    </row>
    <row r="5480" spans="1:6" x14ac:dyDescent="0.3">
      <c r="A5480" t="s">
        <v>77</v>
      </c>
      <c r="B5480">
        <v>2019</v>
      </c>
      <c r="C5480" t="s">
        <v>14</v>
      </c>
      <c r="D5480" s="35">
        <v>3782423.86</v>
      </c>
      <c r="E5480" s="35">
        <v>80541</v>
      </c>
      <c r="F5480" s="35">
        <v>2712915.82</v>
      </c>
    </row>
    <row r="5481" spans="1:6" x14ac:dyDescent="0.3">
      <c r="A5481" t="s">
        <v>77</v>
      </c>
      <c r="B5481">
        <v>2019</v>
      </c>
      <c r="C5481" t="s">
        <v>7</v>
      </c>
      <c r="D5481" s="35">
        <v>3706858.709999999</v>
      </c>
      <c r="E5481" s="35">
        <v>1245</v>
      </c>
      <c r="F5481" s="35">
        <v>3704448.61</v>
      </c>
    </row>
    <row r="5482" spans="1:6" x14ac:dyDescent="0.3">
      <c r="A5482" t="s">
        <v>77</v>
      </c>
      <c r="B5482">
        <v>2019</v>
      </c>
      <c r="C5482" t="s">
        <v>11</v>
      </c>
      <c r="D5482" s="35">
        <v>718252.44000000006</v>
      </c>
      <c r="E5482" s="35">
        <v>4962</v>
      </c>
      <c r="F5482" s="35">
        <v>654371.30000000005</v>
      </c>
    </row>
    <row r="5483" spans="1:6" x14ac:dyDescent="0.3">
      <c r="A5483" t="s">
        <v>77</v>
      </c>
      <c r="B5483">
        <v>2019</v>
      </c>
      <c r="C5483" t="s">
        <v>3</v>
      </c>
      <c r="D5483" s="35">
        <v>18685559.98</v>
      </c>
      <c r="E5483" s="35">
        <v>41708</v>
      </c>
      <c r="F5483" s="35">
        <v>18146499.609999999</v>
      </c>
    </row>
    <row r="5484" spans="1:6" x14ac:dyDescent="0.3">
      <c r="A5484" t="s">
        <v>77</v>
      </c>
      <c r="B5484">
        <v>2019</v>
      </c>
      <c r="C5484" t="s">
        <v>12</v>
      </c>
      <c r="D5484" s="35">
        <v>12474139.359999999</v>
      </c>
      <c r="E5484" s="35">
        <v>125125</v>
      </c>
      <c r="F5484" s="35">
        <v>10161858.390000001</v>
      </c>
    </row>
    <row r="5485" spans="1:6" x14ac:dyDescent="0.3">
      <c r="A5485" t="s">
        <v>77</v>
      </c>
      <c r="B5485">
        <v>2019</v>
      </c>
      <c r="C5485" t="s">
        <v>2</v>
      </c>
      <c r="D5485" s="35">
        <v>38972527.380000003</v>
      </c>
      <c r="E5485" s="35">
        <v>445451</v>
      </c>
      <c r="F5485" s="35">
        <v>31894660.5</v>
      </c>
    </row>
    <row r="5486" spans="1:6" x14ac:dyDescent="0.3">
      <c r="A5486" t="s">
        <v>77</v>
      </c>
      <c r="B5486">
        <v>2019</v>
      </c>
      <c r="C5486" t="s">
        <v>5</v>
      </c>
      <c r="D5486" s="35">
        <v>3174592.870000001</v>
      </c>
      <c r="E5486" s="35">
        <v>2269</v>
      </c>
      <c r="F5486" s="35">
        <v>3138229.87</v>
      </c>
    </row>
    <row r="5487" spans="1:6" x14ac:dyDescent="0.3">
      <c r="A5487" t="s">
        <v>77</v>
      </c>
      <c r="B5487">
        <v>2019</v>
      </c>
      <c r="C5487" t="s">
        <v>17</v>
      </c>
      <c r="D5487" s="35">
        <v>195178.92</v>
      </c>
      <c r="E5487" s="35">
        <v>17104</v>
      </c>
      <c r="F5487" s="35">
        <v>2787.04</v>
      </c>
    </row>
    <row r="5488" spans="1:6" x14ac:dyDescent="0.3">
      <c r="A5488" t="s">
        <v>77</v>
      </c>
      <c r="B5488">
        <v>2019</v>
      </c>
      <c r="C5488" t="s">
        <v>9</v>
      </c>
      <c r="D5488" s="35">
        <v>20304369.260000009</v>
      </c>
      <c r="E5488" s="35">
        <v>322506</v>
      </c>
      <c r="F5488" s="35">
        <v>17918803.100000001</v>
      </c>
    </row>
    <row r="5489" spans="1:6" x14ac:dyDescent="0.3">
      <c r="A5489" t="s">
        <v>77</v>
      </c>
      <c r="B5489">
        <v>2019</v>
      </c>
      <c r="C5489" t="s">
        <v>8</v>
      </c>
      <c r="D5489" s="35">
        <v>4607477.87</v>
      </c>
      <c r="E5489" s="35">
        <v>660</v>
      </c>
      <c r="F5489" s="35">
        <v>4607477.87</v>
      </c>
    </row>
    <row r="5490" spans="1:6" x14ac:dyDescent="0.3">
      <c r="A5490" t="s">
        <v>77</v>
      </c>
      <c r="B5490">
        <v>2019</v>
      </c>
      <c r="C5490" t="s">
        <v>6</v>
      </c>
      <c r="D5490" s="35">
        <v>18288549.260000002</v>
      </c>
      <c r="E5490" s="35">
        <v>164679</v>
      </c>
      <c r="F5490" s="35">
        <v>16989232.120000001</v>
      </c>
    </row>
    <row r="5491" spans="1:6" x14ac:dyDescent="0.3">
      <c r="A5491" t="s">
        <v>77</v>
      </c>
      <c r="B5491">
        <v>2019</v>
      </c>
      <c r="C5491" t="s">
        <v>15</v>
      </c>
      <c r="D5491" s="35">
        <v>4066047.4500000011</v>
      </c>
      <c r="E5491" s="35">
        <v>88763</v>
      </c>
      <c r="F5491" s="35">
        <v>2635278.7999999998</v>
      </c>
    </row>
    <row r="5492" spans="1:6" x14ac:dyDescent="0.3">
      <c r="A5492" t="s">
        <v>77</v>
      </c>
      <c r="B5492">
        <v>2019</v>
      </c>
      <c r="C5492" t="s">
        <v>18</v>
      </c>
      <c r="D5492" s="35">
        <v>472281.37000000011</v>
      </c>
      <c r="E5492" s="35">
        <v>3594</v>
      </c>
      <c r="F5492" s="35">
        <v>416895.34</v>
      </c>
    </row>
    <row r="5493" spans="1:6" x14ac:dyDescent="0.3">
      <c r="A5493" t="s">
        <v>77</v>
      </c>
      <c r="B5493">
        <v>2020</v>
      </c>
      <c r="C5493" t="s">
        <v>10</v>
      </c>
      <c r="D5493" s="35">
        <v>4983702.8099999987</v>
      </c>
      <c r="E5493" s="35">
        <v>133549</v>
      </c>
      <c r="F5493" s="35">
        <v>3076792.96</v>
      </c>
    </row>
    <row r="5494" spans="1:6" x14ac:dyDescent="0.3">
      <c r="A5494" t="s">
        <v>77</v>
      </c>
      <c r="B5494">
        <v>2020</v>
      </c>
      <c r="C5494" t="s">
        <v>4</v>
      </c>
      <c r="D5494" s="35">
        <v>19719743.579999991</v>
      </c>
      <c r="E5494" s="35">
        <v>35531</v>
      </c>
      <c r="F5494" s="35">
        <v>19530445.02</v>
      </c>
    </row>
    <row r="5495" spans="1:6" x14ac:dyDescent="0.3">
      <c r="A5495" t="s">
        <v>77</v>
      </c>
      <c r="B5495">
        <v>2020</v>
      </c>
      <c r="C5495" t="s">
        <v>13</v>
      </c>
      <c r="D5495" s="35">
        <v>5364256.5299999993</v>
      </c>
      <c r="E5495" s="35">
        <v>51069</v>
      </c>
      <c r="F5495" s="35">
        <v>3773344.0099999988</v>
      </c>
    </row>
    <row r="5496" spans="1:6" x14ac:dyDescent="0.3">
      <c r="A5496" t="s">
        <v>77</v>
      </c>
      <c r="B5496">
        <v>2020</v>
      </c>
      <c r="C5496" t="s">
        <v>16</v>
      </c>
      <c r="D5496" s="35">
        <v>858192.54999999993</v>
      </c>
      <c r="E5496" s="35">
        <v>3689</v>
      </c>
      <c r="F5496" s="35">
        <v>764766.62</v>
      </c>
    </row>
    <row r="5497" spans="1:6" x14ac:dyDescent="0.3">
      <c r="A5497" t="s">
        <v>77</v>
      </c>
      <c r="B5497">
        <v>2020</v>
      </c>
      <c r="C5497" t="s">
        <v>14</v>
      </c>
      <c r="D5497" s="35">
        <v>3809965.2400000012</v>
      </c>
      <c r="E5497" s="35">
        <v>88486</v>
      </c>
      <c r="F5497" s="35">
        <v>2599372.5</v>
      </c>
    </row>
    <row r="5498" spans="1:6" x14ac:dyDescent="0.3">
      <c r="A5498" t="s">
        <v>77</v>
      </c>
      <c r="B5498">
        <v>2020</v>
      </c>
      <c r="C5498" t="s">
        <v>7</v>
      </c>
      <c r="D5498" s="35">
        <v>4083776.75</v>
      </c>
      <c r="E5498" s="35">
        <v>1154</v>
      </c>
      <c r="F5498" s="35">
        <v>4017880.11</v>
      </c>
    </row>
    <row r="5499" spans="1:6" x14ac:dyDescent="0.3">
      <c r="A5499" t="s">
        <v>77</v>
      </c>
      <c r="B5499">
        <v>2020</v>
      </c>
      <c r="C5499" t="s">
        <v>11</v>
      </c>
      <c r="D5499" s="35">
        <v>817715.92999999993</v>
      </c>
      <c r="E5499" s="35">
        <v>4581</v>
      </c>
      <c r="F5499" s="35">
        <v>742813.28</v>
      </c>
    </row>
    <row r="5500" spans="1:6" x14ac:dyDescent="0.3">
      <c r="A5500" t="s">
        <v>77</v>
      </c>
      <c r="B5500">
        <v>2020</v>
      </c>
      <c r="C5500" t="s">
        <v>3</v>
      </c>
      <c r="D5500" s="35">
        <v>20267833.010000002</v>
      </c>
      <c r="E5500" s="35">
        <v>36392</v>
      </c>
      <c r="F5500" s="35">
        <v>19753725.75999999</v>
      </c>
    </row>
    <row r="5501" spans="1:6" x14ac:dyDescent="0.3">
      <c r="A5501" t="s">
        <v>77</v>
      </c>
      <c r="B5501">
        <v>2020</v>
      </c>
      <c r="C5501" t="s">
        <v>12</v>
      </c>
      <c r="D5501" s="35">
        <v>9114624.9300000016</v>
      </c>
      <c r="E5501" s="35">
        <v>101873</v>
      </c>
      <c r="F5501" s="35">
        <v>7179961.3600000003</v>
      </c>
    </row>
    <row r="5502" spans="1:6" x14ac:dyDescent="0.3">
      <c r="A5502" t="s">
        <v>77</v>
      </c>
      <c r="B5502">
        <v>2020</v>
      </c>
      <c r="C5502" t="s">
        <v>2</v>
      </c>
      <c r="D5502" s="35">
        <v>35796120.709999993</v>
      </c>
      <c r="E5502" s="35">
        <v>454216</v>
      </c>
      <c r="F5502" s="35">
        <v>28795295.170000002</v>
      </c>
    </row>
    <row r="5503" spans="1:6" x14ac:dyDescent="0.3">
      <c r="A5503" t="s">
        <v>77</v>
      </c>
      <c r="B5503">
        <v>2020</v>
      </c>
      <c r="C5503" t="s">
        <v>5</v>
      </c>
      <c r="D5503" s="35">
        <v>3624257.7800000012</v>
      </c>
      <c r="E5503" s="35">
        <v>2190</v>
      </c>
      <c r="F5503" s="35">
        <v>3591472.66</v>
      </c>
    </row>
    <row r="5504" spans="1:6" x14ac:dyDescent="0.3">
      <c r="A5504" t="s">
        <v>77</v>
      </c>
      <c r="B5504">
        <v>2020</v>
      </c>
      <c r="C5504" t="s">
        <v>17</v>
      </c>
      <c r="D5504" s="35">
        <v>234095.65</v>
      </c>
      <c r="E5504" s="35">
        <v>17814</v>
      </c>
      <c r="F5504" s="35">
        <v>20973.7</v>
      </c>
    </row>
    <row r="5505" spans="1:6" x14ac:dyDescent="0.3">
      <c r="A5505" t="s">
        <v>77</v>
      </c>
      <c r="B5505">
        <v>2020</v>
      </c>
      <c r="C5505" t="s">
        <v>9</v>
      </c>
      <c r="D5505" s="35">
        <v>16955332.620000001</v>
      </c>
      <c r="E5505" s="35">
        <v>316568</v>
      </c>
      <c r="F5505" s="35">
        <v>14572228.77</v>
      </c>
    </row>
    <row r="5506" spans="1:6" x14ac:dyDescent="0.3">
      <c r="A5506" t="s">
        <v>77</v>
      </c>
      <c r="B5506">
        <v>2020</v>
      </c>
      <c r="C5506" t="s">
        <v>8</v>
      </c>
      <c r="D5506" s="35">
        <v>6008402.8499999996</v>
      </c>
      <c r="E5506" s="35">
        <v>635</v>
      </c>
      <c r="F5506" s="35">
        <v>6008402.8499999996</v>
      </c>
    </row>
    <row r="5507" spans="1:6" x14ac:dyDescent="0.3">
      <c r="A5507" t="s">
        <v>77</v>
      </c>
      <c r="B5507">
        <v>2020</v>
      </c>
      <c r="C5507" t="s">
        <v>6</v>
      </c>
      <c r="D5507" s="35">
        <v>18520775.989999998</v>
      </c>
      <c r="E5507" s="35">
        <v>166708</v>
      </c>
      <c r="F5507" s="35">
        <v>16971468.199999999</v>
      </c>
    </row>
    <row r="5508" spans="1:6" x14ac:dyDescent="0.3">
      <c r="A5508" t="s">
        <v>77</v>
      </c>
      <c r="B5508">
        <v>2020</v>
      </c>
      <c r="C5508" t="s">
        <v>15</v>
      </c>
      <c r="D5508" s="35">
        <v>3038823.32</v>
      </c>
      <c r="E5508" s="35">
        <v>69213</v>
      </c>
      <c r="F5508" s="35">
        <v>1893506.78</v>
      </c>
    </row>
    <row r="5509" spans="1:6" x14ac:dyDescent="0.3">
      <c r="A5509" t="s">
        <v>77</v>
      </c>
      <c r="B5509">
        <v>2020</v>
      </c>
      <c r="C5509" t="s">
        <v>18</v>
      </c>
      <c r="D5509" s="35">
        <v>526428.9</v>
      </c>
      <c r="E5509" s="35">
        <v>3381</v>
      </c>
      <c r="F5509" s="35">
        <v>481305.18999999989</v>
      </c>
    </row>
    <row r="5510" spans="1:6" x14ac:dyDescent="0.3">
      <c r="A5510" t="s">
        <v>77</v>
      </c>
      <c r="B5510">
        <v>2021</v>
      </c>
      <c r="C5510" t="s">
        <v>10</v>
      </c>
      <c r="D5510" s="35">
        <v>6800464.9800000014</v>
      </c>
      <c r="E5510" s="35">
        <v>158255</v>
      </c>
      <c r="F5510" s="35">
        <v>4654340.7300000004</v>
      </c>
    </row>
    <row r="5511" spans="1:6" x14ac:dyDescent="0.3">
      <c r="A5511" t="s">
        <v>77</v>
      </c>
      <c r="B5511">
        <v>2021</v>
      </c>
      <c r="C5511" t="s">
        <v>4</v>
      </c>
      <c r="D5511" s="35">
        <v>26877796.489999998</v>
      </c>
      <c r="E5511" s="35">
        <v>43900</v>
      </c>
      <c r="F5511" s="35">
        <v>26652405.27</v>
      </c>
    </row>
    <row r="5512" spans="1:6" x14ac:dyDescent="0.3">
      <c r="A5512" t="s">
        <v>77</v>
      </c>
      <c r="B5512">
        <v>2021</v>
      </c>
      <c r="C5512" t="s">
        <v>13</v>
      </c>
      <c r="D5512" s="35">
        <v>5273059.4999999981</v>
      </c>
      <c r="E5512" s="35">
        <v>59133</v>
      </c>
      <c r="F5512" s="35">
        <v>3438974.71</v>
      </c>
    </row>
    <row r="5513" spans="1:6" x14ac:dyDescent="0.3">
      <c r="A5513" t="s">
        <v>77</v>
      </c>
      <c r="B5513">
        <v>2021</v>
      </c>
      <c r="C5513" t="s">
        <v>16</v>
      </c>
      <c r="D5513" s="35">
        <v>1169118.28</v>
      </c>
      <c r="E5513" s="35">
        <v>5101</v>
      </c>
      <c r="F5513" s="35">
        <v>1002630.96</v>
      </c>
    </row>
    <row r="5514" spans="1:6" x14ac:dyDescent="0.3">
      <c r="A5514" t="s">
        <v>77</v>
      </c>
      <c r="B5514">
        <v>2021</v>
      </c>
      <c r="C5514" t="s">
        <v>14</v>
      </c>
      <c r="D5514" s="35">
        <v>4553490.16</v>
      </c>
      <c r="E5514" s="35">
        <v>100438</v>
      </c>
      <c r="F5514" s="35">
        <v>3150992.42</v>
      </c>
    </row>
    <row r="5515" spans="1:6" x14ac:dyDescent="0.3">
      <c r="A5515" t="s">
        <v>77</v>
      </c>
      <c r="B5515">
        <v>2021</v>
      </c>
      <c r="C5515" t="s">
        <v>7</v>
      </c>
      <c r="D5515" s="35">
        <v>3850816.63</v>
      </c>
      <c r="E5515" s="35">
        <v>1076</v>
      </c>
      <c r="F5515" s="35">
        <v>3723372.23</v>
      </c>
    </row>
    <row r="5516" spans="1:6" x14ac:dyDescent="0.3">
      <c r="A5516" t="s">
        <v>77</v>
      </c>
      <c r="B5516">
        <v>2021</v>
      </c>
      <c r="C5516" t="s">
        <v>11</v>
      </c>
      <c r="D5516" s="35">
        <v>898856.00999999989</v>
      </c>
      <c r="E5516" s="35">
        <v>5625</v>
      </c>
      <c r="F5516" s="35">
        <v>812071.81</v>
      </c>
    </row>
    <row r="5517" spans="1:6" x14ac:dyDescent="0.3">
      <c r="A5517" t="s">
        <v>77</v>
      </c>
      <c r="B5517">
        <v>2021</v>
      </c>
      <c r="C5517" t="s">
        <v>3</v>
      </c>
      <c r="D5517" s="35">
        <v>26416479.23</v>
      </c>
      <c r="E5517" s="35">
        <v>41685</v>
      </c>
      <c r="F5517" s="35">
        <v>25815419.68</v>
      </c>
    </row>
    <row r="5518" spans="1:6" x14ac:dyDescent="0.3">
      <c r="A5518" t="s">
        <v>77</v>
      </c>
      <c r="B5518">
        <v>2021</v>
      </c>
      <c r="C5518" t="s">
        <v>12</v>
      </c>
      <c r="D5518" s="35">
        <v>7019949.629999999</v>
      </c>
      <c r="E5518" s="35">
        <v>104602</v>
      </c>
      <c r="F5518" s="35">
        <v>5336212.67</v>
      </c>
    </row>
    <row r="5519" spans="1:6" x14ac:dyDescent="0.3">
      <c r="A5519" t="s">
        <v>77</v>
      </c>
      <c r="B5519">
        <v>2021</v>
      </c>
      <c r="C5519" t="s">
        <v>2</v>
      </c>
      <c r="D5519" s="35">
        <v>41419866.260000013</v>
      </c>
      <c r="E5519" s="35">
        <v>509871</v>
      </c>
      <c r="F5519" s="35">
        <v>33952634.789999999</v>
      </c>
    </row>
    <row r="5520" spans="1:6" x14ac:dyDescent="0.3">
      <c r="A5520" t="s">
        <v>77</v>
      </c>
      <c r="B5520">
        <v>2021</v>
      </c>
      <c r="C5520" t="s">
        <v>5</v>
      </c>
      <c r="D5520" s="35">
        <v>2565887.63</v>
      </c>
      <c r="E5520" s="35">
        <v>2602</v>
      </c>
      <c r="F5520" s="35">
        <v>2510026.4700000002</v>
      </c>
    </row>
    <row r="5521" spans="1:6" x14ac:dyDescent="0.3">
      <c r="A5521" t="s">
        <v>77</v>
      </c>
      <c r="B5521">
        <v>2021</v>
      </c>
      <c r="C5521" t="s">
        <v>17</v>
      </c>
      <c r="D5521" s="35">
        <v>251445.91</v>
      </c>
      <c r="E5521" s="35">
        <v>18642</v>
      </c>
      <c r="F5521" s="35">
        <v>26701.52</v>
      </c>
    </row>
    <row r="5522" spans="1:6" x14ac:dyDescent="0.3">
      <c r="A5522" t="s">
        <v>77</v>
      </c>
      <c r="B5522">
        <v>2021</v>
      </c>
      <c r="C5522" t="s">
        <v>9</v>
      </c>
      <c r="D5522" s="35">
        <v>27132359.629999999</v>
      </c>
      <c r="E5522" s="35">
        <v>334416</v>
      </c>
      <c r="F5522" s="35">
        <v>24442213.789999999</v>
      </c>
    </row>
    <row r="5523" spans="1:6" x14ac:dyDescent="0.3">
      <c r="A5523" t="s">
        <v>77</v>
      </c>
      <c r="B5523">
        <v>2021</v>
      </c>
      <c r="C5523" t="s">
        <v>8</v>
      </c>
      <c r="D5523" s="35">
        <v>5661106.7699999996</v>
      </c>
      <c r="E5523" s="35">
        <v>591</v>
      </c>
      <c r="F5523" s="35">
        <v>5661106.7699999996</v>
      </c>
    </row>
    <row r="5524" spans="1:6" x14ac:dyDescent="0.3">
      <c r="A5524" t="s">
        <v>77</v>
      </c>
      <c r="B5524">
        <v>2021</v>
      </c>
      <c r="C5524" t="s">
        <v>6</v>
      </c>
      <c r="D5524" s="35">
        <v>22975940.640000001</v>
      </c>
      <c r="E5524" s="35">
        <v>178579</v>
      </c>
      <c r="F5524" s="35">
        <v>21556069.620000008</v>
      </c>
    </row>
    <row r="5525" spans="1:6" x14ac:dyDescent="0.3">
      <c r="A5525" t="s">
        <v>77</v>
      </c>
      <c r="B5525">
        <v>2021</v>
      </c>
      <c r="C5525" t="s">
        <v>15</v>
      </c>
      <c r="D5525" s="35">
        <v>3399197.1800000011</v>
      </c>
      <c r="E5525" s="35">
        <v>68451</v>
      </c>
      <c r="F5525" s="35">
        <v>2130895.34</v>
      </c>
    </row>
    <row r="5526" spans="1:6" x14ac:dyDescent="0.3">
      <c r="A5526" t="s">
        <v>77</v>
      </c>
      <c r="B5526">
        <v>2021</v>
      </c>
      <c r="C5526" t="s">
        <v>18</v>
      </c>
      <c r="D5526" s="35">
        <v>637726.47000000009</v>
      </c>
      <c r="E5526" s="35">
        <v>4197</v>
      </c>
      <c r="F5526" s="35">
        <v>581292.23</v>
      </c>
    </row>
    <row r="5527" spans="1:6" x14ac:dyDescent="0.3">
      <c r="A5527" t="s">
        <v>77</v>
      </c>
      <c r="B5527">
        <v>2022</v>
      </c>
      <c r="C5527" t="s">
        <v>10</v>
      </c>
      <c r="D5527" s="35">
        <v>7799506.419999999</v>
      </c>
      <c r="E5527" s="35">
        <v>165851</v>
      </c>
      <c r="F5527" s="35">
        <v>5624114.4900000002</v>
      </c>
    </row>
    <row r="5528" spans="1:6" x14ac:dyDescent="0.3">
      <c r="A5528" t="s">
        <v>77</v>
      </c>
      <c r="B5528">
        <v>2022</v>
      </c>
      <c r="C5528" t="s">
        <v>4</v>
      </c>
      <c r="D5528" s="35">
        <v>31992909.690000009</v>
      </c>
      <c r="E5528" s="35">
        <v>47787</v>
      </c>
      <c r="F5528" s="35">
        <v>31776396.280000001</v>
      </c>
    </row>
    <row r="5529" spans="1:6" x14ac:dyDescent="0.3">
      <c r="A5529" t="s">
        <v>77</v>
      </c>
      <c r="B5529">
        <v>2022</v>
      </c>
      <c r="C5529" t="s">
        <v>13</v>
      </c>
      <c r="D5529" s="35">
        <v>5670376.75</v>
      </c>
      <c r="E5529" s="35">
        <v>59540</v>
      </c>
      <c r="F5529" s="35">
        <v>3830157.32</v>
      </c>
    </row>
    <row r="5530" spans="1:6" x14ac:dyDescent="0.3">
      <c r="A5530" t="s">
        <v>77</v>
      </c>
      <c r="B5530">
        <v>2022</v>
      </c>
      <c r="C5530" t="s">
        <v>16</v>
      </c>
      <c r="D5530" s="35">
        <v>1016349.12</v>
      </c>
      <c r="E5530" s="35">
        <v>4804</v>
      </c>
      <c r="F5530" s="35">
        <v>882771.74</v>
      </c>
    </row>
    <row r="5531" spans="1:6" x14ac:dyDescent="0.3">
      <c r="A5531" t="s">
        <v>77</v>
      </c>
      <c r="B5531">
        <v>2022</v>
      </c>
      <c r="C5531" t="s">
        <v>14</v>
      </c>
      <c r="D5531" s="35">
        <v>4782054.7799999993</v>
      </c>
      <c r="E5531" s="35">
        <v>102599</v>
      </c>
      <c r="F5531" s="35">
        <v>3362950.13</v>
      </c>
    </row>
    <row r="5532" spans="1:6" x14ac:dyDescent="0.3">
      <c r="A5532" t="s">
        <v>77</v>
      </c>
      <c r="B5532">
        <v>2022</v>
      </c>
      <c r="C5532" t="s">
        <v>7</v>
      </c>
      <c r="D5532" s="35">
        <v>3636544.15</v>
      </c>
      <c r="E5532" s="35">
        <v>1011</v>
      </c>
      <c r="F5532" s="35">
        <v>3629664.56</v>
      </c>
    </row>
    <row r="5533" spans="1:6" x14ac:dyDescent="0.3">
      <c r="A5533" t="s">
        <v>77</v>
      </c>
      <c r="B5533">
        <v>2022</v>
      </c>
      <c r="C5533" t="s">
        <v>11</v>
      </c>
      <c r="D5533" s="35">
        <v>758920.58</v>
      </c>
      <c r="E5533" s="35">
        <v>6763</v>
      </c>
      <c r="F5533" s="35">
        <v>671338.83</v>
      </c>
    </row>
    <row r="5534" spans="1:6" x14ac:dyDescent="0.3">
      <c r="A5534" t="s">
        <v>77</v>
      </c>
      <c r="B5534">
        <v>2022</v>
      </c>
      <c r="C5534" t="s">
        <v>3</v>
      </c>
      <c r="D5534" s="35">
        <v>28581999.16</v>
      </c>
      <c r="E5534" s="35">
        <v>45465</v>
      </c>
      <c r="F5534" s="35">
        <v>27915483.370000001</v>
      </c>
    </row>
    <row r="5535" spans="1:6" x14ac:dyDescent="0.3">
      <c r="A5535" t="s">
        <v>77</v>
      </c>
      <c r="B5535">
        <v>2022</v>
      </c>
      <c r="C5535" t="s">
        <v>12</v>
      </c>
      <c r="D5535" s="35">
        <v>7502640.8400000017</v>
      </c>
      <c r="E5535" s="35">
        <v>124354</v>
      </c>
      <c r="F5535" s="35">
        <v>5547849.9100000001</v>
      </c>
    </row>
    <row r="5536" spans="1:6" x14ac:dyDescent="0.3">
      <c r="A5536" t="s">
        <v>77</v>
      </c>
      <c r="B5536">
        <v>2022</v>
      </c>
      <c r="C5536" t="s">
        <v>2</v>
      </c>
      <c r="D5536" s="35">
        <v>40695721.229999997</v>
      </c>
      <c r="E5536" s="35">
        <v>517707</v>
      </c>
      <c r="F5536" s="35">
        <v>33005259.789999999</v>
      </c>
    </row>
    <row r="5537" spans="1:6" x14ac:dyDescent="0.3">
      <c r="A5537" t="s">
        <v>77</v>
      </c>
      <c r="B5537">
        <v>2022</v>
      </c>
      <c r="C5537" t="s">
        <v>5</v>
      </c>
      <c r="D5537" s="35">
        <v>2581326.5</v>
      </c>
      <c r="E5537" s="35">
        <v>2394</v>
      </c>
      <c r="F5537" s="35">
        <v>2545481.0699999989</v>
      </c>
    </row>
    <row r="5538" spans="1:6" x14ac:dyDescent="0.3">
      <c r="A5538" t="s">
        <v>77</v>
      </c>
      <c r="B5538">
        <v>2022</v>
      </c>
      <c r="C5538" t="s">
        <v>17</v>
      </c>
      <c r="D5538" s="35">
        <v>256880.82000000009</v>
      </c>
      <c r="E5538" s="35">
        <v>18687</v>
      </c>
      <c r="F5538" s="35">
        <v>36125.769999999997</v>
      </c>
    </row>
    <row r="5539" spans="1:6" x14ac:dyDescent="0.3">
      <c r="A5539" t="s">
        <v>77</v>
      </c>
      <c r="B5539">
        <v>2022</v>
      </c>
      <c r="C5539" t="s">
        <v>9</v>
      </c>
      <c r="D5539" s="35">
        <v>26779733.629999999</v>
      </c>
      <c r="E5539" s="35">
        <v>276651</v>
      </c>
      <c r="F5539" s="35">
        <v>23593583.449999999</v>
      </c>
    </row>
    <row r="5540" spans="1:6" x14ac:dyDescent="0.3">
      <c r="A5540" t="s">
        <v>77</v>
      </c>
      <c r="B5540">
        <v>2022</v>
      </c>
      <c r="C5540" t="s">
        <v>8</v>
      </c>
      <c r="D5540" s="35">
        <v>5386265.8899999987</v>
      </c>
      <c r="E5540" s="35">
        <v>471</v>
      </c>
      <c r="F5540" s="35">
        <v>5386265.8899999987</v>
      </c>
    </row>
    <row r="5541" spans="1:6" x14ac:dyDescent="0.3">
      <c r="A5541" t="s">
        <v>77</v>
      </c>
      <c r="B5541">
        <v>2022</v>
      </c>
      <c r="C5541" t="s">
        <v>6</v>
      </c>
      <c r="D5541" s="35">
        <v>24623078.129999999</v>
      </c>
      <c r="E5541" s="35">
        <v>192208</v>
      </c>
      <c r="F5541" s="35">
        <v>23068701.300000001</v>
      </c>
    </row>
    <row r="5542" spans="1:6" x14ac:dyDescent="0.3">
      <c r="A5542" t="s">
        <v>77</v>
      </c>
      <c r="B5542">
        <v>2022</v>
      </c>
      <c r="C5542" t="s">
        <v>15</v>
      </c>
      <c r="D5542" s="35">
        <v>2603652.67</v>
      </c>
      <c r="E5542" s="35">
        <v>60133</v>
      </c>
      <c r="F5542" s="35">
        <v>1562797.02</v>
      </c>
    </row>
    <row r="5543" spans="1:6" x14ac:dyDescent="0.3">
      <c r="A5543" t="s">
        <v>77</v>
      </c>
      <c r="B5543">
        <v>2022</v>
      </c>
      <c r="C5543" t="s">
        <v>18</v>
      </c>
      <c r="D5543" s="35">
        <v>795321.13</v>
      </c>
      <c r="E5543" s="35">
        <v>4647</v>
      </c>
      <c r="F5543" s="35">
        <v>738619.73</v>
      </c>
    </row>
    <row r="5544" spans="1:6" x14ac:dyDescent="0.3">
      <c r="A5544" t="s">
        <v>77</v>
      </c>
      <c r="B5544">
        <v>2023</v>
      </c>
      <c r="C5544" t="s">
        <v>10</v>
      </c>
      <c r="D5544" s="35">
        <v>8711995.7699999996</v>
      </c>
      <c r="E5544" s="35">
        <v>169428</v>
      </c>
      <c r="F5544" s="35">
        <v>6479658.3699999992</v>
      </c>
    </row>
    <row r="5545" spans="1:6" x14ac:dyDescent="0.3">
      <c r="A5545" t="s">
        <v>77</v>
      </c>
      <c r="B5545">
        <v>2023</v>
      </c>
      <c r="C5545" t="s">
        <v>4</v>
      </c>
      <c r="D5545" s="35">
        <v>36463466.969999999</v>
      </c>
      <c r="E5545" s="35">
        <v>50077</v>
      </c>
      <c r="F5545" s="35">
        <v>36253279.619999997</v>
      </c>
    </row>
    <row r="5546" spans="1:6" x14ac:dyDescent="0.3">
      <c r="A5546" t="s">
        <v>77</v>
      </c>
      <c r="B5546">
        <v>2023</v>
      </c>
      <c r="C5546" t="s">
        <v>13</v>
      </c>
      <c r="D5546" s="35">
        <v>4820416.4999999991</v>
      </c>
      <c r="E5546" s="35">
        <v>60867</v>
      </c>
      <c r="F5546" s="35">
        <v>3019478.76</v>
      </c>
    </row>
    <row r="5547" spans="1:6" x14ac:dyDescent="0.3">
      <c r="A5547" t="s">
        <v>77</v>
      </c>
      <c r="B5547">
        <v>2023</v>
      </c>
      <c r="C5547" t="s">
        <v>16</v>
      </c>
      <c r="D5547" s="35">
        <v>1490811.48</v>
      </c>
      <c r="E5547" s="35">
        <v>5514</v>
      </c>
      <c r="F5547" s="35">
        <v>1374585.26</v>
      </c>
    </row>
    <row r="5548" spans="1:6" x14ac:dyDescent="0.3">
      <c r="A5548" t="s">
        <v>77</v>
      </c>
      <c r="B5548">
        <v>2023</v>
      </c>
      <c r="C5548" t="s">
        <v>14</v>
      </c>
      <c r="D5548" s="35">
        <v>4672485.3899999997</v>
      </c>
      <c r="E5548" s="35">
        <v>103474</v>
      </c>
      <c r="F5548" s="35">
        <v>3201687.26</v>
      </c>
    </row>
    <row r="5549" spans="1:6" x14ac:dyDescent="0.3">
      <c r="A5549" t="s">
        <v>77</v>
      </c>
      <c r="B5549">
        <v>2023</v>
      </c>
      <c r="C5549" t="s">
        <v>7</v>
      </c>
      <c r="D5549" s="35">
        <v>3232721.75</v>
      </c>
      <c r="E5549" s="35">
        <v>882</v>
      </c>
      <c r="F5549" s="35">
        <v>3224100.97</v>
      </c>
    </row>
    <row r="5550" spans="1:6" x14ac:dyDescent="0.3">
      <c r="A5550" t="s">
        <v>77</v>
      </c>
      <c r="B5550">
        <v>2023</v>
      </c>
      <c r="C5550" t="s">
        <v>11</v>
      </c>
      <c r="D5550" s="35">
        <v>2425766.63</v>
      </c>
      <c r="E5550" s="35">
        <v>7234</v>
      </c>
      <c r="F5550" s="35">
        <v>2329428.36</v>
      </c>
    </row>
    <row r="5551" spans="1:6" x14ac:dyDescent="0.3">
      <c r="A5551" t="s">
        <v>77</v>
      </c>
      <c r="B5551">
        <v>2023</v>
      </c>
      <c r="C5551" t="s">
        <v>3</v>
      </c>
      <c r="D5551" s="35">
        <v>31874733.98</v>
      </c>
      <c r="E5551" s="35">
        <v>46532</v>
      </c>
      <c r="F5551" s="35">
        <v>31229647.09</v>
      </c>
    </row>
    <row r="5552" spans="1:6" x14ac:dyDescent="0.3">
      <c r="A5552" t="s">
        <v>77</v>
      </c>
      <c r="B5552">
        <v>2023</v>
      </c>
      <c r="C5552" t="s">
        <v>12</v>
      </c>
      <c r="D5552" s="35">
        <v>6637324.2900000019</v>
      </c>
      <c r="E5552" s="35">
        <v>136170</v>
      </c>
      <c r="F5552" s="35">
        <v>4522418.2899999991</v>
      </c>
    </row>
    <row r="5553" spans="1:6" x14ac:dyDescent="0.3">
      <c r="A5553" t="s">
        <v>77</v>
      </c>
      <c r="B5553">
        <v>2023</v>
      </c>
      <c r="C5553" t="s">
        <v>2</v>
      </c>
      <c r="D5553" s="35">
        <v>43953590.760000013</v>
      </c>
      <c r="E5553" s="35">
        <v>520037</v>
      </c>
      <c r="F5553" s="35">
        <v>36225071.509999998</v>
      </c>
    </row>
    <row r="5554" spans="1:6" x14ac:dyDescent="0.3">
      <c r="A5554" t="s">
        <v>77</v>
      </c>
      <c r="B5554">
        <v>2023</v>
      </c>
      <c r="C5554" t="s">
        <v>5</v>
      </c>
      <c r="D5554" s="35">
        <v>2008241.32</v>
      </c>
      <c r="E5554" s="35">
        <v>2002</v>
      </c>
      <c r="F5554" s="35">
        <v>1968809.22</v>
      </c>
    </row>
    <row r="5555" spans="1:6" x14ac:dyDescent="0.3">
      <c r="A5555" t="s">
        <v>77</v>
      </c>
      <c r="B5555">
        <v>2023</v>
      </c>
      <c r="C5555" t="s">
        <v>17</v>
      </c>
      <c r="D5555" s="35">
        <v>209419.96999999991</v>
      </c>
      <c r="E5555" s="35">
        <v>18413</v>
      </c>
      <c r="F5555" s="35">
        <v>11176.88</v>
      </c>
    </row>
    <row r="5556" spans="1:6" x14ac:dyDescent="0.3">
      <c r="A5556" t="s">
        <v>77</v>
      </c>
      <c r="B5556">
        <v>2023</v>
      </c>
      <c r="C5556" t="s">
        <v>9</v>
      </c>
      <c r="D5556" s="35">
        <v>25929696.399999991</v>
      </c>
      <c r="E5556" s="35">
        <v>239424</v>
      </c>
      <c r="F5556" s="35">
        <v>22574947.09</v>
      </c>
    </row>
    <row r="5557" spans="1:6" x14ac:dyDescent="0.3">
      <c r="A5557" t="s">
        <v>77</v>
      </c>
      <c r="B5557">
        <v>2023</v>
      </c>
      <c r="C5557" t="s">
        <v>8</v>
      </c>
      <c r="D5557" s="35">
        <v>4658757.71</v>
      </c>
      <c r="E5557" s="35">
        <v>440</v>
      </c>
      <c r="F5557" s="35">
        <v>4658757.71</v>
      </c>
    </row>
    <row r="5558" spans="1:6" x14ac:dyDescent="0.3">
      <c r="A5558" t="s">
        <v>77</v>
      </c>
      <c r="B5558">
        <v>2023</v>
      </c>
      <c r="C5558" t="s">
        <v>6</v>
      </c>
      <c r="D5558" s="35">
        <v>24074604.710000001</v>
      </c>
      <c r="E5558" s="35">
        <v>182637</v>
      </c>
      <c r="F5558" s="35">
        <v>22646011.969999999</v>
      </c>
    </row>
    <row r="5559" spans="1:6" x14ac:dyDescent="0.3">
      <c r="A5559" t="s">
        <v>77</v>
      </c>
      <c r="B5559">
        <v>2023</v>
      </c>
      <c r="C5559" t="s">
        <v>15</v>
      </c>
      <c r="D5559" s="35">
        <v>1695416.35</v>
      </c>
      <c r="E5559" s="35">
        <v>47363</v>
      </c>
      <c r="F5559" s="35">
        <v>793815.99000000011</v>
      </c>
    </row>
    <row r="5560" spans="1:6" x14ac:dyDescent="0.3">
      <c r="A5560" t="s">
        <v>77</v>
      </c>
      <c r="B5560">
        <v>2023</v>
      </c>
      <c r="C5560" t="s">
        <v>18</v>
      </c>
      <c r="D5560" s="35">
        <v>927106.91</v>
      </c>
      <c r="E5560" s="35">
        <v>3790</v>
      </c>
      <c r="F5560" s="35">
        <v>886398.20999999985</v>
      </c>
    </row>
    <row r="5561" spans="1:6" x14ac:dyDescent="0.3">
      <c r="A5561" t="s">
        <v>77</v>
      </c>
      <c r="B5561">
        <v>2024</v>
      </c>
      <c r="C5561" t="s">
        <v>10</v>
      </c>
      <c r="D5561" s="35">
        <v>7901529.9099999983</v>
      </c>
      <c r="E5561" s="35">
        <v>155222</v>
      </c>
      <c r="F5561" s="35">
        <v>5855885.3200000012</v>
      </c>
    </row>
    <row r="5562" spans="1:6" x14ac:dyDescent="0.3">
      <c r="A5562" t="s">
        <v>77</v>
      </c>
      <c r="B5562">
        <v>2024</v>
      </c>
      <c r="C5562" t="s">
        <v>4</v>
      </c>
      <c r="D5562" s="35">
        <v>27977087.370000001</v>
      </c>
      <c r="E5562" s="35">
        <v>46239</v>
      </c>
      <c r="F5562" s="35">
        <v>27767180.699999999</v>
      </c>
    </row>
    <row r="5563" spans="1:6" x14ac:dyDescent="0.3">
      <c r="A5563" t="s">
        <v>77</v>
      </c>
      <c r="B5563">
        <v>2024</v>
      </c>
      <c r="C5563" t="s">
        <v>13</v>
      </c>
      <c r="D5563" s="35">
        <v>4599097.3100000015</v>
      </c>
      <c r="E5563" s="35">
        <v>56197</v>
      </c>
      <c r="F5563" s="35">
        <v>2883548.290000001</v>
      </c>
    </row>
    <row r="5564" spans="1:6" x14ac:dyDescent="0.3">
      <c r="A5564" t="s">
        <v>77</v>
      </c>
      <c r="B5564">
        <v>2024</v>
      </c>
      <c r="C5564" t="s">
        <v>16</v>
      </c>
      <c r="D5564" s="35">
        <v>1253231.8500000001</v>
      </c>
      <c r="E5564" s="35">
        <v>5166</v>
      </c>
      <c r="F5564" s="35">
        <v>1124088.53</v>
      </c>
    </row>
    <row r="5565" spans="1:6" x14ac:dyDescent="0.3">
      <c r="A5565" t="s">
        <v>77</v>
      </c>
      <c r="B5565">
        <v>2024</v>
      </c>
      <c r="C5565" t="s">
        <v>14</v>
      </c>
      <c r="D5565" s="35">
        <v>4109480.66</v>
      </c>
      <c r="E5565" s="35">
        <v>97360</v>
      </c>
      <c r="F5565" s="35">
        <v>2739225.39</v>
      </c>
    </row>
    <row r="5566" spans="1:6" x14ac:dyDescent="0.3">
      <c r="A5566" t="s">
        <v>77</v>
      </c>
      <c r="B5566">
        <v>2024</v>
      </c>
      <c r="C5566" t="s">
        <v>7</v>
      </c>
      <c r="D5566" s="35">
        <v>3254093.76</v>
      </c>
      <c r="E5566" s="35">
        <v>769</v>
      </c>
      <c r="F5566" s="35">
        <v>3247420.25</v>
      </c>
    </row>
    <row r="5567" spans="1:6" x14ac:dyDescent="0.3">
      <c r="A5567" t="s">
        <v>77</v>
      </c>
      <c r="B5567">
        <v>2024</v>
      </c>
      <c r="C5567" t="s">
        <v>11</v>
      </c>
      <c r="D5567" s="35">
        <v>1060959.42</v>
      </c>
      <c r="E5567" s="35">
        <v>5896</v>
      </c>
      <c r="F5567" s="35">
        <v>990793.99000000011</v>
      </c>
    </row>
    <row r="5568" spans="1:6" x14ac:dyDescent="0.3">
      <c r="A5568" t="s">
        <v>77</v>
      </c>
      <c r="B5568">
        <v>2024</v>
      </c>
      <c r="C5568" t="s">
        <v>3</v>
      </c>
      <c r="D5568" s="35">
        <v>31180089.620000001</v>
      </c>
      <c r="E5568" s="35">
        <v>41636</v>
      </c>
      <c r="F5568" s="35">
        <v>30631635.129999999</v>
      </c>
    </row>
    <row r="5569" spans="1:6" x14ac:dyDescent="0.3">
      <c r="A5569" t="s">
        <v>77</v>
      </c>
      <c r="B5569">
        <v>2024</v>
      </c>
      <c r="C5569" t="s">
        <v>12</v>
      </c>
      <c r="D5569" s="35">
        <v>6784493.6600000001</v>
      </c>
      <c r="E5569" s="35">
        <v>131807</v>
      </c>
      <c r="F5569" s="35">
        <v>4661684.959999999</v>
      </c>
    </row>
    <row r="5570" spans="1:6" x14ac:dyDescent="0.3">
      <c r="A5570" t="s">
        <v>77</v>
      </c>
      <c r="B5570">
        <v>2024</v>
      </c>
      <c r="C5570" t="s">
        <v>2</v>
      </c>
      <c r="D5570" s="35">
        <v>40094550.979999997</v>
      </c>
      <c r="E5570" s="35">
        <v>471357</v>
      </c>
      <c r="F5570" s="35">
        <v>32816399.569999989</v>
      </c>
    </row>
    <row r="5571" spans="1:6" x14ac:dyDescent="0.3">
      <c r="A5571" t="s">
        <v>77</v>
      </c>
      <c r="B5571">
        <v>2024</v>
      </c>
      <c r="C5571" t="s">
        <v>5</v>
      </c>
      <c r="D5571" s="35">
        <v>2631033.17</v>
      </c>
      <c r="E5571" s="35">
        <v>1791</v>
      </c>
      <c r="F5571" s="35">
        <v>2602359.98</v>
      </c>
    </row>
    <row r="5572" spans="1:6" x14ac:dyDescent="0.3">
      <c r="A5572" t="s">
        <v>77</v>
      </c>
      <c r="B5572">
        <v>2024</v>
      </c>
      <c r="C5572" t="s">
        <v>17</v>
      </c>
      <c r="D5572" s="35">
        <v>156211.03</v>
      </c>
      <c r="E5572" s="35">
        <v>14824</v>
      </c>
      <c r="F5572" s="35">
        <v>6566.46</v>
      </c>
    </row>
    <row r="5573" spans="1:6" x14ac:dyDescent="0.3">
      <c r="A5573" t="s">
        <v>77</v>
      </c>
      <c r="B5573">
        <v>2024</v>
      </c>
      <c r="C5573" t="s">
        <v>9</v>
      </c>
      <c r="D5573" s="35">
        <v>21951566.469999999</v>
      </c>
      <c r="E5573" s="35">
        <v>211013</v>
      </c>
      <c r="F5573" s="35">
        <v>18961058.149999999</v>
      </c>
    </row>
    <row r="5574" spans="1:6" x14ac:dyDescent="0.3">
      <c r="A5574" t="s">
        <v>77</v>
      </c>
      <c r="B5574">
        <v>2024</v>
      </c>
      <c r="C5574" t="s">
        <v>8</v>
      </c>
      <c r="D5574" s="35">
        <v>4402783.8099999996</v>
      </c>
      <c r="E5574" s="35">
        <v>354</v>
      </c>
      <c r="F5574" s="35">
        <v>4402783.8099999996</v>
      </c>
    </row>
    <row r="5575" spans="1:6" x14ac:dyDescent="0.3">
      <c r="A5575" t="s">
        <v>77</v>
      </c>
      <c r="B5575">
        <v>2024</v>
      </c>
      <c r="C5575" t="s">
        <v>6</v>
      </c>
      <c r="D5575" s="35">
        <v>16895015.73</v>
      </c>
      <c r="E5575" s="35">
        <v>147221</v>
      </c>
      <c r="F5575" s="35">
        <v>15214432.35</v>
      </c>
    </row>
    <row r="5576" spans="1:6" x14ac:dyDescent="0.3">
      <c r="A5576" t="s">
        <v>77</v>
      </c>
      <c r="B5576">
        <v>2024</v>
      </c>
      <c r="C5576" t="s">
        <v>15</v>
      </c>
      <c r="D5576" s="35">
        <v>2459436.52</v>
      </c>
      <c r="E5576" s="35">
        <v>38062</v>
      </c>
      <c r="F5576" s="35">
        <v>1678362.2</v>
      </c>
    </row>
    <row r="5577" spans="1:6" x14ac:dyDescent="0.3">
      <c r="A5577" t="s">
        <v>77</v>
      </c>
      <c r="B5577">
        <v>2024</v>
      </c>
      <c r="C5577" t="s">
        <v>18</v>
      </c>
      <c r="D5577" s="35">
        <v>812503.78000000014</v>
      </c>
      <c r="E5577" s="35">
        <v>3095</v>
      </c>
      <c r="F5577" s="35">
        <v>761586.97</v>
      </c>
    </row>
    <row r="5578" spans="1:6" x14ac:dyDescent="0.3">
      <c r="A5578" t="s">
        <v>77</v>
      </c>
      <c r="B5578">
        <v>2025</v>
      </c>
      <c r="C5578" t="s">
        <v>10</v>
      </c>
      <c r="D5578" s="35">
        <v>8075147.8399999999</v>
      </c>
      <c r="E5578" s="35">
        <v>150500</v>
      </c>
      <c r="F5578" s="35">
        <v>6118991.9500000011</v>
      </c>
    </row>
    <row r="5579" spans="1:6" x14ac:dyDescent="0.3">
      <c r="A5579" t="s">
        <v>77</v>
      </c>
      <c r="B5579">
        <v>2025</v>
      </c>
      <c r="C5579" t="s">
        <v>4</v>
      </c>
      <c r="D5579" s="35">
        <v>29567604.609999999</v>
      </c>
      <c r="E5579" s="35">
        <v>46653</v>
      </c>
      <c r="F5579" s="35">
        <v>29401115.809999991</v>
      </c>
    </row>
    <row r="5580" spans="1:6" x14ac:dyDescent="0.3">
      <c r="A5580" t="s">
        <v>77</v>
      </c>
      <c r="B5580">
        <v>2025</v>
      </c>
      <c r="C5580" t="s">
        <v>13</v>
      </c>
      <c r="D5580" s="35">
        <v>5202121.42</v>
      </c>
      <c r="E5580" s="35">
        <v>55995</v>
      </c>
      <c r="F5580" s="35">
        <v>3431476.1500000008</v>
      </c>
    </row>
    <row r="5581" spans="1:6" x14ac:dyDescent="0.3">
      <c r="A5581" t="s">
        <v>77</v>
      </c>
      <c r="B5581">
        <v>2025</v>
      </c>
      <c r="C5581" t="s">
        <v>16</v>
      </c>
      <c r="D5581" s="35">
        <v>1283117.04</v>
      </c>
      <c r="E5581" s="35">
        <v>5340</v>
      </c>
      <c r="F5581" s="35">
        <v>1157129.67</v>
      </c>
    </row>
    <row r="5582" spans="1:6" x14ac:dyDescent="0.3">
      <c r="A5582" t="s">
        <v>77</v>
      </c>
      <c r="B5582">
        <v>2025</v>
      </c>
      <c r="C5582" t="s">
        <v>14</v>
      </c>
      <c r="D5582" s="35">
        <v>4503948.8099999987</v>
      </c>
      <c r="E5582" s="35">
        <v>99314</v>
      </c>
      <c r="F5582" s="35">
        <v>3187711.43</v>
      </c>
    </row>
    <row r="5583" spans="1:6" x14ac:dyDescent="0.3">
      <c r="A5583" t="s">
        <v>77</v>
      </c>
      <c r="B5583">
        <v>2025</v>
      </c>
      <c r="C5583" t="s">
        <v>7</v>
      </c>
      <c r="D5583" s="35">
        <v>2763617.86</v>
      </c>
      <c r="E5583" s="35">
        <v>689</v>
      </c>
      <c r="F5583" s="35">
        <v>2753046.84</v>
      </c>
    </row>
    <row r="5584" spans="1:6" x14ac:dyDescent="0.3">
      <c r="A5584" t="s">
        <v>77</v>
      </c>
      <c r="B5584">
        <v>2025</v>
      </c>
      <c r="C5584" t="s">
        <v>11</v>
      </c>
      <c r="D5584" s="35">
        <v>1844211.2</v>
      </c>
      <c r="E5584" s="35">
        <v>17150</v>
      </c>
      <c r="F5584" s="35">
        <v>1769430.87</v>
      </c>
    </row>
    <row r="5585" spans="1:6" x14ac:dyDescent="0.3">
      <c r="A5585" t="s">
        <v>77</v>
      </c>
      <c r="B5585">
        <v>2025</v>
      </c>
      <c r="C5585" t="s">
        <v>3</v>
      </c>
      <c r="D5585" s="35">
        <v>32207679.460000001</v>
      </c>
      <c r="E5585" s="35">
        <v>44231</v>
      </c>
      <c r="F5585" s="35">
        <v>31665538.739999991</v>
      </c>
    </row>
    <row r="5586" spans="1:6" x14ac:dyDescent="0.3">
      <c r="A5586" t="s">
        <v>77</v>
      </c>
      <c r="B5586">
        <v>2025</v>
      </c>
      <c r="C5586" t="s">
        <v>12</v>
      </c>
      <c r="D5586" s="35">
        <v>5591567.4299999997</v>
      </c>
      <c r="E5586" s="35">
        <v>125631</v>
      </c>
      <c r="F5586" s="35">
        <v>3603165.39</v>
      </c>
    </row>
    <row r="5587" spans="1:6" x14ac:dyDescent="0.3">
      <c r="A5587" t="s">
        <v>77</v>
      </c>
      <c r="B5587">
        <v>2025</v>
      </c>
      <c r="C5587" t="s">
        <v>2</v>
      </c>
      <c r="D5587" s="35">
        <v>40207503.399999999</v>
      </c>
      <c r="E5587" s="35">
        <v>466300</v>
      </c>
      <c r="F5587" s="35">
        <v>33111935.710000001</v>
      </c>
    </row>
    <row r="5588" spans="1:6" x14ac:dyDescent="0.3">
      <c r="A5588" t="s">
        <v>77</v>
      </c>
      <c r="B5588">
        <v>2025</v>
      </c>
      <c r="C5588" t="s">
        <v>5</v>
      </c>
      <c r="D5588" s="35">
        <v>1167142.17</v>
      </c>
      <c r="E5588" s="35">
        <v>1880</v>
      </c>
      <c r="F5588" s="35">
        <v>1124608.55</v>
      </c>
    </row>
    <row r="5589" spans="1:6" x14ac:dyDescent="0.3">
      <c r="A5589" t="s">
        <v>77</v>
      </c>
      <c r="B5589">
        <v>2025</v>
      </c>
      <c r="C5589" t="s">
        <v>17</v>
      </c>
      <c r="D5589" s="35">
        <v>157428.07999999999</v>
      </c>
      <c r="E5589" s="35">
        <v>23088</v>
      </c>
      <c r="F5589" s="35">
        <v>20572.150000000001</v>
      </c>
    </row>
    <row r="5590" spans="1:6" x14ac:dyDescent="0.3">
      <c r="A5590" t="s">
        <v>77</v>
      </c>
      <c r="B5590">
        <v>2025</v>
      </c>
      <c r="C5590" t="s">
        <v>9</v>
      </c>
      <c r="D5590" s="35">
        <v>22312434.34</v>
      </c>
      <c r="E5590" s="35">
        <v>225752</v>
      </c>
      <c r="F5590" s="35">
        <v>19581244.039999999</v>
      </c>
    </row>
    <row r="5591" spans="1:6" x14ac:dyDescent="0.3">
      <c r="A5591" t="s">
        <v>77</v>
      </c>
      <c r="B5591">
        <v>2025</v>
      </c>
      <c r="C5591" t="s">
        <v>8</v>
      </c>
      <c r="D5591" s="35">
        <v>4777304.67</v>
      </c>
      <c r="E5591" s="35">
        <v>427</v>
      </c>
      <c r="F5591" s="35">
        <v>4777304.67</v>
      </c>
    </row>
    <row r="5592" spans="1:6" x14ac:dyDescent="0.3">
      <c r="A5592" t="s">
        <v>77</v>
      </c>
      <c r="B5592">
        <v>2025</v>
      </c>
      <c r="C5592" t="s">
        <v>6</v>
      </c>
      <c r="D5592" s="35">
        <v>16973045.16</v>
      </c>
      <c r="E5592" s="35">
        <v>145043</v>
      </c>
      <c r="F5592" s="35">
        <v>15771391.08</v>
      </c>
    </row>
    <row r="5593" spans="1:6" x14ac:dyDescent="0.3">
      <c r="A5593" t="s">
        <v>77</v>
      </c>
      <c r="B5593">
        <v>2025</v>
      </c>
      <c r="C5593" t="s">
        <v>15</v>
      </c>
      <c r="D5593" s="35">
        <v>862904.66000000027</v>
      </c>
      <c r="E5593" s="35">
        <v>35063</v>
      </c>
      <c r="F5593" s="35">
        <v>196835.62</v>
      </c>
    </row>
    <row r="5594" spans="1:6" x14ac:dyDescent="0.3">
      <c r="A5594" t="s">
        <v>77</v>
      </c>
      <c r="B5594">
        <v>2025</v>
      </c>
      <c r="C5594" t="s">
        <v>18</v>
      </c>
      <c r="D5594" s="35">
        <v>943330.97000000009</v>
      </c>
      <c r="E5594" s="35">
        <v>3348</v>
      </c>
      <c r="F5594" s="35">
        <v>912518.59</v>
      </c>
    </row>
    <row r="5595" spans="1:6" x14ac:dyDescent="0.3">
      <c r="A5595" t="s">
        <v>78</v>
      </c>
      <c r="B5595">
        <v>2019</v>
      </c>
      <c r="C5595" t="s">
        <v>10</v>
      </c>
      <c r="D5595" s="35">
        <v>45907126.840000004</v>
      </c>
      <c r="E5595" s="35">
        <v>2120386</v>
      </c>
      <c r="F5595" s="35">
        <v>31752732.670000002</v>
      </c>
    </row>
    <row r="5596" spans="1:6" x14ac:dyDescent="0.3">
      <c r="A5596" t="s">
        <v>78</v>
      </c>
      <c r="B5596">
        <v>2019</v>
      </c>
      <c r="C5596" t="s">
        <v>4</v>
      </c>
      <c r="D5596" s="35">
        <v>146961512.27000001</v>
      </c>
      <c r="E5596" s="35">
        <v>627922</v>
      </c>
      <c r="F5596" s="35">
        <v>145426631.18000001</v>
      </c>
    </row>
    <row r="5597" spans="1:6" x14ac:dyDescent="0.3">
      <c r="A5597" t="s">
        <v>78</v>
      </c>
      <c r="B5597">
        <v>2019</v>
      </c>
      <c r="C5597" t="s">
        <v>13</v>
      </c>
      <c r="D5597" s="35">
        <v>45479311.18999999</v>
      </c>
      <c r="E5597" s="35">
        <v>748091</v>
      </c>
      <c r="F5597" s="35">
        <v>30745834.579999998</v>
      </c>
    </row>
    <row r="5598" spans="1:6" x14ac:dyDescent="0.3">
      <c r="A5598" t="s">
        <v>78</v>
      </c>
      <c r="B5598">
        <v>2019</v>
      </c>
      <c r="C5598" t="s">
        <v>16</v>
      </c>
      <c r="D5598" s="35">
        <v>15996164.15</v>
      </c>
      <c r="E5598" s="35">
        <v>56637</v>
      </c>
      <c r="F5598" s="35">
        <v>14368940.970000001</v>
      </c>
    </row>
    <row r="5599" spans="1:6" x14ac:dyDescent="0.3">
      <c r="A5599" t="s">
        <v>78</v>
      </c>
      <c r="B5599">
        <v>2019</v>
      </c>
      <c r="C5599" t="s">
        <v>14</v>
      </c>
      <c r="D5599" s="35">
        <v>22580267.420000002</v>
      </c>
      <c r="E5599" s="35">
        <v>903084</v>
      </c>
      <c r="F5599" s="35">
        <v>15097373.710000001</v>
      </c>
    </row>
    <row r="5600" spans="1:6" x14ac:dyDescent="0.3">
      <c r="A5600" t="s">
        <v>78</v>
      </c>
      <c r="B5600">
        <v>2019</v>
      </c>
      <c r="C5600" t="s">
        <v>7</v>
      </c>
      <c r="D5600" s="35">
        <v>76939975.920000017</v>
      </c>
      <c r="E5600" s="35">
        <v>41900</v>
      </c>
      <c r="F5600" s="35">
        <v>76745398.049999997</v>
      </c>
    </row>
    <row r="5601" spans="1:6" x14ac:dyDescent="0.3">
      <c r="A5601" t="s">
        <v>78</v>
      </c>
      <c r="B5601">
        <v>2019</v>
      </c>
      <c r="C5601" t="s">
        <v>11</v>
      </c>
      <c r="D5601" s="35">
        <v>18096384.34</v>
      </c>
      <c r="E5601" s="35">
        <v>118088</v>
      </c>
      <c r="F5601" s="35">
        <v>17199549.52</v>
      </c>
    </row>
    <row r="5602" spans="1:6" x14ac:dyDescent="0.3">
      <c r="A5602" t="s">
        <v>78</v>
      </c>
      <c r="B5602">
        <v>2019</v>
      </c>
      <c r="C5602" t="s">
        <v>3</v>
      </c>
      <c r="D5602" s="35">
        <v>188310097.11000001</v>
      </c>
      <c r="E5602" s="35">
        <v>507041</v>
      </c>
      <c r="F5602" s="35">
        <v>183619974.68000001</v>
      </c>
    </row>
    <row r="5603" spans="1:6" x14ac:dyDescent="0.3">
      <c r="A5603" t="s">
        <v>78</v>
      </c>
      <c r="B5603">
        <v>2019</v>
      </c>
      <c r="C5603" t="s">
        <v>12</v>
      </c>
      <c r="D5603" s="35">
        <v>89946729.180000007</v>
      </c>
      <c r="E5603" s="35">
        <v>1258189</v>
      </c>
      <c r="F5603" s="35">
        <v>71247449.260000005</v>
      </c>
    </row>
    <row r="5604" spans="1:6" x14ac:dyDescent="0.3">
      <c r="A5604" t="s">
        <v>78</v>
      </c>
      <c r="B5604">
        <v>2019</v>
      </c>
      <c r="C5604" t="s">
        <v>2</v>
      </c>
      <c r="D5604" s="35">
        <v>246754284.96000001</v>
      </c>
      <c r="E5604" s="35">
        <v>3857493</v>
      </c>
      <c r="F5604" s="35">
        <v>192577612.28999999</v>
      </c>
    </row>
    <row r="5605" spans="1:6" x14ac:dyDescent="0.3">
      <c r="A5605" t="s">
        <v>78</v>
      </c>
      <c r="B5605">
        <v>2019</v>
      </c>
      <c r="C5605" t="s">
        <v>5</v>
      </c>
      <c r="D5605" s="35">
        <v>73078298.239999995</v>
      </c>
      <c r="E5605" s="35">
        <v>59004</v>
      </c>
      <c r="F5605" s="35">
        <v>69199439.670000002</v>
      </c>
    </row>
    <row r="5606" spans="1:6" x14ac:dyDescent="0.3">
      <c r="A5606" t="s">
        <v>78</v>
      </c>
      <c r="B5606">
        <v>2019</v>
      </c>
      <c r="C5606" t="s">
        <v>17</v>
      </c>
      <c r="D5606" s="35">
        <v>2251230.94</v>
      </c>
      <c r="E5606" s="35">
        <v>192588</v>
      </c>
      <c r="F5606" s="35">
        <v>573059.93999999994</v>
      </c>
    </row>
    <row r="5607" spans="1:6" x14ac:dyDescent="0.3">
      <c r="A5607" t="s">
        <v>78</v>
      </c>
      <c r="B5607">
        <v>2019</v>
      </c>
      <c r="C5607" t="s">
        <v>9</v>
      </c>
      <c r="D5607" s="35">
        <v>71153303.070000008</v>
      </c>
      <c r="E5607" s="35">
        <v>1852497</v>
      </c>
      <c r="F5607" s="35">
        <v>51837011.210000001</v>
      </c>
    </row>
    <row r="5608" spans="1:6" x14ac:dyDescent="0.3">
      <c r="A5608" t="s">
        <v>78</v>
      </c>
      <c r="B5608">
        <v>2019</v>
      </c>
      <c r="C5608" t="s">
        <v>8</v>
      </c>
      <c r="D5608" s="35">
        <v>37716119.240000002</v>
      </c>
      <c r="E5608" s="35">
        <v>3116</v>
      </c>
      <c r="F5608" s="35">
        <v>37716119.240000002</v>
      </c>
    </row>
    <row r="5609" spans="1:6" x14ac:dyDescent="0.3">
      <c r="A5609" t="s">
        <v>78</v>
      </c>
      <c r="B5609">
        <v>2019</v>
      </c>
      <c r="C5609" t="s">
        <v>6</v>
      </c>
      <c r="D5609" s="35">
        <v>110269639.03</v>
      </c>
      <c r="E5609" s="35">
        <v>1700826</v>
      </c>
      <c r="F5609" s="35">
        <v>98962984.849999994</v>
      </c>
    </row>
    <row r="5610" spans="1:6" x14ac:dyDescent="0.3">
      <c r="A5610" t="s">
        <v>78</v>
      </c>
      <c r="B5610">
        <v>2019</v>
      </c>
      <c r="C5610" t="s">
        <v>15</v>
      </c>
      <c r="D5610" s="35">
        <v>22680894.859999999</v>
      </c>
      <c r="E5610" s="35">
        <v>1109111</v>
      </c>
      <c r="F5610" s="35">
        <v>10329133.02</v>
      </c>
    </row>
    <row r="5611" spans="1:6" x14ac:dyDescent="0.3">
      <c r="A5611" t="s">
        <v>78</v>
      </c>
      <c r="B5611">
        <v>2019</v>
      </c>
      <c r="C5611" t="s">
        <v>18</v>
      </c>
      <c r="D5611" s="35">
        <v>4840970.1500000013</v>
      </c>
      <c r="E5611" s="35">
        <v>84893</v>
      </c>
      <c r="F5611" s="35">
        <v>2812473.45</v>
      </c>
    </row>
    <row r="5612" spans="1:6" x14ac:dyDescent="0.3">
      <c r="A5612" t="s">
        <v>78</v>
      </c>
      <c r="B5612">
        <v>2020</v>
      </c>
      <c r="C5612" t="s">
        <v>10</v>
      </c>
      <c r="D5612" s="35">
        <v>54415244.799999997</v>
      </c>
      <c r="E5612" s="35">
        <v>2032954</v>
      </c>
      <c r="F5612" s="35">
        <v>39616275.270000003</v>
      </c>
    </row>
    <row r="5613" spans="1:6" x14ac:dyDescent="0.3">
      <c r="A5613" t="s">
        <v>78</v>
      </c>
      <c r="B5613">
        <v>2020</v>
      </c>
      <c r="C5613" t="s">
        <v>4</v>
      </c>
      <c r="D5613" s="35">
        <v>170210800.88999999</v>
      </c>
      <c r="E5613" s="35">
        <v>625536</v>
      </c>
      <c r="F5613" s="35">
        <v>168887299.5</v>
      </c>
    </row>
    <row r="5614" spans="1:6" x14ac:dyDescent="0.3">
      <c r="A5614" t="s">
        <v>78</v>
      </c>
      <c r="B5614">
        <v>2020</v>
      </c>
      <c r="C5614" t="s">
        <v>13</v>
      </c>
      <c r="D5614" s="35">
        <v>43988711.860000007</v>
      </c>
      <c r="E5614" s="35">
        <v>752936</v>
      </c>
      <c r="F5614" s="35">
        <v>28439800.079999991</v>
      </c>
    </row>
    <row r="5615" spans="1:6" x14ac:dyDescent="0.3">
      <c r="A5615" t="s">
        <v>78</v>
      </c>
      <c r="B5615">
        <v>2020</v>
      </c>
      <c r="C5615" t="s">
        <v>16</v>
      </c>
      <c r="D5615" s="35">
        <v>18962912.88000001</v>
      </c>
      <c r="E5615" s="35">
        <v>64020</v>
      </c>
      <c r="F5615" s="35">
        <v>17083505.469999999</v>
      </c>
    </row>
    <row r="5616" spans="1:6" x14ac:dyDescent="0.3">
      <c r="A5616" t="s">
        <v>78</v>
      </c>
      <c r="B5616">
        <v>2020</v>
      </c>
      <c r="C5616" t="s">
        <v>14</v>
      </c>
      <c r="D5616" s="35">
        <v>25718984.210000001</v>
      </c>
      <c r="E5616" s="35">
        <v>922100</v>
      </c>
      <c r="F5616" s="35">
        <v>17678871.370000001</v>
      </c>
    </row>
    <row r="5617" spans="1:6" x14ac:dyDescent="0.3">
      <c r="A5617" t="s">
        <v>78</v>
      </c>
      <c r="B5617">
        <v>2020</v>
      </c>
      <c r="C5617" t="s">
        <v>7</v>
      </c>
      <c r="D5617" s="35">
        <v>86283135.720000014</v>
      </c>
      <c r="E5617" s="35">
        <v>44383</v>
      </c>
      <c r="F5617" s="35">
        <v>84123086.200000003</v>
      </c>
    </row>
    <row r="5618" spans="1:6" x14ac:dyDescent="0.3">
      <c r="A5618" t="s">
        <v>78</v>
      </c>
      <c r="B5618">
        <v>2020</v>
      </c>
      <c r="C5618" t="s">
        <v>11</v>
      </c>
      <c r="D5618" s="35">
        <v>22369129.66</v>
      </c>
      <c r="E5618" s="35">
        <v>124207</v>
      </c>
      <c r="F5618" s="35">
        <v>21310161.489999991</v>
      </c>
    </row>
    <row r="5619" spans="1:6" x14ac:dyDescent="0.3">
      <c r="A5619" t="s">
        <v>78</v>
      </c>
      <c r="B5619">
        <v>2020</v>
      </c>
      <c r="C5619" t="s">
        <v>3</v>
      </c>
      <c r="D5619" s="35">
        <v>240272026.27000001</v>
      </c>
      <c r="E5619" s="35">
        <v>468737</v>
      </c>
      <c r="F5619" s="35">
        <v>234842095.69999999</v>
      </c>
    </row>
    <row r="5620" spans="1:6" x14ac:dyDescent="0.3">
      <c r="A5620" t="s">
        <v>78</v>
      </c>
      <c r="B5620">
        <v>2020</v>
      </c>
      <c r="C5620" t="s">
        <v>12</v>
      </c>
      <c r="D5620" s="35">
        <v>61561803.949999988</v>
      </c>
      <c r="E5620" s="35">
        <v>1069944</v>
      </c>
      <c r="F5620" s="35">
        <v>48218947.089999989</v>
      </c>
    </row>
    <row r="5621" spans="1:6" x14ac:dyDescent="0.3">
      <c r="A5621" t="s">
        <v>78</v>
      </c>
      <c r="B5621">
        <v>2020</v>
      </c>
      <c r="C5621" t="s">
        <v>2</v>
      </c>
      <c r="D5621" s="35">
        <v>250790330.38</v>
      </c>
      <c r="E5621" s="35">
        <v>3925006</v>
      </c>
      <c r="F5621" s="35">
        <v>202847477.77999991</v>
      </c>
    </row>
    <row r="5622" spans="1:6" x14ac:dyDescent="0.3">
      <c r="A5622" t="s">
        <v>78</v>
      </c>
      <c r="B5622">
        <v>2020</v>
      </c>
      <c r="C5622" t="s">
        <v>5</v>
      </c>
      <c r="D5622" s="35">
        <v>80525935.99000001</v>
      </c>
      <c r="E5622" s="35">
        <v>57993</v>
      </c>
      <c r="F5622" s="35">
        <v>77317498.200000018</v>
      </c>
    </row>
    <row r="5623" spans="1:6" x14ac:dyDescent="0.3">
      <c r="A5623" t="s">
        <v>78</v>
      </c>
      <c r="B5623">
        <v>2020</v>
      </c>
      <c r="C5623" t="s">
        <v>17</v>
      </c>
      <c r="D5623" s="35">
        <v>2321500.899999999</v>
      </c>
      <c r="E5623" s="35">
        <v>195167</v>
      </c>
      <c r="F5623" s="35">
        <v>700339.99</v>
      </c>
    </row>
    <row r="5624" spans="1:6" x14ac:dyDescent="0.3">
      <c r="A5624" t="s">
        <v>78</v>
      </c>
      <c r="B5624">
        <v>2020</v>
      </c>
      <c r="C5624" t="s">
        <v>9</v>
      </c>
      <c r="D5624" s="35">
        <v>88664442.949999973</v>
      </c>
      <c r="E5624" s="35">
        <v>1759878</v>
      </c>
      <c r="F5624" s="35">
        <v>70553542.849999994</v>
      </c>
    </row>
    <row r="5625" spans="1:6" x14ac:dyDescent="0.3">
      <c r="A5625" t="s">
        <v>78</v>
      </c>
      <c r="B5625">
        <v>2020</v>
      </c>
      <c r="C5625" t="s">
        <v>8</v>
      </c>
      <c r="D5625" s="35">
        <v>62459577.820000008</v>
      </c>
      <c r="E5625" s="35">
        <v>3797</v>
      </c>
      <c r="F5625" s="35">
        <v>61412294.32</v>
      </c>
    </row>
    <row r="5626" spans="1:6" x14ac:dyDescent="0.3">
      <c r="A5626" t="s">
        <v>78</v>
      </c>
      <c r="B5626">
        <v>2020</v>
      </c>
      <c r="C5626" t="s">
        <v>6</v>
      </c>
      <c r="D5626" s="35">
        <v>109651974.17</v>
      </c>
      <c r="E5626" s="35">
        <v>1655313</v>
      </c>
      <c r="F5626" s="35">
        <v>96509820.310000017</v>
      </c>
    </row>
    <row r="5627" spans="1:6" x14ac:dyDescent="0.3">
      <c r="A5627" t="s">
        <v>78</v>
      </c>
      <c r="B5627">
        <v>2020</v>
      </c>
      <c r="C5627" t="s">
        <v>15</v>
      </c>
      <c r="D5627" s="35">
        <v>20237986.260000002</v>
      </c>
      <c r="E5627" s="35">
        <v>899123</v>
      </c>
      <c r="F5627" s="35">
        <v>7392442.330000001</v>
      </c>
    </row>
    <row r="5628" spans="1:6" x14ac:dyDescent="0.3">
      <c r="A5628" t="s">
        <v>78</v>
      </c>
      <c r="B5628">
        <v>2020</v>
      </c>
      <c r="C5628" t="s">
        <v>18</v>
      </c>
      <c r="D5628" s="35">
        <v>5263657.2299999986</v>
      </c>
      <c r="E5628" s="35">
        <v>86003</v>
      </c>
      <c r="F5628" s="35">
        <v>3645704.6399999992</v>
      </c>
    </row>
    <row r="5629" spans="1:6" x14ac:dyDescent="0.3">
      <c r="A5629" t="s">
        <v>78</v>
      </c>
      <c r="B5629">
        <v>2021</v>
      </c>
      <c r="C5629" t="s">
        <v>10</v>
      </c>
      <c r="D5629" s="35">
        <v>65817072.360000007</v>
      </c>
      <c r="E5629" s="35">
        <v>1914636</v>
      </c>
      <c r="F5629" s="35">
        <v>51419739.43</v>
      </c>
    </row>
    <row r="5630" spans="1:6" x14ac:dyDescent="0.3">
      <c r="A5630" t="s">
        <v>78</v>
      </c>
      <c r="B5630">
        <v>2021</v>
      </c>
      <c r="C5630" t="s">
        <v>4</v>
      </c>
      <c r="D5630" s="35">
        <v>199581678.63999999</v>
      </c>
      <c r="E5630" s="35">
        <v>623970</v>
      </c>
      <c r="F5630" s="35">
        <v>198094088.49000001</v>
      </c>
    </row>
    <row r="5631" spans="1:6" x14ac:dyDescent="0.3">
      <c r="A5631" t="s">
        <v>78</v>
      </c>
      <c r="B5631">
        <v>2021</v>
      </c>
      <c r="C5631" t="s">
        <v>13</v>
      </c>
      <c r="D5631" s="35">
        <v>42764900.550000012</v>
      </c>
      <c r="E5631" s="35">
        <v>735799</v>
      </c>
      <c r="F5631" s="35">
        <v>26882882.98</v>
      </c>
    </row>
    <row r="5632" spans="1:6" x14ac:dyDescent="0.3">
      <c r="A5632" t="s">
        <v>78</v>
      </c>
      <c r="B5632">
        <v>2021</v>
      </c>
      <c r="C5632" t="s">
        <v>16</v>
      </c>
      <c r="D5632" s="35">
        <v>24946939.77</v>
      </c>
      <c r="E5632" s="35">
        <v>73692</v>
      </c>
      <c r="F5632" s="35">
        <v>22627748.149999999</v>
      </c>
    </row>
    <row r="5633" spans="1:6" x14ac:dyDescent="0.3">
      <c r="A5633" t="s">
        <v>78</v>
      </c>
      <c r="B5633">
        <v>2021</v>
      </c>
      <c r="C5633" t="s">
        <v>14</v>
      </c>
      <c r="D5633" s="35">
        <v>26482837.989999998</v>
      </c>
      <c r="E5633" s="35">
        <v>935300</v>
      </c>
      <c r="F5633" s="35">
        <v>17892026.149999999</v>
      </c>
    </row>
    <row r="5634" spans="1:6" x14ac:dyDescent="0.3">
      <c r="A5634" t="s">
        <v>78</v>
      </c>
      <c r="B5634">
        <v>2021</v>
      </c>
      <c r="C5634" t="s">
        <v>7</v>
      </c>
      <c r="D5634" s="35">
        <v>80076342.169999972</v>
      </c>
      <c r="E5634" s="35">
        <v>45985</v>
      </c>
      <c r="F5634" s="35">
        <v>74434348.539999992</v>
      </c>
    </row>
    <row r="5635" spans="1:6" x14ac:dyDescent="0.3">
      <c r="A5635" t="s">
        <v>78</v>
      </c>
      <c r="B5635">
        <v>2021</v>
      </c>
      <c r="C5635" t="s">
        <v>11</v>
      </c>
      <c r="D5635" s="35">
        <v>24519597.079999998</v>
      </c>
      <c r="E5635" s="35">
        <v>143884</v>
      </c>
      <c r="F5635" s="35">
        <v>23425365.069999989</v>
      </c>
    </row>
    <row r="5636" spans="1:6" x14ac:dyDescent="0.3">
      <c r="A5636" t="s">
        <v>78</v>
      </c>
      <c r="B5636">
        <v>2021</v>
      </c>
      <c r="C5636" t="s">
        <v>3</v>
      </c>
      <c r="D5636" s="35">
        <v>316434163.93999988</v>
      </c>
      <c r="E5636" s="35">
        <v>501835</v>
      </c>
      <c r="F5636" s="35">
        <v>311236408.10000002</v>
      </c>
    </row>
    <row r="5637" spans="1:6" x14ac:dyDescent="0.3">
      <c r="A5637" t="s">
        <v>78</v>
      </c>
      <c r="B5637">
        <v>2021</v>
      </c>
      <c r="C5637" t="s">
        <v>12</v>
      </c>
      <c r="D5637" s="35">
        <v>55464132.680000007</v>
      </c>
      <c r="E5637" s="35">
        <v>1063350</v>
      </c>
      <c r="F5637" s="35">
        <v>43458568.899999999</v>
      </c>
    </row>
    <row r="5638" spans="1:6" x14ac:dyDescent="0.3">
      <c r="A5638" t="s">
        <v>78</v>
      </c>
      <c r="B5638">
        <v>2021</v>
      </c>
      <c r="C5638" t="s">
        <v>2</v>
      </c>
      <c r="D5638" s="35">
        <v>254975536.87</v>
      </c>
      <c r="E5638" s="35">
        <v>3952913</v>
      </c>
      <c r="F5638" s="35">
        <v>208248073.16999999</v>
      </c>
    </row>
    <row r="5639" spans="1:6" x14ac:dyDescent="0.3">
      <c r="A5639" t="s">
        <v>78</v>
      </c>
      <c r="B5639">
        <v>2021</v>
      </c>
      <c r="C5639" t="s">
        <v>5</v>
      </c>
      <c r="D5639" s="35">
        <v>97669249.86999999</v>
      </c>
      <c r="E5639" s="35">
        <v>61450</v>
      </c>
      <c r="F5639" s="35">
        <v>94348090.5</v>
      </c>
    </row>
    <row r="5640" spans="1:6" x14ac:dyDescent="0.3">
      <c r="A5640" t="s">
        <v>78</v>
      </c>
      <c r="B5640">
        <v>2021</v>
      </c>
      <c r="C5640" t="s">
        <v>17</v>
      </c>
      <c r="D5640" s="35">
        <v>2453306.86</v>
      </c>
      <c r="E5640" s="35">
        <v>196010</v>
      </c>
      <c r="F5640" s="35">
        <v>939844.2699999999</v>
      </c>
    </row>
    <row r="5641" spans="1:6" x14ac:dyDescent="0.3">
      <c r="A5641" t="s">
        <v>78</v>
      </c>
      <c r="B5641">
        <v>2021</v>
      </c>
      <c r="C5641" t="s">
        <v>9</v>
      </c>
      <c r="D5641" s="35">
        <v>86122444.670000002</v>
      </c>
      <c r="E5641" s="35">
        <v>1793871</v>
      </c>
      <c r="F5641" s="35">
        <v>68685028.219999999</v>
      </c>
    </row>
    <row r="5642" spans="1:6" x14ac:dyDescent="0.3">
      <c r="A5642" t="s">
        <v>78</v>
      </c>
      <c r="B5642">
        <v>2021</v>
      </c>
      <c r="C5642" t="s">
        <v>8</v>
      </c>
      <c r="D5642" s="35">
        <v>77854621.269999996</v>
      </c>
      <c r="E5642" s="35">
        <v>4183</v>
      </c>
      <c r="F5642" s="35">
        <v>77854621.269999996</v>
      </c>
    </row>
    <row r="5643" spans="1:6" x14ac:dyDescent="0.3">
      <c r="A5643" t="s">
        <v>78</v>
      </c>
      <c r="B5643">
        <v>2021</v>
      </c>
      <c r="C5643" t="s">
        <v>6</v>
      </c>
      <c r="D5643" s="35">
        <v>114534155.31</v>
      </c>
      <c r="E5643" s="35">
        <v>1621867</v>
      </c>
      <c r="F5643" s="35">
        <v>98781874.230000019</v>
      </c>
    </row>
    <row r="5644" spans="1:6" x14ac:dyDescent="0.3">
      <c r="A5644" t="s">
        <v>78</v>
      </c>
      <c r="B5644">
        <v>2021</v>
      </c>
      <c r="C5644" t="s">
        <v>15</v>
      </c>
      <c r="D5644" s="35">
        <v>21098527.760000002</v>
      </c>
      <c r="E5644" s="35">
        <v>818737</v>
      </c>
      <c r="F5644" s="35">
        <v>7983664.4400000023</v>
      </c>
    </row>
    <row r="5645" spans="1:6" x14ac:dyDescent="0.3">
      <c r="A5645" t="s">
        <v>78</v>
      </c>
      <c r="B5645">
        <v>2021</v>
      </c>
      <c r="C5645" t="s">
        <v>18</v>
      </c>
      <c r="D5645" s="35">
        <v>5162624.7999999989</v>
      </c>
      <c r="E5645" s="35">
        <v>86766</v>
      </c>
      <c r="F5645" s="35">
        <v>4077263.1799999988</v>
      </c>
    </row>
    <row r="5646" spans="1:6" x14ac:dyDescent="0.3">
      <c r="A5646" t="s">
        <v>78</v>
      </c>
      <c r="B5646">
        <v>2022</v>
      </c>
      <c r="C5646" t="s">
        <v>10</v>
      </c>
      <c r="D5646" s="35">
        <v>73633742.270000026</v>
      </c>
      <c r="E5646" s="35">
        <v>1952068</v>
      </c>
      <c r="F5646" s="35">
        <v>59739825.820000008</v>
      </c>
    </row>
    <row r="5647" spans="1:6" x14ac:dyDescent="0.3">
      <c r="A5647" t="s">
        <v>78</v>
      </c>
      <c r="B5647">
        <v>2022</v>
      </c>
      <c r="C5647" t="s">
        <v>4</v>
      </c>
      <c r="D5647" s="35">
        <v>239817322.83000001</v>
      </c>
      <c r="E5647" s="35">
        <v>638862</v>
      </c>
      <c r="F5647" s="35">
        <v>237789778.69</v>
      </c>
    </row>
    <row r="5648" spans="1:6" x14ac:dyDescent="0.3">
      <c r="A5648" t="s">
        <v>78</v>
      </c>
      <c r="B5648">
        <v>2022</v>
      </c>
      <c r="C5648" t="s">
        <v>13</v>
      </c>
      <c r="D5648" s="35">
        <v>45304711.299999997</v>
      </c>
      <c r="E5648" s="35">
        <v>726982</v>
      </c>
      <c r="F5648" s="35">
        <v>31124082.84</v>
      </c>
    </row>
    <row r="5649" spans="1:6" x14ac:dyDescent="0.3">
      <c r="A5649" t="s">
        <v>78</v>
      </c>
      <c r="B5649">
        <v>2022</v>
      </c>
      <c r="C5649" t="s">
        <v>16</v>
      </c>
      <c r="D5649" s="35">
        <v>21027023.34</v>
      </c>
      <c r="E5649" s="35">
        <v>68434</v>
      </c>
      <c r="F5649" s="35">
        <v>19193890.309999999</v>
      </c>
    </row>
    <row r="5650" spans="1:6" x14ac:dyDescent="0.3">
      <c r="A5650" t="s">
        <v>78</v>
      </c>
      <c r="B5650">
        <v>2022</v>
      </c>
      <c r="C5650" t="s">
        <v>14</v>
      </c>
      <c r="D5650" s="35">
        <v>29646645.61999999</v>
      </c>
      <c r="E5650" s="35">
        <v>948939</v>
      </c>
      <c r="F5650" s="35">
        <v>21402986.539999999</v>
      </c>
    </row>
    <row r="5651" spans="1:6" x14ac:dyDescent="0.3">
      <c r="A5651" t="s">
        <v>78</v>
      </c>
      <c r="B5651">
        <v>2022</v>
      </c>
      <c r="C5651" t="s">
        <v>7</v>
      </c>
      <c r="D5651" s="35">
        <v>77640532.239999995</v>
      </c>
      <c r="E5651" s="35">
        <v>46925</v>
      </c>
      <c r="F5651" s="35">
        <v>76859926.950000003</v>
      </c>
    </row>
    <row r="5652" spans="1:6" x14ac:dyDescent="0.3">
      <c r="A5652" t="s">
        <v>78</v>
      </c>
      <c r="B5652">
        <v>2022</v>
      </c>
      <c r="C5652" t="s">
        <v>11</v>
      </c>
      <c r="D5652" s="35">
        <v>32760498.489999991</v>
      </c>
      <c r="E5652" s="35">
        <v>137701</v>
      </c>
      <c r="F5652" s="35">
        <v>31590342.149999999</v>
      </c>
    </row>
    <row r="5653" spans="1:6" x14ac:dyDescent="0.3">
      <c r="A5653" t="s">
        <v>78</v>
      </c>
      <c r="B5653">
        <v>2022</v>
      </c>
      <c r="C5653" t="s">
        <v>3</v>
      </c>
      <c r="D5653" s="35">
        <v>376355968.69999999</v>
      </c>
      <c r="E5653" s="35">
        <v>539855</v>
      </c>
      <c r="F5653" s="35">
        <v>371169678.58999997</v>
      </c>
    </row>
    <row r="5654" spans="1:6" x14ac:dyDescent="0.3">
      <c r="A5654" t="s">
        <v>78</v>
      </c>
      <c r="B5654">
        <v>2022</v>
      </c>
      <c r="C5654" t="s">
        <v>12</v>
      </c>
      <c r="D5654" s="35">
        <v>49973420.899999991</v>
      </c>
      <c r="E5654" s="35">
        <v>1223697</v>
      </c>
      <c r="F5654" s="35">
        <v>37542191.520000003</v>
      </c>
    </row>
    <row r="5655" spans="1:6" x14ac:dyDescent="0.3">
      <c r="A5655" t="s">
        <v>78</v>
      </c>
      <c r="B5655">
        <v>2022</v>
      </c>
      <c r="C5655" t="s">
        <v>2</v>
      </c>
      <c r="D5655" s="35">
        <v>277833803.55000001</v>
      </c>
      <c r="E5655" s="35">
        <v>4001275</v>
      </c>
      <c r="F5655" s="35">
        <v>234389624.55000001</v>
      </c>
    </row>
    <row r="5656" spans="1:6" x14ac:dyDescent="0.3">
      <c r="A5656" t="s">
        <v>78</v>
      </c>
      <c r="B5656">
        <v>2022</v>
      </c>
      <c r="C5656" t="s">
        <v>5</v>
      </c>
      <c r="D5656" s="35">
        <v>104942811.73999999</v>
      </c>
      <c r="E5656" s="35">
        <v>59926</v>
      </c>
      <c r="F5656" s="35">
        <v>101976605.13</v>
      </c>
    </row>
    <row r="5657" spans="1:6" x14ac:dyDescent="0.3">
      <c r="A5657" t="s">
        <v>78</v>
      </c>
      <c r="B5657">
        <v>2022</v>
      </c>
      <c r="C5657" t="s">
        <v>17</v>
      </c>
      <c r="D5657" s="35">
        <v>2048498.14</v>
      </c>
      <c r="E5657" s="35">
        <v>177770</v>
      </c>
      <c r="F5657" s="35">
        <v>825326.29999999993</v>
      </c>
    </row>
    <row r="5658" spans="1:6" x14ac:dyDescent="0.3">
      <c r="A5658" t="s">
        <v>78</v>
      </c>
      <c r="B5658">
        <v>2022</v>
      </c>
      <c r="C5658" t="s">
        <v>9</v>
      </c>
      <c r="D5658" s="35">
        <v>90776907.840000018</v>
      </c>
      <c r="E5658" s="35">
        <v>1830409</v>
      </c>
      <c r="F5658" s="35">
        <v>69430494.150000021</v>
      </c>
    </row>
    <row r="5659" spans="1:6" x14ac:dyDescent="0.3">
      <c r="A5659" t="s">
        <v>78</v>
      </c>
      <c r="B5659">
        <v>2022</v>
      </c>
      <c r="C5659" t="s">
        <v>8</v>
      </c>
      <c r="D5659" s="35">
        <v>87311625.299999982</v>
      </c>
      <c r="E5659" s="35">
        <v>4279</v>
      </c>
      <c r="F5659" s="35">
        <v>87311625.299999982</v>
      </c>
    </row>
    <row r="5660" spans="1:6" x14ac:dyDescent="0.3">
      <c r="A5660" t="s">
        <v>78</v>
      </c>
      <c r="B5660">
        <v>2022</v>
      </c>
      <c r="C5660" t="s">
        <v>6</v>
      </c>
      <c r="D5660" s="35">
        <v>120386394.45999999</v>
      </c>
      <c r="E5660" s="35">
        <v>1723151</v>
      </c>
      <c r="F5660" s="35">
        <v>101016535.86</v>
      </c>
    </row>
    <row r="5661" spans="1:6" x14ac:dyDescent="0.3">
      <c r="A5661" t="s">
        <v>78</v>
      </c>
      <c r="B5661">
        <v>2022</v>
      </c>
      <c r="C5661" t="s">
        <v>15</v>
      </c>
      <c r="D5661" s="35">
        <v>15335150.550000001</v>
      </c>
      <c r="E5661" s="35">
        <v>734617</v>
      </c>
      <c r="F5661" s="35">
        <v>5882748.1799999997</v>
      </c>
    </row>
    <row r="5662" spans="1:6" x14ac:dyDescent="0.3">
      <c r="A5662" t="s">
        <v>78</v>
      </c>
      <c r="B5662">
        <v>2022</v>
      </c>
      <c r="C5662" t="s">
        <v>18</v>
      </c>
      <c r="D5662" s="35">
        <v>4541683.82</v>
      </c>
      <c r="E5662" s="35">
        <v>80617</v>
      </c>
      <c r="F5662" s="35">
        <v>3675135.5799999991</v>
      </c>
    </row>
    <row r="5663" spans="1:6" x14ac:dyDescent="0.3">
      <c r="A5663" t="s">
        <v>78</v>
      </c>
      <c r="B5663">
        <v>2023</v>
      </c>
      <c r="C5663" t="s">
        <v>10</v>
      </c>
      <c r="D5663" s="35">
        <v>83837820.149999991</v>
      </c>
      <c r="E5663" s="35">
        <v>1906050</v>
      </c>
      <c r="F5663" s="35">
        <v>70853628.219999999</v>
      </c>
    </row>
    <row r="5664" spans="1:6" x14ac:dyDescent="0.3">
      <c r="A5664" t="s">
        <v>78</v>
      </c>
      <c r="B5664">
        <v>2023</v>
      </c>
      <c r="C5664" t="s">
        <v>4</v>
      </c>
      <c r="D5664" s="35">
        <v>259202744.40000001</v>
      </c>
      <c r="E5664" s="35">
        <v>653848</v>
      </c>
      <c r="F5664" s="35">
        <v>256977013.80000001</v>
      </c>
    </row>
    <row r="5665" spans="1:6" x14ac:dyDescent="0.3">
      <c r="A5665" t="s">
        <v>78</v>
      </c>
      <c r="B5665">
        <v>2023</v>
      </c>
      <c r="C5665" t="s">
        <v>13</v>
      </c>
      <c r="D5665" s="35">
        <v>45239603.450000003</v>
      </c>
      <c r="E5665" s="35">
        <v>729745</v>
      </c>
      <c r="F5665" s="35">
        <v>32884655.350000009</v>
      </c>
    </row>
    <row r="5666" spans="1:6" x14ac:dyDescent="0.3">
      <c r="A5666" t="s">
        <v>78</v>
      </c>
      <c r="B5666">
        <v>2023</v>
      </c>
      <c r="C5666" t="s">
        <v>16</v>
      </c>
      <c r="D5666" s="35">
        <v>21545863.800000001</v>
      </c>
      <c r="E5666" s="35">
        <v>68280</v>
      </c>
      <c r="F5666" s="35">
        <v>19601969.84</v>
      </c>
    </row>
    <row r="5667" spans="1:6" x14ac:dyDescent="0.3">
      <c r="A5667" t="s">
        <v>78</v>
      </c>
      <c r="B5667">
        <v>2023</v>
      </c>
      <c r="C5667" t="s">
        <v>14</v>
      </c>
      <c r="D5667" s="35">
        <v>30631081.66</v>
      </c>
      <c r="E5667" s="35">
        <v>920789</v>
      </c>
      <c r="F5667" s="35">
        <v>22334442.109999999</v>
      </c>
    </row>
    <row r="5668" spans="1:6" x14ac:dyDescent="0.3">
      <c r="A5668" t="s">
        <v>78</v>
      </c>
      <c r="B5668">
        <v>2023</v>
      </c>
      <c r="C5668" t="s">
        <v>7</v>
      </c>
      <c r="D5668" s="35">
        <v>75220969.969999984</v>
      </c>
      <c r="E5668" s="35">
        <v>42888</v>
      </c>
      <c r="F5668" s="35">
        <v>74496489.839999989</v>
      </c>
    </row>
    <row r="5669" spans="1:6" x14ac:dyDescent="0.3">
      <c r="A5669" t="s">
        <v>78</v>
      </c>
      <c r="B5669">
        <v>2023</v>
      </c>
      <c r="C5669" t="s">
        <v>11</v>
      </c>
      <c r="D5669" s="35">
        <v>29979903.530000001</v>
      </c>
      <c r="E5669" s="35">
        <v>119205</v>
      </c>
      <c r="F5669" s="35">
        <v>28597752.260000009</v>
      </c>
    </row>
    <row r="5670" spans="1:6" x14ac:dyDescent="0.3">
      <c r="A5670" t="s">
        <v>78</v>
      </c>
      <c r="B5670">
        <v>2023</v>
      </c>
      <c r="C5670" t="s">
        <v>3</v>
      </c>
      <c r="D5670" s="35">
        <v>425002094.38999999</v>
      </c>
      <c r="E5670" s="35">
        <v>538056</v>
      </c>
      <c r="F5670" s="35">
        <v>420864308.10000002</v>
      </c>
    </row>
    <row r="5671" spans="1:6" x14ac:dyDescent="0.3">
      <c r="A5671" t="s">
        <v>78</v>
      </c>
      <c r="B5671">
        <v>2023</v>
      </c>
      <c r="C5671" t="s">
        <v>12</v>
      </c>
      <c r="D5671" s="35">
        <v>49770014.490000002</v>
      </c>
      <c r="E5671" s="35">
        <v>1277207</v>
      </c>
      <c r="F5671" s="35">
        <v>37082147.579999998</v>
      </c>
    </row>
    <row r="5672" spans="1:6" x14ac:dyDescent="0.3">
      <c r="A5672" t="s">
        <v>78</v>
      </c>
      <c r="B5672">
        <v>2023</v>
      </c>
      <c r="C5672" t="s">
        <v>2</v>
      </c>
      <c r="D5672" s="35">
        <v>260683769.41</v>
      </c>
      <c r="E5672" s="35">
        <v>3952054</v>
      </c>
      <c r="F5672" s="35">
        <v>216503944.27000001</v>
      </c>
    </row>
    <row r="5673" spans="1:6" x14ac:dyDescent="0.3">
      <c r="A5673" t="s">
        <v>78</v>
      </c>
      <c r="B5673">
        <v>2023</v>
      </c>
      <c r="C5673" t="s">
        <v>5</v>
      </c>
      <c r="D5673" s="35">
        <v>107759068.52</v>
      </c>
      <c r="E5673" s="35">
        <v>56987</v>
      </c>
      <c r="F5673" s="35">
        <v>104433306.68000001</v>
      </c>
    </row>
    <row r="5674" spans="1:6" x14ac:dyDescent="0.3">
      <c r="A5674" t="s">
        <v>78</v>
      </c>
      <c r="B5674">
        <v>2023</v>
      </c>
      <c r="C5674" t="s">
        <v>17</v>
      </c>
      <c r="D5674" s="35">
        <v>2011863.7</v>
      </c>
      <c r="E5674" s="35">
        <v>162953</v>
      </c>
      <c r="F5674" s="35">
        <v>905895.85000000009</v>
      </c>
    </row>
    <row r="5675" spans="1:6" x14ac:dyDescent="0.3">
      <c r="A5675" t="s">
        <v>78</v>
      </c>
      <c r="B5675">
        <v>2023</v>
      </c>
      <c r="C5675" t="s">
        <v>9</v>
      </c>
      <c r="D5675" s="35">
        <v>97222038.37999998</v>
      </c>
      <c r="E5675" s="35">
        <v>1765589</v>
      </c>
      <c r="F5675" s="35">
        <v>75156910.610000014</v>
      </c>
    </row>
    <row r="5676" spans="1:6" x14ac:dyDescent="0.3">
      <c r="A5676" t="s">
        <v>78</v>
      </c>
      <c r="B5676">
        <v>2023</v>
      </c>
      <c r="C5676" t="s">
        <v>8</v>
      </c>
      <c r="D5676" s="35">
        <v>98373830.699999988</v>
      </c>
      <c r="E5676" s="35">
        <v>4494</v>
      </c>
      <c r="F5676" s="35">
        <v>97061937.839999989</v>
      </c>
    </row>
    <row r="5677" spans="1:6" x14ac:dyDescent="0.3">
      <c r="A5677" t="s">
        <v>78</v>
      </c>
      <c r="B5677">
        <v>2023</v>
      </c>
      <c r="C5677" t="s">
        <v>6</v>
      </c>
      <c r="D5677" s="35">
        <v>114000352.27</v>
      </c>
      <c r="E5677" s="35">
        <v>1684063</v>
      </c>
      <c r="F5677" s="35">
        <v>91994371.599999994</v>
      </c>
    </row>
    <row r="5678" spans="1:6" x14ac:dyDescent="0.3">
      <c r="A5678" t="s">
        <v>78</v>
      </c>
      <c r="B5678">
        <v>2023</v>
      </c>
      <c r="C5678" t="s">
        <v>15</v>
      </c>
      <c r="D5678" s="35">
        <v>11432597.039999999</v>
      </c>
      <c r="E5678" s="35">
        <v>552950</v>
      </c>
      <c r="F5678" s="35">
        <v>4573687.2999999989</v>
      </c>
    </row>
    <row r="5679" spans="1:6" x14ac:dyDescent="0.3">
      <c r="A5679" t="s">
        <v>78</v>
      </c>
      <c r="B5679">
        <v>2023</v>
      </c>
      <c r="C5679" t="s">
        <v>18</v>
      </c>
      <c r="D5679" s="35">
        <v>5214652.51</v>
      </c>
      <c r="E5679" s="35">
        <v>63747</v>
      </c>
      <c r="F5679" s="35">
        <v>4462866.05</v>
      </c>
    </row>
    <row r="5680" spans="1:6" x14ac:dyDescent="0.3">
      <c r="A5680" t="s">
        <v>78</v>
      </c>
      <c r="B5680">
        <v>2024</v>
      </c>
      <c r="C5680" t="s">
        <v>10</v>
      </c>
      <c r="D5680" s="35">
        <v>93965538.420000032</v>
      </c>
      <c r="E5680" s="35">
        <v>1750964</v>
      </c>
      <c r="F5680" s="35">
        <v>77301070.699999988</v>
      </c>
    </row>
    <row r="5681" spans="1:6" x14ac:dyDescent="0.3">
      <c r="A5681" t="s">
        <v>78</v>
      </c>
      <c r="B5681">
        <v>2024</v>
      </c>
      <c r="C5681" t="s">
        <v>4</v>
      </c>
      <c r="D5681" s="35">
        <v>215905749.54000011</v>
      </c>
      <c r="E5681" s="35">
        <v>615488</v>
      </c>
      <c r="F5681" s="35">
        <v>213378036.13999999</v>
      </c>
    </row>
    <row r="5682" spans="1:6" x14ac:dyDescent="0.3">
      <c r="A5682" t="s">
        <v>78</v>
      </c>
      <c r="B5682">
        <v>2024</v>
      </c>
      <c r="C5682" t="s">
        <v>13</v>
      </c>
      <c r="D5682" s="35">
        <v>46638543.280000001</v>
      </c>
      <c r="E5682" s="35">
        <v>667929</v>
      </c>
      <c r="F5682" s="35">
        <v>34045487.090000004</v>
      </c>
    </row>
    <row r="5683" spans="1:6" x14ac:dyDescent="0.3">
      <c r="A5683" t="s">
        <v>78</v>
      </c>
      <c r="B5683">
        <v>2024</v>
      </c>
      <c r="C5683" t="s">
        <v>16</v>
      </c>
      <c r="D5683" s="35">
        <v>23091315.09</v>
      </c>
      <c r="E5683" s="35">
        <v>62795</v>
      </c>
      <c r="F5683" s="35">
        <v>20944067.219999999</v>
      </c>
    </row>
    <row r="5684" spans="1:6" x14ac:dyDescent="0.3">
      <c r="A5684" t="s">
        <v>78</v>
      </c>
      <c r="B5684">
        <v>2024</v>
      </c>
      <c r="C5684" t="s">
        <v>14</v>
      </c>
      <c r="D5684" s="35">
        <v>32762755.98</v>
      </c>
      <c r="E5684" s="35">
        <v>838274</v>
      </c>
      <c r="F5684" s="35">
        <v>23472290.530000001</v>
      </c>
    </row>
    <row r="5685" spans="1:6" x14ac:dyDescent="0.3">
      <c r="A5685" t="s">
        <v>78</v>
      </c>
      <c r="B5685">
        <v>2024</v>
      </c>
      <c r="C5685" t="s">
        <v>7</v>
      </c>
      <c r="D5685" s="35">
        <v>68301669.960000008</v>
      </c>
      <c r="E5685" s="35">
        <v>31893</v>
      </c>
      <c r="F5685" s="35">
        <v>64292288.57</v>
      </c>
    </row>
    <row r="5686" spans="1:6" x14ac:dyDescent="0.3">
      <c r="A5686" t="s">
        <v>78</v>
      </c>
      <c r="B5686">
        <v>2024</v>
      </c>
      <c r="C5686" t="s">
        <v>11</v>
      </c>
      <c r="D5686" s="35">
        <v>28964556.129999999</v>
      </c>
      <c r="E5686" s="35">
        <v>100678</v>
      </c>
      <c r="F5686" s="35">
        <v>27365015.27</v>
      </c>
    </row>
    <row r="5687" spans="1:6" x14ac:dyDescent="0.3">
      <c r="A5687" t="s">
        <v>78</v>
      </c>
      <c r="B5687">
        <v>2024</v>
      </c>
      <c r="C5687" t="s">
        <v>3</v>
      </c>
      <c r="D5687" s="35">
        <v>446324282.67000008</v>
      </c>
      <c r="E5687" s="35">
        <v>492009</v>
      </c>
      <c r="F5687" s="35">
        <v>441861659.36000001</v>
      </c>
    </row>
    <row r="5688" spans="1:6" x14ac:dyDescent="0.3">
      <c r="A5688" t="s">
        <v>78</v>
      </c>
      <c r="B5688">
        <v>2024</v>
      </c>
      <c r="C5688" t="s">
        <v>12</v>
      </c>
      <c r="D5688" s="35">
        <v>52156118.409999996</v>
      </c>
      <c r="E5688" s="35">
        <v>1229037</v>
      </c>
      <c r="F5688" s="35">
        <v>36788907.609999999</v>
      </c>
    </row>
    <row r="5689" spans="1:6" x14ac:dyDescent="0.3">
      <c r="A5689" t="s">
        <v>78</v>
      </c>
      <c r="B5689">
        <v>2024</v>
      </c>
      <c r="C5689" t="s">
        <v>2</v>
      </c>
      <c r="D5689" s="35">
        <v>274939723.00999999</v>
      </c>
      <c r="E5689" s="35">
        <v>3731528</v>
      </c>
      <c r="F5689" s="35">
        <v>209720886.34</v>
      </c>
    </row>
    <row r="5690" spans="1:6" x14ac:dyDescent="0.3">
      <c r="A5690" t="s">
        <v>78</v>
      </c>
      <c r="B5690">
        <v>2024</v>
      </c>
      <c r="C5690" t="s">
        <v>5</v>
      </c>
      <c r="D5690" s="35">
        <v>115533923.91</v>
      </c>
      <c r="E5690" s="35">
        <v>50456</v>
      </c>
      <c r="F5690" s="35">
        <v>110507476.25</v>
      </c>
    </row>
    <row r="5691" spans="1:6" x14ac:dyDescent="0.3">
      <c r="A5691" t="s">
        <v>78</v>
      </c>
      <c r="B5691">
        <v>2024</v>
      </c>
      <c r="C5691" t="s">
        <v>17</v>
      </c>
      <c r="D5691" s="35">
        <v>2449736.71</v>
      </c>
      <c r="E5691" s="35">
        <v>131060</v>
      </c>
      <c r="F5691" s="35">
        <v>1177212.8999999999</v>
      </c>
    </row>
    <row r="5692" spans="1:6" x14ac:dyDescent="0.3">
      <c r="A5692" t="s">
        <v>78</v>
      </c>
      <c r="B5692">
        <v>2024</v>
      </c>
      <c r="C5692" t="s">
        <v>9</v>
      </c>
      <c r="D5692" s="35">
        <v>109051640.94</v>
      </c>
      <c r="E5692" s="35">
        <v>1608188</v>
      </c>
      <c r="F5692" s="35">
        <v>87458177.280000016</v>
      </c>
    </row>
    <row r="5693" spans="1:6" x14ac:dyDescent="0.3">
      <c r="A5693" t="s">
        <v>78</v>
      </c>
      <c r="B5693">
        <v>2024</v>
      </c>
      <c r="C5693" t="s">
        <v>8</v>
      </c>
      <c r="D5693" s="35">
        <v>100553874.08</v>
      </c>
      <c r="E5693" s="35">
        <v>4635</v>
      </c>
      <c r="F5693" s="35">
        <v>98146655.570000008</v>
      </c>
    </row>
    <row r="5694" spans="1:6" x14ac:dyDescent="0.3">
      <c r="A5694" t="s">
        <v>78</v>
      </c>
      <c r="B5694">
        <v>2024</v>
      </c>
      <c r="C5694" t="s">
        <v>6</v>
      </c>
      <c r="D5694" s="35">
        <v>104070071.73</v>
      </c>
      <c r="E5694" s="35">
        <v>1514875</v>
      </c>
      <c r="F5694" s="35">
        <v>74313202.010000005</v>
      </c>
    </row>
    <row r="5695" spans="1:6" x14ac:dyDescent="0.3">
      <c r="A5695" t="s">
        <v>78</v>
      </c>
      <c r="B5695">
        <v>2024</v>
      </c>
      <c r="C5695" t="s">
        <v>15</v>
      </c>
      <c r="D5695" s="35">
        <v>11992532.960000001</v>
      </c>
      <c r="E5695" s="35">
        <v>411955</v>
      </c>
      <c r="F5695" s="35">
        <v>5864687.3500000006</v>
      </c>
    </row>
    <row r="5696" spans="1:6" x14ac:dyDescent="0.3">
      <c r="A5696" t="s">
        <v>78</v>
      </c>
      <c r="B5696">
        <v>2024</v>
      </c>
      <c r="C5696" t="s">
        <v>18</v>
      </c>
      <c r="D5696" s="35">
        <v>7376742.9999999991</v>
      </c>
      <c r="E5696" s="35">
        <v>55432</v>
      </c>
      <c r="F5696" s="35">
        <v>5258951.58</v>
      </c>
    </row>
    <row r="5697" spans="1:6" x14ac:dyDescent="0.3">
      <c r="A5697" t="s">
        <v>78</v>
      </c>
      <c r="B5697">
        <v>2025</v>
      </c>
      <c r="C5697" t="s">
        <v>10</v>
      </c>
      <c r="D5697" s="35">
        <v>106130172.16</v>
      </c>
      <c r="E5697" s="35">
        <v>1652715</v>
      </c>
      <c r="F5697" s="35">
        <v>85797407.190000027</v>
      </c>
    </row>
    <row r="5698" spans="1:6" x14ac:dyDescent="0.3">
      <c r="A5698" t="s">
        <v>78</v>
      </c>
      <c r="B5698">
        <v>2025</v>
      </c>
      <c r="C5698" t="s">
        <v>4</v>
      </c>
      <c r="D5698" s="35">
        <v>213791134.70999989</v>
      </c>
      <c r="E5698" s="35">
        <v>561005</v>
      </c>
      <c r="F5698" s="35">
        <v>201653701.63</v>
      </c>
    </row>
    <row r="5699" spans="1:6" x14ac:dyDescent="0.3">
      <c r="A5699" t="s">
        <v>78</v>
      </c>
      <c r="B5699">
        <v>2025</v>
      </c>
      <c r="C5699" t="s">
        <v>13</v>
      </c>
      <c r="D5699" s="35">
        <v>52842526.619999997</v>
      </c>
      <c r="E5699" s="35">
        <v>569842</v>
      </c>
      <c r="F5699" s="35">
        <v>39987770.880000003</v>
      </c>
    </row>
    <row r="5700" spans="1:6" x14ac:dyDescent="0.3">
      <c r="A5700" t="s">
        <v>78</v>
      </c>
      <c r="B5700">
        <v>2025</v>
      </c>
      <c r="C5700" t="s">
        <v>16</v>
      </c>
      <c r="D5700" s="35">
        <v>27172254.07</v>
      </c>
      <c r="E5700" s="35">
        <v>66149</v>
      </c>
      <c r="F5700" s="35">
        <v>25133493.890000001</v>
      </c>
    </row>
    <row r="5701" spans="1:6" x14ac:dyDescent="0.3">
      <c r="A5701" t="s">
        <v>78</v>
      </c>
      <c r="B5701">
        <v>2025</v>
      </c>
      <c r="C5701" t="s">
        <v>14</v>
      </c>
      <c r="D5701" s="35">
        <v>33730965.020000003</v>
      </c>
      <c r="E5701" s="35">
        <v>761973</v>
      </c>
      <c r="F5701" s="35">
        <v>23517347.859999999</v>
      </c>
    </row>
    <row r="5702" spans="1:6" x14ac:dyDescent="0.3">
      <c r="A5702" t="s">
        <v>78</v>
      </c>
      <c r="B5702">
        <v>2025</v>
      </c>
      <c r="C5702" t="s">
        <v>7</v>
      </c>
      <c r="D5702" s="35">
        <v>70266797.560000002</v>
      </c>
      <c r="E5702" s="35">
        <v>24146</v>
      </c>
      <c r="F5702" s="35">
        <v>64278904.079999983</v>
      </c>
    </row>
    <row r="5703" spans="1:6" x14ac:dyDescent="0.3">
      <c r="A5703" t="s">
        <v>78</v>
      </c>
      <c r="B5703">
        <v>2025</v>
      </c>
      <c r="C5703" t="s">
        <v>11</v>
      </c>
      <c r="D5703" s="35">
        <v>25645981.780000001</v>
      </c>
      <c r="E5703" s="35">
        <v>85938</v>
      </c>
      <c r="F5703" s="35">
        <v>22829850.719999999</v>
      </c>
    </row>
    <row r="5704" spans="1:6" x14ac:dyDescent="0.3">
      <c r="A5704" t="s">
        <v>78</v>
      </c>
      <c r="B5704">
        <v>2025</v>
      </c>
      <c r="C5704" t="s">
        <v>3</v>
      </c>
      <c r="D5704" s="35">
        <v>393621316.19999999</v>
      </c>
      <c r="E5704" s="35">
        <v>471565</v>
      </c>
      <c r="F5704" s="35">
        <v>388836430.79999977</v>
      </c>
    </row>
    <row r="5705" spans="1:6" x14ac:dyDescent="0.3">
      <c r="A5705" t="s">
        <v>78</v>
      </c>
      <c r="B5705">
        <v>2025</v>
      </c>
      <c r="C5705" t="s">
        <v>12</v>
      </c>
      <c r="D5705" s="35">
        <v>51045254.790000007</v>
      </c>
      <c r="E5705" s="35">
        <v>1165234</v>
      </c>
      <c r="F5705" s="35">
        <v>33427461.88000001</v>
      </c>
    </row>
    <row r="5706" spans="1:6" x14ac:dyDescent="0.3">
      <c r="A5706" t="s">
        <v>78</v>
      </c>
      <c r="B5706">
        <v>2025</v>
      </c>
      <c r="C5706" t="s">
        <v>2</v>
      </c>
      <c r="D5706" s="35">
        <v>313907527.57999998</v>
      </c>
      <c r="E5706" s="35">
        <v>3518126</v>
      </c>
      <c r="F5706" s="35">
        <v>244231499.36000001</v>
      </c>
    </row>
    <row r="5707" spans="1:6" x14ac:dyDescent="0.3">
      <c r="A5707" t="s">
        <v>78</v>
      </c>
      <c r="B5707">
        <v>2025</v>
      </c>
      <c r="C5707" t="s">
        <v>5</v>
      </c>
      <c r="D5707" s="35">
        <v>126187900.51000001</v>
      </c>
      <c r="E5707" s="35">
        <v>50348</v>
      </c>
      <c r="F5707" s="35">
        <v>117980891.42</v>
      </c>
    </row>
    <row r="5708" spans="1:6" x14ac:dyDescent="0.3">
      <c r="A5708" t="s">
        <v>78</v>
      </c>
      <c r="B5708">
        <v>2025</v>
      </c>
      <c r="C5708" t="s">
        <v>17</v>
      </c>
      <c r="D5708" s="35">
        <v>3317892.14</v>
      </c>
      <c r="E5708" s="35">
        <v>113632</v>
      </c>
      <c r="F5708" s="35">
        <v>1752930.4</v>
      </c>
    </row>
    <row r="5709" spans="1:6" x14ac:dyDescent="0.3">
      <c r="A5709" t="s">
        <v>78</v>
      </c>
      <c r="B5709">
        <v>2025</v>
      </c>
      <c r="C5709" t="s">
        <v>9</v>
      </c>
      <c r="D5709" s="35">
        <v>120471266.56</v>
      </c>
      <c r="E5709" s="35">
        <v>1529328</v>
      </c>
      <c r="F5709" s="35">
        <v>99099386.459999993</v>
      </c>
    </row>
    <row r="5710" spans="1:6" x14ac:dyDescent="0.3">
      <c r="A5710" t="s">
        <v>78</v>
      </c>
      <c r="B5710">
        <v>2025</v>
      </c>
      <c r="C5710" t="s">
        <v>8</v>
      </c>
      <c r="D5710" s="35">
        <v>97055156.199999988</v>
      </c>
      <c r="E5710" s="35">
        <v>4018</v>
      </c>
      <c r="F5710" s="35">
        <v>95595626.279999971</v>
      </c>
    </row>
    <row r="5711" spans="1:6" x14ac:dyDescent="0.3">
      <c r="A5711" t="s">
        <v>78</v>
      </c>
      <c r="B5711">
        <v>2025</v>
      </c>
      <c r="C5711" t="s">
        <v>6</v>
      </c>
      <c r="D5711" s="35">
        <v>103814762.15000001</v>
      </c>
      <c r="E5711" s="35">
        <v>1374099</v>
      </c>
      <c r="F5711" s="35">
        <v>76150161.069999993</v>
      </c>
    </row>
    <row r="5712" spans="1:6" x14ac:dyDescent="0.3">
      <c r="A5712" t="s">
        <v>78</v>
      </c>
      <c r="B5712">
        <v>2025</v>
      </c>
      <c r="C5712" t="s">
        <v>15</v>
      </c>
      <c r="D5712" s="35">
        <v>13928360.720000001</v>
      </c>
      <c r="E5712" s="35">
        <v>343949</v>
      </c>
      <c r="F5712" s="35">
        <v>7854124.5</v>
      </c>
    </row>
    <row r="5713" spans="1:6" x14ac:dyDescent="0.3">
      <c r="A5713" t="s">
        <v>78</v>
      </c>
      <c r="B5713">
        <v>2025</v>
      </c>
      <c r="C5713" t="s">
        <v>18</v>
      </c>
      <c r="D5713" s="35">
        <v>7690145.0899999989</v>
      </c>
      <c r="E5713" s="35">
        <v>45809</v>
      </c>
      <c r="F5713" s="35">
        <v>3506763.44</v>
      </c>
    </row>
    <row r="5714" spans="1:6" x14ac:dyDescent="0.3">
      <c r="A5714" t="s">
        <v>79</v>
      </c>
      <c r="B5714">
        <v>2019</v>
      </c>
      <c r="C5714" t="s">
        <v>10</v>
      </c>
      <c r="D5714" s="35">
        <v>62681484.82</v>
      </c>
      <c r="E5714" s="35">
        <v>1344858</v>
      </c>
      <c r="F5714" s="35">
        <v>40247645.649999991</v>
      </c>
    </row>
    <row r="5715" spans="1:6" x14ac:dyDescent="0.3">
      <c r="A5715" t="s">
        <v>79</v>
      </c>
      <c r="B5715">
        <v>2019</v>
      </c>
      <c r="C5715" t="s">
        <v>4</v>
      </c>
      <c r="D5715" s="35">
        <v>144643592.58000001</v>
      </c>
      <c r="E5715" s="35">
        <v>406129</v>
      </c>
      <c r="F5715" s="35">
        <v>142607091.31999999</v>
      </c>
    </row>
    <row r="5716" spans="1:6" x14ac:dyDescent="0.3">
      <c r="A5716" t="s">
        <v>79</v>
      </c>
      <c r="B5716">
        <v>2019</v>
      </c>
      <c r="C5716" t="s">
        <v>13</v>
      </c>
      <c r="D5716" s="35">
        <v>42039985.600000001</v>
      </c>
      <c r="E5716" s="35">
        <v>391686</v>
      </c>
      <c r="F5716" s="35">
        <v>25796064</v>
      </c>
    </row>
    <row r="5717" spans="1:6" x14ac:dyDescent="0.3">
      <c r="A5717" t="s">
        <v>79</v>
      </c>
      <c r="B5717">
        <v>2019</v>
      </c>
      <c r="C5717" t="s">
        <v>16</v>
      </c>
      <c r="D5717" s="35">
        <v>12092344.59</v>
      </c>
      <c r="E5717" s="35">
        <v>53527</v>
      </c>
      <c r="F5717" s="35">
        <v>11109625.699999999</v>
      </c>
    </row>
    <row r="5718" spans="1:6" x14ac:dyDescent="0.3">
      <c r="A5718" t="s">
        <v>79</v>
      </c>
      <c r="B5718">
        <v>2019</v>
      </c>
      <c r="C5718" t="s">
        <v>14</v>
      </c>
      <c r="D5718" s="35">
        <v>33786671.110000007</v>
      </c>
      <c r="E5718" s="35">
        <v>691860</v>
      </c>
      <c r="F5718" s="35">
        <v>23960469.420000002</v>
      </c>
    </row>
    <row r="5719" spans="1:6" x14ac:dyDescent="0.3">
      <c r="A5719" t="s">
        <v>79</v>
      </c>
      <c r="B5719">
        <v>2019</v>
      </c>
      <c r="C5719" t="s">
        <v>7</v>
      </c>
      <c r="D5719" s="35">
        <v>43086887.329999998</v>
      </c>
      <c r="E5719" s="35">
        <v>19404</v>
      </c>
      <c r="F5719" s="35">
        <v>43002570.719999999</v>
      </c>
    </row>
    <row r="5720" spans="1:6" x14ac:dyDescent="0.3">
      <c r="A5720" t="s">
        <v>79</v>
      </c>
      <c r="B5720">
        <v>2019</v>
      </c>
      <c r="C5720" t="s">
        <v>11</v>
      </c>
      <c r="D5720" s="35">
        <v>22024534.68999999</v>
      </c>
      <c r="E5720" s="35">
        <v>44735</v>
      </c>
      <c r="F5720" s="35">
        <v>20415183.890000001</v>
      </c>
    </row>
    <row r="5721" spans="1:6" x14ac:dyDescent="0.3">
      <c r="A5721" t="s">
        <v>79</v>
      </c>
      <c r="B5721">
        <v>2019</v>
      </c>
      <c r="C5721" t="s">
        <v>3</v>
      </c>
      <c r="D5721" s="35">
        <v>142615366.03999999</v>
      </c>
      <c r="E5721" s="35">
        <v>419474</v>
      </c>
      <c r="F5721" s="35">
        <v>136106917.83000001</v>
      </c>
    </row>
    <row r="5722" spans="1:6" x14ac:dyDescent="0.3">
      <c r="A5722" t="s">
        <v>79</v>
      </c>
      <c r="B5722">
        <v>2019</v>
      </c>
      <c r="C5722" t="s">
        <v>12</v>
      </c>
      <c r="D5722" s="35">
        <v>87358426.499999985</v>
      </c>
      <c r="E5722" s="35">
        <v>988005</v>
      </c>
      <c r="F5722" s="35">
        <v>64993475.930000007</v>
      </c>
    </row>
    <row r="5723" spans="1:6" x14ac:dyDescent="0.3">
      <c r="A5723" t="s">
        <v>79</v>
      </c>
      <c r="B5723">
        <v>2019</v>
      </c>
      <c r="C5723" t="s">
        <v>2</v>
      </c>
      <c r="D5723" s="35">
        <v>383436243.75999987</v>
      </c>
      <c r="E5723" s="35">
        <v>3369117</v>
      </c>
      <c r="F5723" s="35">
        <v>322124142.5</v>
      </c>
    </row>
    <row r="5724" spans="1:6" x14ac:dyDescent="0.3">
      <c r="A5724" t="s">
        <v>79</v>
      </c>
      <c r="B5724">
        <v>2019</v>
      </c>
      <c r="C5724" t="s">
        <v>5</v>
      </c>
      <c r="D5724" s="35">
        <v>58359117.100000009</v>
      </c>
      <c r="E5724" s="35">
        <v>49167</v>
      </c>
      <c r="F5724" s="35">
        <v>54516986.090000018</v>
      </c>
    </row>
    <row r="5725" spans="1:6" x14ac:dyDescent="0.3">
      <c r="A5725" t="s">
        <v>79</v>
      </c>
      <c r="B5725">
        <v>2019</v>
      </c>
      <c r="C5725" t="s">
        <v>17</v>
      </c>
      <c r="D5725" s="35">
        <v>2762867.26</v>
      </c>
      <c r="E5725" s="35">
        <v>99897</v>
      </c>
      <c r="F5725" s="35">
        <v>333211.21999999997</v>
      </c>
    </row>
    <row r="5726" spans="1:6" x14ac:dyDescent="0.3">
      <c r="A5726" t="s">
        <v>79</v>
      </c>
      <c r="B5726">
        <v>2019</v>
      </c>
      <c r="C5726" t="s">
        <v>9</v>
      </c>
      <c r="D5726" s="35">
        <v>74101729.909999996</v>
      </c>
      <c r="E5726" s="35">
        <v>1259303</v>
      </c>
      <c r="F5726" s="35">
        <v>54176659.060000002</v>
      </c>
    </row>
    <row r="5727" spans="1:6" x14ac:dyDescent="0.3">
      <c r="A5727" t="s">
        <v>79</v>
      </c>
      <c r="B5727">
        <v>2019</v>
      </c>
      <c r="C5727" t="s">
        <v>8</v>
      </c>
      <c r="D5727" s="35">
        <v>44324403.039999999</v>
      </c>
      <c r="E5727" s="35">
        <v>3578</v>
      </c>
      <c r="F5727" s="35">
        <v>44324403.039999999</v>
      </c>
    </row>
    <row r="5728" spans="1:6" x14ac:dyDescent="0.3">
      <c r="A5728" t="s">
        <v>79</v>
      </c>
      <c r="B5728">
        <v>2019</v>
      </c>
      <c r="C5728" t="s">
        <v>6</v>
      </c>
      <c r="D5728" s="35">
        <v>142292355.13</v>
      </c>
      <c r="E5728" s="35">
        <v>1396443</v>
      </c>
      <c r="F5728" s="35">
        <v>127840206.27</v>
      </c>
    </row>
    <row r="5729" spans="1:6" x14ac:dyDescent="0.3">
      <c r="A5729" t="s">
        <v>79</v>
      </c>
      <c r="B5729">
        <v>2019</v>
      </c>
      <c r="C5729" t="s">
        <v>15</v>
      </c>
      <c r="D5729" s="35">
        <v>61770213.700000003</v>
      </c>
      <c r="E5729" s="35">
        <v>753309</v>
      </c>
      <c r="F5729" s="35">
        <v>41585546.849999987</v>
      </c>
    </row>
    <row r="5730" spans="1:6" x14ac:dyDescent="0.3">
      <c r="A5730" t="s">
        <v>79</v>
      </c>
      <c r="B5730">
        <v>2019</v>
      </c>
      <c r="C5730" t="s">
        <v>18</v>
      </c>
      <c r="D5730" s="35">
        <v>10120830.33</v>
      </c>
      <c r="E5730" s="35">
        <v>63582</v>
      </c>
      <c r="F5730" s="35">
        <v>8578249.3999999985</v>
      </c>
    </row>
    <row r="5731" spans="1:6" x14ac:dyDescent="0.3">
      <c r="A5731" t="s">
        <v>79</v>
      </c>
      <c r="B5731">
        <v>2020</v>
      </c>
      <c r="C5731" t="s">
        <v>10</v>
      </c>
      <c r="D5731" s="35">
        <v>77742934.679999992</v>
      </c>
      <c r="E5731" s="35">
        <v>1454344</v>
      </c>
      <c r="F5731" s="35">
        <v>53288250.419999987</v>
      </c>
    </row>
    <row r="5732" spans="1:6" x14ac:dyDescent="0.3">
      <c r="A5732" t="s">
        <v>79</v>
      </c>
      <c r="B5732">
        <v>2020</v>
      </c>
      <c r="C5732" t="s">
        <v>4</v>
      </c>
      <c r="D5732" s="35">
        <v>187589044.01000011</v>
      </c>
      <c r="E5732" s="35">
        <v>433615</v>
      </c>
      <c r="F5732" s="35">
        <v>185293436.63999999</v>
      </c>
    </row>
    <row r="5733" spans="1:6" x14ac:dyDescent="0.3">
      <c r="A5733" t="s">
        <v>79</v>
      </c>
      <c r="B5733">
        <v>2020</v>
      </c>
      <c r="C5733" t="s">
        <v>13</v>
      </c>
      <c r="D5733" s="35">
        <v>49064940.210000001</v>
      </c>
      <c r="E5733" s="35">
        <v>418481</v>
      </c>
      <c r="F5733" s="35">
        <v>30780697.27</v>
      </c>
    </row>
    <row r="5734" spans="1:6" x14ac:dyDescent="0.3">
      <c r="A5734" t="s">
        <v>79</v>
      </c>
      <c r="B5734">
        <v>2020</v>
      </c>
      <c r="C5734" t="s">
        <v>16</v>
      </c>
      <c r="D5734" s="35">
        <v>13593520.51</v>
      </c>
      <c r="E5734" s="35">
        <v>55762</v>
      </c>
      <c r="F5734" s="35">
        <v>12557868.189999999</v>
      </c>
    </row>
    <row r="5735" spans="1:6" x14ac:dyDescent="0.3">
      <c r="A5735" t="s">
        <v>79</v>
      </c>
      <c r="B5735">
        <v>2020</v>
      </c>
      <c r="C5735" t="s">
        <v>14</v>
      </c>
      <c r="D5735" s="35">
        <v>40420056.799999997</v>
      </c>
      <c r="E5735" s="35">
        <v>691432</v>
      </c>
      <c r="F5735" s="35">
        <v>29029322.760000009</v>
      </c>
    </row>
    <row r="5736" spans="1:6" x14ac:dyDescent="0.3">
      <c r="A5736" t="s">
        <v>79</v>
      </c>
      <c r="B5736">
        <v>2020</v>
      </c>
      <c r="C5736" t="s">
        <v>7</v>
      </c>
      <c r="D5736" s="35">
        <v>53452129.960000001</v>
      </c>
      <c r="E5736" s="35">
        <v>18824</v>
      </c>
      <c r="F5736" s="35">
        <v>53405989.499999993</v>
      </c>
    </row>
    <row r="5737" spans="1:6" x14ac:dyDescent="0.3">
      <c r="A5737" t="s">
        <v>79</v>
      </c>
      <c r="B5737">
        <v>2020</v>
      </c>
      <c r="C5737" t="s">
        <v>11</v>
      </c>
      <c r="D5737" s="35">
        <v>22524767.850000001</v>
      </c>
      <c r="E5737" s="35">
        <v>51126</v>
      </c>
      <c r="F5737" s="35">
        <v>20341044.469999999</v>
      </c>
    </row>
    <row r="5738" spans="1:6" x14ac:dyDescent="0.3">
      <c r="A5738" t="s">
        <v>79</v>
      </c>
      <c r="B5738">
        <v>2020</v>
      </c>
      <c r="C5738" t="s">
        <v>3</v>
      </c>
      <c r="D5738" s="35">
        <v>189373472.19999999</v>
      </c>
      <c r="E5738" s="35">
        <v>386631</v>
      </c>
      <c r="F5738" s="35">
        <v>182413739.97</v>
      </c>
    </row>
    <row r="5739" spans="1:6" x14ac:dyDescent="0.3">
      <c r="A5739" t="s">
        <v>79</v>
      </c>
      <c r="B5739">
        <v>2020</v>
      </c>
      <c r="C5739" t="s">
        <v>12</v>
      </c>
      <c r="D5739" s="35">
        <v>86033291.910000011</v>
      </c>
      <c r="E5739" s="35">
        <v>848212</v>
      </c>
      <c r="F5739" s="35">
        <v>65956999.670000009</v>
      </c>
    </row>
    <row r="5740" spans="1:6" x14ac:dyDescent="0.3">
      <c r="A5740" t="s">
        <v>79</v>
      </c>
      <c r="B5740">
        <v>2020</v>
      </c>
      <c r="C5740" t="s">
        <v>2</v>
      </c>
      <c r="D5740" s="35">
        <v>397068158.80000007</v>
      </c>
      <c r="E5740" s="35">
        <v>3401096</v>
      </c>
      <c r="F5740" s="35">
        <v>321152513.10000002</v>
      </c>
    </row>
    <row r="5741" spans="1:6" x14ac:dyDescent="0.3">
      <c r="A5741" t="s">
        <v>79</v>
      </c>
      <c r="B5741">
        <v>2020</v>
      </c>
      <c r="C5741" t="s">
        <v>5</v>
      </c>
      <c r="D5741" s="35">
        <v>59996114.239999987</v>
      </c>
      <c r="E5741" s="35">
        <v>44421</v>
      </c>
      <c r="F5741" s="35">
        <v>56741869.839999989</v>
      </c>
    </row>
    <row r="5742" spans="1:6" x14ac:dyDescent="0.3">
      <c r="A5742" t="s">
        <v>79</v>
      </c>
      <c r="B5742">
        <v>2020</v>
      </c>
      <c r="C5742" t="s">
        <v>17</v>
      </c>
      <c r="D5742" s="35">
        <v>3250346.74</v>
      </c>
      <c r="E5742" s="35">
        <v>96544</v>
      </c>
      <c r="F5742" s="35">
        <v>697785.91</v>
      </c>
    </row>
    <row r="5743" spans="1:6" x14ac:dyDescent="0.3">
      <c r="A5743" t="s">
        <v>79</v>
      </c>
      <c r="B5743">
        <v>2020</v>
      </c>
      <c r="C5743" t="s">
        <v>9</v>
      </c>
      <c r="D5743" s="35">
        <v>85872982.169999972</v>
      </c>
      <c r="E5743" s="35">
        <v>1291102</v>
      </c>
      <c r="F5743" s="35">
        <v>64888823.149999991</v>
      </c>
    </row>
    <row r="5744" spans="1:6" x14ac:dyDescent="0.3">
      <c r="A5744" t="s">
        <v>79</v>
      </c>
      <c r="B5744">
        <v>2020</v>
      </c>
      <c r="C5744" t="s">
        <v>8</v>
      </c>
      <c r="D5744" s="35">
        <v>52060746.459999993</v>
      </c>
      <c r="E5744" s="35">
        <v>3770</v>
      </c>
      <c r="F5744" s="35">
        <v>52060746.459999993</v>
      </c>
    </row>
    <row r="5745" spans="1:6" x14ac:dyDescent="0.3">
      <c r="A5745" t="s">
        <v>79</v>
      </c>
      <c r="B5745">
        <v>2020</v>
      </c>
      <c r="C5745" t="s">
        <v>6</v>
      </c>
      <c r="D5745" s="35">
        <v>159243839.81999999</v>
      </c>
      <c r="E5745" s="35">
        <v>1433128</v>
      </c>
      <c r="F5745" s="35">
        <v>142323554.5</v>
      </c>
    </row>
    <row r="5746" spans="1:6" x14ac:dyDescent="0.3">
      <c r="A5746" t="s">
        <v>79</v>
      </c>
      <c r="B5746">
        <v>2020</v>
      </c>
      <c r="C5746" t="s">
        <v>15</v>
      </c>
      <c r="D5746" s="35">
        <v>42951122.63000001</v>
      </c>
      <c r="E5746" s="35">
        <v>610759</v>
      </c>
      <c r="F5746" s="35">
        <v>28449962.48</v>
      </c>
    </row>
    <row r="5747" spans="1:6" x14ac:dyDescent="0.3">
      <c r="A5747" t="s">
        <v>79</v>
      </c>
      <c r="B5747">
        <v>2020</v>
      </c>
      <c r="C5747" t="s">
        <v>18</v>
      </c>
      <c r="D5747" s="35">
        <v>10089651.59</v>
      </c>
      <c r="E5747" s="35">
        <v>63736</v>
      </c>
      <c r="F5747" s="35">
        <v>8434927.7599999998</v>
      </c>
    </row>
    <row r="5748" spans="1:6" x14ac:dyDescent="0.3">
      <c r="A5748" t="s">
        <v>79</v>
      </c>
      <c r="B5748">
        <v>2021</v>
      </c>
      <c r="C5748" t="s">
        <v>10</v>
      </c>
      <c r="D5748" s="35">
        <v>94175885.840000004</v>
      </c>
      <c r="E5748" s="35">
        <v>1649969</v>
      </c>
      <c r="F5748" s="35">
        <v>66536090.520000011</v>
      </c>
    </row>
    <row r="5749" spans="1:6" x14ac:dyDescent="0.3">
      <c r="A5749" t="s">
        <v>79</v>
      </c>
      <c r="B5749">
        <v>2021</v>
      </c>
      <c r="C5749" t="s">
        <v>4</v>
      </c>
      <c r="D5749" s="35">
        <v>244688877.30000001</v>
      </c>
      <c r="E5749" s="35">
        <v>470116</v>
      </c>
      <c r="F5749" s="35">
        <v>241578374.34999999</v>
      </c>
    </row>
    <row r="5750" spans="1:6" x14ac:dyDescent="0.3">
      <c r="A5750" t="s">
        <v>79</v>
      </c>
      <c r="B5750">
        <v>2021</v>
      </c>
      <c r="C5750" t="s">
        <v>13</v>
      </c>
      <c r="D5750" s="35">
        <v>57337708.909999996</v>
      </c>
      <c r="E5750" s="35">
        <v>486548</v>
      </c>
      <c r="F5750" s="35">
        <v>36069160.170000002</v>
      </c>
    </row>
    <row r="5751" spans="1:6" x14ac:dyDescent="0.3">
      <c r="A5751" t="s">
        <v>79</v>
      </c>
      <c r="B5751">
        <v>2021</v>
      </c>
      <c r="C5751" t="s">
        <v>16</v>
      </c>
      <c r="D5751" s="35">
        <v>16054270.25</v>
      </c>
      <c r="E5751" s="35">
        <v>60987</v>
      </c>
      <c r="F5751" s="35">
        <v>14871915.050000001</v>
      </c>
    </row>
    <row r="5752" spans="1:6" x14ac:dyDescent="0.3">
      <c r="A5752" t="s">
        <v>79</v>
      </c>
      <c r="B5752">
        <v>2021</v>
      </c>
      <c r="C5752" t="s">
        <v>14</v>
      </c>
      <c r="D5752" s="35">
        <v>49655040.149999999</v>
      </c>
      <c r="E5752" s="35">
        <v>679287</v>
      </c>
      <c r="F5752" s="35">
        <v>37653309.060000002</v>
      </c>
    </row>
    <row r="5753" spans="1:6" x14ac:dyDescent="0.3">
      <c r="A5753" t="s">
        <v>79</v>
      </c>
      <c r="B5753">
        <v>2021</v>
      </c>
      <c r="C5753" t="s">
        <v>7</v>
      </c>
      <c r="D5753" s="35">
        <v>61014806.770000003</v>
      </c>
      <c r="E5753" s="35">
        <v>19554</v>
      </c>
      <c r="F5753" s="35">
        <v>60841858.409999996</v>
      </c>
    </row>
    <row r="5754" spans="1:6" x14ac:dyDescent="0.3">
      <c r="A5754" t="s">
        <v>79</v>
      </c>
      <c r="B5754">
        <v>2021</v>
      </c>
      <c r="C5754" t="s">
        <v>11</v>
      </c>
      <c r="D5754" s="35">
        <v>26586107.280000001</v>
      </c>
      <c r="E5754" s="35">
        <v>53206</v>
      </c>
      <c r="F5754" s="35">
        <v>23368653.859999999</v>
      </c>
    </row>
    <row r="5755" spans="1:6" x14ac:dyDescent="0.3">
      <c r="A5755" t="s">
        <v>79</v>
      </c>
      <c r="B5755">
        <v>2021</v>
      </c>
      <c r="C5755" t="s">
        <v>3</v>
      </c>
      <c r="D5755" s="35">
        <v>269521170.91000009</v>
      </c>
      <c r="E5755" s="35">
        <v>433615</v>
      </c>
      <c r="F5755" s="35">
        <v>262452037.92000011</v>
      </c>
    </row>
    <row r="5756" spans="1:6" x14ac:dyDescent="0.3">
      <c r="A5756" t="s">
        <v>79</v>
      </c>
      <c r="B5756">
        <v>2021</v>
      </c>
      <c r="C5756" t="s">
        <v>12</v>
      </c>
      <c r="D5756" s="35">
        <v>74578339.289999992</v>
      </c>
      <c r="E5756" s="35">
        <v>932390</v>
      </c>
      <c r="F5756" s="35">
        <v>54923265.24000001</v>
      </c>
    </row>
    <row r="5757" spans="1:6" x14ac:dyDescent="0.3">
      <c r="A5757" t="s">
        <v>79</v>
      </c>
      <c r="B5757">
        <v>2021</v>
      </c>
      <c r="C5757" t="s">
        <v>2</v>
      </c>
      <c r="D5757" s="35">
        <v>489700105.22000003</v>
      </c>
      <c r="E5757" s="35">
        <v>3523565</v>
      </c>
      <c r="F5757" s="35">
        <v>404356912.82000011</v>
      </c>
    </row>
    <row r="5758" spans="1:6" x14ac:dyDescent="0.3">
      <c r="A5758" t="s">
        <v>79</v>
      </c>
      <c r="B5758">
        <v>2021</v>
      </c>
      <c r="C5758" t="s">
        <v>5</v>
      </c>
      <c r="D5758" s="35">
        <v>69831767.769999981</v>
      </c>
      <c r="E5758" s="35">
        <v>43540</v>
      </c>
      <c r="F5758" s="35">
        <v>66818013.379999988</v>
      </c>
    </row>
    <row r="5759" spans="1:6" x14ac:dyDescent="0.3">
      <c r="A5759" t="s">
        <v>79</v>
      </c>
      <c r="B5759">
        <v>2021</v>
      </c>
      <c r="C5759" t="s">
        <v>17</v>
      </c>
      <c r="D5759" s="35">
        <v>3275029.96</v>
      </c>
      <c r="E5759" s="35">
        <v>88179</v>
      </c>
      <c r="F5759" s="35">
        <v>875746.98</v>
      </c>
    </row>
    <row r="5760" spans="1:6" x14ac:dyDescent="0.3">
      <c r="A5760" t="s">
        <v>79</v>
      </c>
      <c r="B5760">
        <v>2021</v>
      </c>
      <c r="C5760" t="s">
        <v>9</v>
      </c>
      <c r="D5760" s="35">
        <v>92184786.330000028</v>
      </c>
      <c r="E5760" s="35">
        <v>1414410</v>
      </c>
      <c r="F5760" s="35">
        <v>70117678.64000003</v>
      </c>
    </row>
    <row r="5761" spans="1:6" x14ac:dyDescent="0.3">
      <c r="A5761" t="s">
        <v>79</v>
      </c>
      <c r="B5761">
        <v>2021</v>
      </c>
      <c r="C5761" t="s">
        <v>8</v>
      </c>
      <c r="D5761" s="35">
        <v>54906278.259999998</v>
      </c>
      <c r="E5761" s="35">
        <v>3857</v>
      </c>
      <c r="F5761" s="35">
        <v>54117125.869999997</v>
      </c>
    </row>
    <row r="5762" spans="1:6" x14ac:dyDescent="0.3">
      <c r="A5762" t="s">
        <v>79</v>
      </c>
      <c r="B5762">
        <v>2021</v>
      </c>
      <c r="C5762" t="s">
        <v>6</v>
      </c>
      <c r="D5762" s="35">
        <v>174680579.55000001</v>
      </c>
      <c r="E5762" s="35">
        <v>1488530</v>
      </c>
      <c r="F5762" s="35">
        <v>156768969.16999999</v>
      </c>
    </row>
    <row r="5763" spans="1:6" x14ac:dyDescent="0.3">
      <c r="A5763" t="s">
        <v>79</v>
      </c>
      <c r="B5763">
        <v>2021</v>
      </c>
      <c r="C5763" t="s">
        <v>15</v>
      </c>
      <c r="D5763" s="35">
        <v>38681222.039999999</v>
      </c>
      <c r="E5763" s="35">
        <v>523071</v>
      </c>
      <c r="F5763" s="35">
        <v>25524577.350000001</v>
      </c>
    </row>
    <row r="5764" spans="1:6" x14ac:dyDescent="0.3">
      <c r="A5764" t="s">
        <v>79</v>
      </c>
      <c r="B5764">
        <v>2021</v>
      </c>
      <c r="C5764" t="s">
        <v>18</v>
      </c>
      <c r="D5764" s="35">
        <v>10474882.24</v>
      </c>
      <c r="E5764" s="35">
        <v>57327</v>
      </c>
      <c r="F5764" s="35">
        <v>9248837.6300000008</v>
      </c>
    </row>
    <row r="5765" spans="1:6" x14ac:dyDescent="0.3">
      <c r="A5765" t="s">
        <v>79</v>
      </c>
      <c r="B5765">
        <v>2022</v>
      </c>
      <c r="C5765" t="s">
        <v>10</v>
      </c>
      <c r="D5765" s="35">
        <v>100524462.8599999</v>
      </c>
      <c r="E5765" s="35">
        <v>1714243</v>
      </c>
      <c r="F5765" s="35">
        <v>72784339.74000001</v>
      </c>
    </row>
    <row r="5766" spans="1:6" x14ac:dyDescent="0.3">
      <c r="A5766" t="s">
        <v>79</v>
      </c>
      <c r="B5766">
        <v>2022</v>
      </c>
      <c r="C5766" t="s">
        <v>4</v>
      </c>
      <c r="D5766" s="35">
        <v>282026815.13999993</v>
      </c>
      <c r="E5766" s="35">
        <v>501250</v>
      </c>
      <c r="F5766" s="35">
        <v>278854889.85000002</v>
      </c>
    </row>
    <row r="5767" spans="1:6" x14ac:dyDescent="0.3">
      <c r="A5767" t="s">
        <v>79</v>
      </c>
      <c r="B5767">
        <v>2022</v>
      </c>
      <c r="C5767" t="s">
        <v>13</v>
      </c>
      <c r="D5767" s="35">
        <v>56106620.499999993</v>
      </c>
      <c r="E5767" s="35">
        <v>490570</v>
      </c>
      <c r="F5767" s="35">
        <v>36472326.289999999</v>
      </c>
    </row>
    <row r="5768" spans="1:6" x14ac:dyDescent="0.3">
      <c r="A5768" t="s">
        <v>79</v>
      </c>
      <c r="B5768">
        <v>2022</v>
      </c>
      <c r="C5768" t="s">
        <v>16</v>
      </c>
      <c r="D5768" s="35">
        <v>17702675.43</v>
      </c>
      <c r="E5768" s="35">
        <v>59542</v>
      </c>
      <c r="F5768" s="35">
        <v>16463615.83</v>
      </c>
    </row>
    <row r="5769" spans="1:6" x14ac:dyDescent="0.3">
      <c r="A5769" t="s">
        <v>79</v>
      </c>
      <c r="B5769">
        <v>2022</v>
      </c>
      <c r="C5769" t="s">
        <v>14</v>
      </c>
      <c r="D5769" s="35">
        <v>50678689.390000023</v>
      </c>
      <c r="E5769" s="35">
        <v>698036</v>
      </c>
      <c r="F5769" s="35">
        <v>38556996.380000003</v>
      </c>
    </row>
    <row r="5770" spans="1:6" x14ac:dyDescent="0.3">
      <c r="A5770" t="s">
        <v>79</v>
      </c>
      <c r="B5770">
        <v>2022</v>
      </c>
      <c r="C5770" t="s">
        <v>7</v>
      </c>
      <c r="D5770" s="35">
        <v>63379494.189999998</v>
      </c>
      <c r="E5770" s="35">
        <v>19903</v>
      </c>
      <c r="F5770" s="35">
        <v>63253699.45000001</v>
      </c>
    </row>
    <row r="5771" spans="1:6" x14ac:dyDescent="0.3">
      <c r="A5771" t="s">
        <v>79</v>
      </c>
      <c r="B5771">
        <v>2022</v>
      </c>
      <c r="C5771" t="s">
        <v>11</v>
      </c>
      <c r="D5771" s="35">
        <v>33454267.469999999</v>
      </c>
      <c r="E5771" s="35">
        <v>49509</v>
      </c>
      <c r="F5771" s="35">
        <v>30203898.039999999</v>
      </c>
    </row>
    <row r="5772" spans="1:6" x14ac:dyDescent="0.3">
      <c r="A5772" t="s">
        <v>79</v>
      </c>
      <c r="B5772">
        <v>2022</v>
      </c>
      <c r="C5772" t="s">
        <v>3</v>
      </c>
      <c r="D5772" s="35">
        <v>340239738.31</v>
      </c>
      <c r="E5772" s="35">
        <v>460643</v>
      </c>
      <c r="F5772" s="35">
        <v>332828596.30000001</v>
      </c>
    </row>
    <row r="5773" spans="1:6" x14ac:dyDescent="0.3">
      <c r="A5773" t="s">
        <v>79</v>
      </c>
      <c r="B5773">
        <v>2022</v>
      </c>
      <c r="C5773" t="s">
        <v>12</v>
      </c>
      <c r="D5773" s="35">
        <v>66631425.699999981</v>
      </c>
      <c r="E5773" s="35">
        <v>1046612</v>
      </c>
      <c r="F5773" s="35">
        <v>45355743.940000013</v>
      </c>
    </row>
    <row r="5774" spans="1:6" x14ac:dyDescent="0.3">
      <c r="A5774" t="s">
        <v>79</v>
      </c>
      <c r="B5774">
        <v>2022</v>
      </c>
      <c r="C5774" t="s">
        <v>2</v>
      </c>
      <c r="D5774" s="35">
        <v>541208542.39999998</v>
      </c>
      <c r="E5774" s="35">
        <v>3549133</v>
      </c>
      <c r="F5774" s="35">
        <v>451548511.11000007</v>
      </c>
    </row>
    <row r="5775" spans="1:6" x14ac:dyDescent="0.3">
      <c r="A5775" t="s">
        <v>79</v>
      </c>
      <c r="B5775">
        <v>2022</v>
      </c>
      <c r="C5775" t="s">
        <v>5</v>
      </c>
      <c r="D5775" s="35">
        <v>74689601.24000001</v>
      </c>
      <c r="E5775" s="35">
        <v>42092</v>
      </c>
      <c r="F5775" s="35">
        <v>72141736.729999989</v>
      </c>
    </row>
    <row r="5776" spans="1:6" x14ac:dyDescent="0.3">
      <c r="A5776" t="s">
        <v>79</v>
      </c>
      <c r="B5776">
        <v>2022</v>
      </c>
      <c r="C5776" t="s">
        <v>17</v>
      </c>
      <c r="D5776" s="35">
        <v>2748125.09</v>
      </c>
      <c r="E5776" s="35">
        <v>79975</v>
      </c>
      <c r="F5776" s="35">
        <v>778838.93</v>
      </c>
    </row>
    <row r="5777" spans="1:6" x14ac:dyDescent="0.3">
      <c r="A5777" t="s">
        <v>79</v>
      </c>
      <c r="B5777">
        <v>2022</v>
      </c>
      <c r="C5777" t="s">
        <v>9</v>
      </c>
      <c r="D5777" s="35">
        <v>97554646.789999992</v>
      </c>
      <c r="E5777" s="35">
        <v>1439946</v>
      </c>
      <c r="F5777" s="35">
        <v>72260275.160000011</v>
      </c>
    </row>
    <row r="5778" spans="1:6" x14ac:dyDescent="0.3">
      <c r="A5778" t="s">
        <v>79</v>
      </c>
      <c r="B5778">
        <v>2022</v>
      </c>
      <c r="C5778" t="s">
        <v>8</v>
      </c>
      <c r="D5778" s="35">
        <v>67341609.949999988</v>
      </c>
      <c r="E5778" s="35">
        <v>3897</v>
      </c>
      <c r="F5778" s="35">
        <v>66725371.319999993</v>
      </c>
    </row>
    <row r="5779" spans="1:6" x14ac:dyDescent="0.3">
      <c r="A5779" t="s">
        <v>79</v>
      </c>
      <c r="B5779">
        <v>2022</v>
      </c>
      <c r="C5779" t="s">
        <v>6</v>
      </c>
      <c r="D5779" s="35">
        <v>182851219.94999999</v>
      </c>
      <c r="E5779" s="35">
        <v>1561105</v>
      </c>
      <c r="F5779" s="35">
        <v>162491459.28999999</v>
      </c>
    </row>
    <row r="5780" spans="1:6" x14ac:dyDescent="0.3">
      <c r="A5780" t="s">
        <v>79</v>
      </c>
      <c r="B5780">
        <v>2022</v>
      </c>
      <c r="C5780" t="s">
        <v>15</v>
      </c>
      <c r="D5780" s="35">
        <v>33860573.68</v>
      </c>
      <c r="E5780" s="35">
        <v>476632</v>
      </c>
      <c r="F5780" s="35">
        <v>21924746.669999991</v>
      </c>
    </row>
    <row r="5781" spans="1:6" x14ac:dyDescent="0.3">
      <c r="A5781" t="s">
        <v>79</v>
      </c>
      <c r="B5781">
        <v>2022</v>
      </c>
      <c r="C5781" t="s">
        <v>18</v>
      </c>
      <c r="D5781" s="35">
        <v>8482997.5200000014</v>
      </c>
      <c r="E5781" s="35">
        <v>54272</v>
      </c>
      <c r="F5781" s="35">
        <v>7097800.4699999997</v>
      </c>
    </row>
    <row r="5782" spans="1:6" x14ac:dyDescent="0.3">
      <c r="A5782" t="s">
        <v>79</v>
      </c>
      <c r="B5782">
        <v>2023</v>
      </c>
      <c r="C5782" t="s">
        <v>10</v>
      </c>
      <c r="D5782" s="35">
        <v>105022750.97</v>
      </c>
      <c r="E5782" s="35">
        <v>1911180</v>
      </c>
      <c r="F5782" s="35">
        <v>76773254.200000018</v>
      </c>
    </row>
    <row r="5783" spans="1:6" x14ac:dyDescent="0.3">
      <c r="A5783" t="s">
        <v>79</v>
      </c>
      <c r="B5783">
        <v>2023</v>
      </c>
      <c r="C5783" t="s">
        <v>4</v>
      </c>
      <c r="D5783" s="35">
        <v>315249624.86000001</v>
      </c>
      <c r="E5783" s="35">
        <v>660566</v>
      </c>
      <c r="F5783" s="35">
        <v>312038800.47000003</v>
      </c>
    </row>
    <row r="5784" spans="1:6" x14ac:dyDescent="0.3">
      <c r="A5784" t="s">
        <v>79</v>
      </c>
      <c r="B5784">
        <v>2023</v>
      </c>
      <c r="C5784" t="s">
        <v>13</v>
      </c>
      <c r="D5784" s="35">
        <v>53314365.489999987</v>
      </c>
      <c r="E5784" s="35">
        <v>511839</v>
      </c>
      <c r="F5784" s="35">
        <v>35541529.740000002</v>
      </c>
    </row>
    <row r="5785" spans="1:6" x14ac:dyDescent="0.3">
      <c r="A5785" t="s">
        <v>79</v>
      </c>
      <c r="B5785">
        <v>2023</v>
      </c>
      <c r="C5785" t="s">
        <v>16</v>
      </c>
      <c r="D5785" s="35">
        <v>15742247.92</v>
      </c>
      <c r="E5785" s="35">
        <v>74374</v>
      </c>
      <c r="F5785" s="35">
        <v>14009434.130000001</v>
      </c>
    </row>
    <row r="5786" spans="1:6" x14ac:dyDescent="0.3">
      <c r="A5786" t="s">
        <v>79</v>
      </c>
      <c r="B5786">
        <v>2023</v>
      </c>
      <c r="C5786" t="s">
        <v>14</v>
      </c>
      <c r="D5786" s="35">
        <v>53434612.019999988</v>
      </c>
      <c r="E5786" s="35">
        <v>916204</v>
      </c>
      <c r="F5786" s="35">
        <v>39395173.710000001</v>
      </c>
    </row>
    <row r="5787" spans="1:6" x14ac:dyDescent="0.3">
      <c r="A5787" t="s">
        <v>79</v>
      </c>
      <c r="B5787">
        <v>2023</v>
      </c>
      <c r="C5787" t="s">
        <v>7</v>
      </c>
      <c r="D5787" s="35">
        <v>64538778.619999997</v>
      </c>
      <c r="E5787" s="35">
        <v>23672</v>
      </c>
      <c r="F5787" s="35">
        <v>64405496.57</v>
      </c>
    </row>
    <row r="5788" spans="1:6" x14ac:dyDescent="0.3">
      <c r="A5788" t="s">
        <v>79</v>
      </c>
      <c r="B5788">
        <v>2023</v>
      </c>
      <c r="C5788" t="s">
        <v>11</v>
      </c>
      <c r="D5788" s="35">
        <v>26427234.359999988</v>
      </c>
      <c r="E5788" s="35">
        <v>53514</v>
      </c>
      <c r="F5788" s="35">
        <v>23803998.199999999</v>
      </c>
    </row>
    <row r="5789" spans="1:6" x14ac:dyDescent="0.3">
      <c r="A5789" t="s">
        <v>79</v>
      </c>
      <c r="B5789">
        <v>2023</v>
      </c>
      <c r="C5789" t="s">
        <v>3</v>
      </c>
      <c r="D5789" s="35">
        <v>414781194.83999997</v>
      </c>
      <c r="E5789" s="35">
        <v>512027</v>
      </c>
      <c r="F5789" s="35">
        <v>406973789.77999997</v>
      </c>
    </row>
    <row r="5790" spans="1:6" x14ac:dyDescent="0.3">
      <c r="A5790" t="s">
        <v>79</v>
      </c>
      <c r="B5790">
        <v>2023</v>
      </c>
      <c r="C5790" t="s">
        <v>12</v>
      </c>
      <c r="D5790" s="35">
        <v>67146128.640000001</v>
      </c>
      <c r="E5790" s="35">
        <v>1134677</v>
      </c>
      <c r="F5790" s="35">
        <v>45315931.900000013</v>
      </c>
    </row>
    <row r="5791" spans="1:6" x14ac:dyDescent="0.3">
      <c r="A5791" t="s">
        <v>79</v>
      </c>
      <c r="B5791">
        <v>2023</v>
      </c>
      <c r="C5791" t="s">
        <v>2</v>
      </c>
      <c r="D5791" s="35">
        <v>539057122.76999986</v>
      </c>
      <c r="E5791" s="35">
        <v>4144171</v>
      </c>
      <c r="F5791" s="35">
        <v>455954337.67000002</v>
      </c>
    </row>
    <row r="5792" spans="1:6" x14ac:dyDescent="0.3">
      <c r="A5792" t="s">
        <v>79</v>
      </c>
      <c r="B5792">
        <v>2023</v>
      </c>
      <c r="C5792" t="s">
        <v>5</v>
      </c>
      <c r="D5792" s="35">
        <v>89942013.920000017</v>
      </c>
      <c r="E5792" s="35">
        <v>53184</v>
      </c>
      <c r="F5792" s="35">
        <v>87482936.719999999</v>
      </c>
    </row>
    <row r="5793" spans="1:6" x14ac:dyDescent="0.3">
      <c r="A5793" t="s">
        <v>79</v>
      </c>
      <c r="B5793">
        <v>2023</v>
      </c>
      <c r="C5793" t="s">
        <v>17</v>
      </c>
      <c r="D5793" s="35">
        <v>2549855.060000001</v>
      </c>
      <c r="E5793" s="35">
        <v>100171</v>
      </c>
      <c r="F5793" s="35">
        <v>752217.06</v>
      </c>
    </row>
    <row r="5794" spans="1:6" x14ac:dyDescent="0.3">
      <c r="A5794" t="s">
        <v>79</v>
      </c>
      <c r="B5794">
        <v>2023</v>
      </c>
      <c r="C5794" t="s">
        <v>9</v>
      </c>
      <c r="D5794" s="35">
        <v>101278906.64</v>
      </c>
      <c r="E5794" s="35">
        <v>1458654</v>
      </c>
      <c r="F5794" s="35">
        <v>76034422.670000002</v>
      </c>
    </row>
    <row r="5795" spans="1:6" x14ac:dyDescent="0.3">
      <c r="A5795" t="s">
        <v>79</v>
      </c>
      <c r="B5795">
        <v>2023</v>
      </c>
      <c r="C5795" t="s">
        <v>8</v>
      </c>
      <c r="D5795" s="35">
        <v>75311564.469999999</v>
      </c>
      <c r="E5795" s="35">
        <v>3755</v>
      </c>
      <c r="F5795" s="35">
        <v>74264913.780000001</v>
      </c>
    </row>
    <row r="5796" spans="1:6" x14ac:dyDescent="0.3">
      <c r="A5796" t="s">
        <v>79</v>
      </c>
      <c r="B5796">
        <v>2023</v>
      </c>
      <c r="C5796" t="s">
        <v>6</v>
      </c>
      <c r="D5796" s="35">
        <v>176437518.99000001</v>
      </c>
      <c r="E5796" s="35">
        <v>1711149</v>
      </c>
      <c r="F5796" s="35">
        <v>155182624.83000001</v>
      </c>
    </row>
    <row r="5797" spans="1:6" x14ac:dyDescent="0.3">
      <c r="A5797" t="s">
        <v>79</v>
      </c>
      <c r="B5797">
        <v>2023</v>
      </c>
      <c r="C5797" t="s">
        <v>15</v>
      </c>
      <c r="D5797" s="35">
        <v>23709825.07</v>
      </c>
      <c r="E5797" s="35">
        <v>424501</v>
      </c>
      <c r="F5797" s="35">
        <v>13328240.25</v>
      </c>
    </row>
    <row r="5798" spans="1:6" x14ac:dyDescent="0.3">
      <c r="A5798" t="s">
        <v>79</v>
      </c>
      <c r="B5798">
        <v>2023</v>
      </c>
      <c r="C5798" t="s">
        <v>18</v>
      </c>
      <c r="D5798" s="35">
        <v>8658516.6199999992</v>
      </c>
      <c r="E5798" s="35">
        <v>73151</v>
      </c>
      <c r="F5798" s="35">
        <v>7428294.8399999999</v>
      </c>
    </row>
    <row r="5799" spans="1:6" x14ac:dyDescent="0.3">
      <c r="A5799" t="s">
        <v>79</v>
      </c>
      <c r="B5799">
        <v>2024</v>
      </c>
      <c r="C5799" t="s">
        <v>10</v>
      </c>
      <c r="D5799" s="35">
        <v>103529914.26000001</v>
      </c>
      <c r="E5799" s="35">
        <v>1785289</v>
      </c>
      <c r="F5799" s="35">
        <v>78241498.969999999</v>
      </c>
    </row>
    <row r="5800" spans="1:6" x14ac:dyDescent="0.3">
      <c r="A5800" t="s">
        <v>79</v>
      </c>
      <c r="B5800">
        <v>2024</v>
      </c>
      <c r="C5800" t="s">
        <v>4</v>
      </c>
      <c r="D5800" s="35">
        <v>314806723.18000013</v>
      </c>
      <c r="E5800" s="35">
        <v>670239</v>
      </c>
      <c r="F5800" s="35">
        <v>312057652.95999998</v>
      </c>
    </row>
    <row r="5801" spans="1:6" x14ac:dyDescent="0.3">
      <c r="A5801" t="s">
        <v>79</v>
      </c>
      <c r="B5801">
        <v>2024</v>
      </c>
      <c r="C5801" t="s">
        <v>13</v>
      </c>
      <c r="D5801" s="35">
        <v>51427812.18999999</v>
      </c>
      <c r="E5801" s="35">
        <v>451590</v>
      </c>
      <c r="F5801" s="35">
        <v>37130802.25</v>
      </c>
    </row>
    <row r="5802" spans="1:6" x14ac:dyDescent="0.3">
      <c r="A5802" t="s">
        <v>79</v>
      </c>
      <c r="B5802">
        <v>2024</v>
      </c>
      <c r="C5802" t="s">
        <v>16</v>
      </c>
      <c r="D5802" s="35">
        <v>13711779.9</v>
      </c>
      <c r="E5802" s="35">
        <v>66664</v>
      </c>
      <c r="F5802" s="35">
        <v>12483511.51</v>
      </c>
    </row>
    <row r="5803" spans="1:6" x14ac:dyDescent="0.3">
      <c r="A5803" t="s">
        <v>79</v>
      </c>
      <c r="B5803">
        <v>2024</v>
      </c>
      <c r="C5803" t="s">
        <v>14</v>
      </c>
      <c r="D5803" s="35">
        <v>53802137.529999986</v>
      </c>
      <c r="E5803" s="35">
        <v>860269</v>
      </c>
      <c r="F5803" s="35">
        <v>41158849.479999989</v>
      </c>
    </row>
    <row r="5804" spans="1:6" x14ac:dyDescent="0.3">
      <c r="A5804" t="s">
        <v>79</v>
      </c>
      <c r="B5804">
        <v>2024</v>
      </c>
      <c r="C5804" t="s">
        <v>7</v>
      </c>
      <c r="D5804" s="35">
        <v>58389705.760000013</v>
      </c>
      <c r="E5804" s="35">
        <v>20294</v>
      </c>
      <c r="F5804" s="35">
        <v>58276216.780000009</v>
      </c>
    </row>
    <row r="5805" spans="1:6" x14ac:dyDescent="0.3">
      <c r="A5805" t="s">
        <v>79</v>
      </c>
      <c r="B5805">
        <v>2024</v>
      </c>
      <c r="C5805" t="s">
        <v>11</v>
      </c>
      <c r="D5805" s="35">
        <v>23692827.879999999</v>
      </c>
      <c r="E5805" s="35">
        <v>50866</v>
      </c>
      <c r="F5805" s="35">
        <v>21824832.68</v>
      </c>
    </row>
    <row r="5806" spans="1:6" x14ac:dyDescent="0.3">
      <c r="A5806" t="s">
        <v>79</v>
      </c>
      <c r="B5806">
        <v>2024</v>
      </c>
      <c r="C5806" t="s">
        <v>3</v>
      </c>
      <c r="D5806" s="35">
        <v>415345935.51000011</v>
      </c>
      <c r="E5806" s="35">
        <v>467960</v>
      </c>
      <c r="F5806" s="35">
        <v>408326124.40999991</v>
      </c>
    </row>
    <row r="5807" spans="1:6" x14ac:dyDescent="0.3">
      <c r="A5807" t="s">
        <v>79</v>
      </c>
      <c r="B5807">
        <v>2024</v>
      </c>
      <c r="C5807" t="s">
        <v>12</v>
      </c>
      <c r="D5807" s="35">
        <v>57196946.889999993</v>
      </c>
      <c r="E5807" s="35">
        <v>1040680</v>
      </c>
      <c r="F5807" s="35">
        <v>37559817.75</v>
      </c>
    </row>
    <row r="5808" spans="1:6" x14ac:dyDescent="0.3">
      <c r="A5808" t="s">
        <v>79</v>
      </c>
      <c r="B5808">
        <v>2024</v>
      </c>
      <c r="C5808" t="s">
        <v>2</v>
      </c>
      <c r="D5808" s="35">
        <v>500948314.13000011</v>
      </c>
      <c r="E5808" s="35">
        <v>3838521</v>
      </c>
      <c r="F5808" s="35">
        <v>431281478.36999989</v>
      </c>
    </row>
    <row r="5809" spans="1:6" x14ac:dyDescent="0.3">
      <c r="A5809" t="s">
        <v>79</v>
      </c>
      <c r="B5809">
        <v>2024</v>
      </c>
      <c r="C5809" t="s">
        <v>5</v>
      </c>
      <c r="D5809" s="35">
        <v>87505190.719999984</v>
      </c>
      <c r="E5809" s="35">
        <v>48657</v>
      </c>
      <c r="F5809" s="35">
        <v>85633777.210000008</v>
      </c>
    </row>
    <row r="5810" spans="1:6" x14ac:dyDescent="0.3">
      <c r="A5810" t="s">
        <v>79</v>
      </c>
      <c r="B5810">
        <v>2024</v>
      </c>
      <c r="C5810" t="s">
        <v>17</v>
      </c>
      <c r="D5810" s="35">
        <v>2184734.44</v>
      </c>
      <c r="E5810" s="35">
        <v>92075</v>
      </c>
      <c r="F5810" s="35">
        <v>644442.96000000008</v>
      </c>
    </row>
    <row r="5811" spans="1:6" x14ac:dyDescent="0.3">
      <c r="A5811" t="s">
        <v>79</v>
      </c>
      <c r="B5811">
        <v>2024</v>
      </c>
      <c r="C5811" t="s">
        <v>9</v>
      </c>
      <c r="D5811" s="35">
        <v>88943925.74000001</v>
      </c>
      <c r="E5811" s="35">
        <v>1323253</v>
      </c>
      <c r="F5811" s="35">
        <v>68512847.600000024</v>
      </c>
    </row>
    <row r="5812" spans="1:6" x14ac:dyDescent="0.3">
      <c r="A5812" t="s">
        <v>79</v>
      </c>
      <c r="B5812">
        <v>2024</v>
      </c>
      <c r="C5812" t="s">
        <v>8</v>
      </c>
      <c r="D5812" s="35">
        <v>80671515.890000015</v>
      </c>
      <c r="E5812" s="35">
        <v>3375</v>
      </c>
      <c r="F5812" s="35">
        <v>79808321.160000011</v>
      </c>
    </row>
    <row r="5813" spans="1:6" x14ac:dyDescent="0.3">
      <c r="A5813" t="s">
        <v>79</v>
      </c>
      <c r="B5813">
        <v>2024</v>
      </c>
      <c r="C5813" t="s">
        <v>6</v>
      </c>
      <c r="D5813" s="35">
        <v>137132571.44999999</v>
      </c>
      <c r="E5813" s="35">
        <v>1582837</v>
      </c>
      <c r="F5813" s="35">
        <v>116367189.45999999</v>
      </c>
    </row>
    <row r="5814" spans="1:6" x14ac:dyDescent="0.3">
      <c r="A5814" t="s">
        <v>79</v>
      </c>
      <c r="B5814">
        <v>2024</v>
      </c>
      <c r="C5814" t="s">
        <v>15</v>
      </c>
      <c r="D5814" s="35">
        <v>16900059.70999999</v>
      </c>
      <c r="E5814" s="35">
        <v>317933</v>
      </c>
      <c r="F5814" s="35">
        <v>9048801.1699999999</v>
      </c>
    </row>
    <row r="5815" spans="1:6" x14ac:dyDescent="0.3">
      <c r="A5815" t="s">
        <v>79</v>
      </c>
      <c r="B5815">
        <v>2024</v>
      </c>
      <c r="C5815" t="s">
        <v>18</v>
      </c>
      <c r="D5815" s="35">
        <v>8857057.0700000022</v>
      </c>
      <c r="E5815" s="35">
        <v>67456</v>
      </c>
      <c r="F5815" s="35">
        <v>7939947.3499999987</v>
      </c>
    </row>
    <row r="5816" spans="1:6" x14ac:dyDescent="0.3">
      <c r="A5816" t="s">
        <v>79</v>
      </c>
      <c r="B5816">
        <v>2025</v>
      </c>
      <c r="C5816" t="s">
        <v>10</v>
      </c>
      <c r="D5816" s="35">
        <v>108474454.84999999</v>
      </c>
      <c r="E5816" s="35">
        <v>1747437</v>
      </c>
      <c r="F5816" s="35">
        <v>83653994.670000017</v>
      </c>
    </row>
    <row r="5817" spans="1:6" x14ac:dyDescent="0.3">
      <c r="A5817" t="s">
        <v>79</v>
      </c>
      <c r="B5817">
        <v>2025</v>
      </c>
      <c r="C5817" t="s">
        <v>4</v>
      </c>
      <c r="D5817" s="35">
        <v>426425715.13999999</v>
      </c>
      <c r="E5817" s="35">
        <v>750518</v>
      </c>
      <c r="F5817" s="35">
        <v>422965944.11000007</v>
      </c>
    </row>
    <row r="5818" spans="1:6" x14ac:dyDescent="0.3">
      <c r="A5818" t="s">
        <v>79</v>
      </c>
      <c r="B5818">
        <v>2025</v>
      </c>
      <c r="C5818" t="s">
        <v>13</v>
      </c>
      <c r="D5818" s="35">
        <v>51751031.569999993</v>
      </c>
      <c r="E5818" s="35">
        <v>426748</v>
      </c>
      <c r="F5818" s="35">
        <v>38648942.57</v>
      </c>
    </row>
    <row r="5819" spans="1:6" x14ac:dyDescent="0.3">
      <c r="A5819" t="s">
        <v>79</v>
      </c>
      <c r="B5819">
        <v>2025</v>
      </c>
      <c r="C5819" t="s">
        <v>16</v>
      </c>
      <c r="D5819" s="35">
        <v>13579927.41</v>
      </c>
      <c r="E5819" s="35">
        <v>66229</v>
      </c>
      <c r="F5819" s="35">
        <v>12034659.43</v>
      </c>
    </row>
    <row r="5820" spans="1:6" x14ac:dyDescent="0.3">
      <c r="A5820" t="s">
        <v>79</v>
      </c>
      <c r="B5820">
        <v>2025</v>
      </c>
      <c r="C5820" t="s">
        <v>14</v>
      </c>
      <c r="D5820" s="35">
        <v>54047711.619999997</v>
      </c>
      <c r="E5820" s="35">
        <v>794647</v>
      </c>
      <c r="F5820" s="35">
        <v>42117757.760000013</v>
      </c>
    </row>
    <row r="5821" spans="1:6" x14ac:dyDescent="0.3">
      <c r="A5821" t="s">
        <v>79</v>
      </c>
      <c r="B5821">
        <v>2025</v>
      </c>
      <c r="C5821" t="s">
        <v>7</v>
      </c>
      <c r="D5821" s="35">
        <v>60684866.43</v>
      </c>
      <c r="E5821" s="35">
        <v>19841</v>
      </c>
      <c r="F5821" s="35">
        <v>60580133.520000003</v>
      </c>
    </row>
    <row r="5822" spans="1:6" x14ac:dyDescent="0.3">
      <c r="A5822" t="s">
        <v>79</v>
      </c>
      <c r="B5822">
        <v>2025</v>
      </c>
      <c r="C5822" t="s">
        <v>11</v>
      </c>
      <c r="D5822" s="35">
        <v>24027972.399999991</v>
      </c>
      <c r="E5822" s="35">
        <v>50480</v>
      </c>
      <c r="F5822" s="35">
        <v>20476129.489999998</v>
      </c>
    </row>
    <row r="5823" spans="1:6" x14ac:dyDescent="0.3">
      <c r="A5823" t="s">
        <v>79</v>
      </c>
      <c r="B5823">
        <v>2025</v>
      </c>
      <c r="C5823" t="s">
        <v>3</v>
      </c>
      <c r="D5823" s="35">
        <v>431028612.89999998</v>
      </c>
      <c r="E5823" s="35">
        <v>456508</v>
      </c>
      <c r="F5823" s="35">
        <v>424379120.69999999</v>
      </c>
    </row>
    <row r="5824" spans="1:6" x14ac:dyDescent="0.3">
      <c r="A5824" t="s">
        <v>79</v>
      </c>
      <c r="B5824">
        <v>2025</v>
      </c>
      <c r="C5824" t="s">
        <v>12</v>
      </c>
      <c r="D5824" s="35">
        <v>46281754.460000001</v>
      </c>
      <c r="E5824" s="35">
        <v>954223</v>
      </c>
      <c r="F5824" s="35">
        <v>28453157.379999999</v>
      </c>
    </row>
    <row r="5825" spans="1:6" x14ac:dyDescent="0.3">
      <c r="A5825" t="s">
        <v>79</v>
      </c>
      <c r="B5825">
        <v>2025</v>
      </c>
      <c r="C5825" t="s">
        <v>2</v>
      </c>
      <c r="D5825" s="35">
        <v>495442093.01999998</v>
      </c>
      <c r="E5825" s="35">
        <v>3680160</v>
      </c>
      <c r="F5825" s="35">
        <v>428141484.79000002</v>
      </c>
    </row>
    <row r="5826" spans="1:6" x14ac:dyDescent="0.3">
      <c r="A5826" t="s">
        <v>79</v>
      </c>
      <c r="B5826">
        <v>2025</v>
      </c>
      <c r="C5826" t="s">
        <v>5</v>
      </c>
      <c r="D5826" s="35">
        <v>95489954.490000024</v>
      </c>
      <c r="E5826" s="35">
        <v>50108</v>
      </c>
      <c r="F5826" s="35">
        <v>93327149.429999977</v>
      </c>
    </row>
    <row r="5827" spans="1:6" x14ac:dyDescent="0.3">
      <c r="A5827" t="s">
        <v>79</v>
      </c>
      <c r="B5827">
        <v>2025</v>
      </c>
      <c r="C5827" t="s">
        <v>17</v>
      </c>
      <c r="D5827" s="35">
        <v>1989238.97</v>
      </c>
      <c r="E5827" s="35">
        <v>84373</v>
      </c>
      <c r="F5827" s="35">
        <v>692892.23</v>
      </c>
    </row>
    <row r="5828" spans="1:6" x14ac:dyDescent="0.3">
      <c r="A5828" t="s">
        <v>79</v>
      </c>
      <c r="B5828">
        <v>2025</v>
      </c>
      <c r="C5828" t="s">
        <v>9</v>
      </c>
      <c r="D5828" s="35">
        <v>87235820.060000002</v>
      </c>
      <c r="E5828" s="35">
        <v>1308360</v>
      </c>
      <c r="F5828" s="35">
        <v>68538659.929999977</v>
      </c>
    </row>
    <row r="5829" spans="1:6" x14ac:dyDescent="0.3">
      <c r="A5829" t="s">
        <v>79</v>
      </c>
      <c r="B5829">
        <v>2025</v>
      </c>
      <c r="C5829" t="s">
        <v>8</v>
      </c>
      <c r="D5829" s="35">
        <v>95485639.489999995</v>
      </c>
      <c r="E5829" s="35">
        <v>3890</v>
      </c>
      <c r="F5829" s="35">
        <v>95159747.339999989</v>
      </c>
    </row>
    <row r="5830" spans="1:6" x14ac:dyDescent="0.3">
      <c r="A5830" t="s">
        <v>79</v>
      </c>
      <c r="B5830">
        <v>2025</v>
      </c>
      <c r="C5830" t="s">
        <v>6</v>
      </c>
      <c r="D5830" s="35">
        <v>134197628.47</v>
      </c>
      <c r="E5830" s="35">
        <v>1535235</v>
      </c>
      <c r="F5830" s="35">
        <v>114104312.93000001</v>
      </c>
    </row>
    <row r="5831" spans="1:6" x14ac:dyDescent="0.3">
      <c r="A5831" t="s">
        <v>79</v>
      </c>
      <c r="B5831">
        <v>2025</v>
      </c>
      <c r="C5831" t="s">
        <v>15</v>
      </c>
      <c r="D5831" s="35">
        <v>13322942.369999999</v>
      </c>
      <c r="E5831" s="35">
        <v>256256</v>
      </c>
      <c r="F5831" s="35">
        <v>6529028.2299999977</v>
      </c>
    </row>
    <row r="5832" spans="1:6" x14ac:dyDescent="0.3">
      <c r="A5832" t="s">
        <v>79</v>
      </c>
      <c r="B5832">
        <v>2025</v>
      </c>
      <c r="C5832" t="s">
        <v>18</v>
      </c>
      <c r="D5832" s="35">
        <v>6967825.1900000004</v>
      </c>
      <c r="E5832" s="35">
        <v>61316</v>
      </c>
      <c r="F5832" s="35">
        <v>6064973.0399999982</v>
      </c>
    </row>
    <row r="5833" spans="1:6" x14ac:dyDescent="0.3">
      <c r="A5833" t="s">
        <v>80</v>
      </c>
      <c r="B5833">
        <v>2019</v>
      </c>
      <c r="C5833" t="s">
        <v>10</v>
      </c>
      <c r="D5833" s="35">
        <v>37996014.869999997</v>
      </c>
      <c r="E5833" s="35">
        <v>1598777</v>
      </c>
      <c r="F5833" s="35">
        <v>20237404.579999998</v>
      </c>
    </row>
    <row r="5834" spans="1:6" x14ac:dyDescent="0.3">
      <c r="A5834" t="s">
        <v>80</v>
      </c>
      <c r="B5834">
        <v>2019</v>
      </c>
      <c r="C5834" t="s">
        <v>4</v>
      </c>
      <c r="D5834" s="35">
        <v>103961851.84</v>
      </c>
      <c r="E5834" s="35">
        <v>388099</v>
      </c>
      <c r="F5834" s="35">
        <v>101935735.79000001</v>
      </c>
    </row>
    <row r="5835" spans="1:6" x14ac:dyDescent="0.3">
      <c r="A5835" t="s">
        <v>80</v>
      </c>
      <c r="B5835">
        <v>2019</v>
      </c>
      <c r="C5835" t="s">
        <v>13</v>
      </c>
      <c r="D5835" s="35">
        <v>27722297.34999999</v>
      </c>
      <c r="E5835" s="35">
        <v>497842</v>
      </c>
      <c r="F5835" s="35">
        <v>20480629.41</v>
      </c>
    </row>
    <row r="5836" spans="1:6" x14ac:dyDescent="0.3">
      <c r="A5836" t="s">
        <v>80</v>
      </c>
      <c r="B5836">
        <v>2019</v>
      </c>
      <c r="C5836" t="s">
        <v>16</v>
      </c>
      <c r="D5836" s="35">
        <v>9164097.6600000001</v>
      </c>
      <c r="E5836" s="35">
        <v>26119</v>
      </c>
      <c r="F5836" s="35">
        <v>8635708.5800000019</v>
      </c>
    </row>
    <row r="5837" spans="1:6" x14ac:dyDescent="0.3">
      <c r="A5837" t="s">
        <v>80</v>
      </c>
      <c r="B5837">
        <v>2019</v>
      </c>
      <c r="C5837" t="s">
        <v>14</v>
      </c>
      <c r="D5837" s="35">
        <v>20344416.850000009</v>
      </c>
      <c r="E5837" s="35">
        <v>674418</v>
      </c>
      <c r="F5837" s="35">
        <v>12138914.42</v>
      </c>
    </row>
    <row r="5838" spans="1:6" x14ac:dyDescent="0.3">
      <c r="A5838" t="s">
        <v>80</v>
      </c>
      <c r="B5838">
        <v>2019</v>
      </c>
      <c r="C5838" t="s">
        <v>7</v>
      </c>
      <c r="D5838" s="35">
        <v>14185455.390000001</v>
      </c>
      <c r="E5838" s="35">
        <v>7192</v>
      </c>
      <c r="F5838" s="35">
        <v>14141977.640000001</v>
      </c>
    </row>
    <row r="5839" spans="1:6" x14ac:dyDescent="0.3">
      <c r="A5839" t="s">
        <v>80</v>
      </c>
      <c r="B5839">
        <v>2019</v>
      </c>
      <c r="C5839" t="s">
        <v>11</v>
      </c>
      <c r="D5839" s="35">
        <v>11894818.630000001</v>
      </c>
      <c r="E5839" s="35">
        <v>37339</v>
      </c>
      <c r="F5839" s="35">
        <v>11532784.390000001</v>
      </c>
    </row>
    <row r="5840" spans="1:6" x14ac:dyDescent="0.3">
      <c r="A5840" t="s">
        <v>80</v>
      </c>
      <c r="B5840">
        <v>2019</v>
      </c>
      <c r="C5840" t="s">
        <v>3</v>
      </c>
      <c r="D5840" s="35">
        <v>60403145.200000003</v>
      </c>
      <c r="E5840" s="35">
        <v>343734</v>
      </c>
      <c r="F5840" s="35">
        <v>56793278.049999997</v>
      </c>
    </row>
    <row r="5841" spans="1:6" x14ac:dyDescent="0.3">
      <c r="A5841" t="s">
        <v>80</v>
      </c>
      <c r="B5841">
        <v>2019</v>
      </c>
      <c r="C5841" t="s">
        <v>12</v>
      </c>
      <c r="D5841" s="35">
        <v>48279474.63000001</v>
      </c>
      <c r="E5841" s="35">
        <v>812923</v>
      </c>
      <c r="F5841" s="35">
        <v>32913589.43</v>
      </c>
    </row>
    <row r="5842" spans="1:6" x14ac:dyDescent="0.3">
      <c r="A5842" t="s">
        <v>80</v>
      </c>
      <c r="B5842">
        <v>2019</v>
      </c>
      <c r="C5842" t="s">
        <v>2</v>
      </c>
      <c r="D5842" s="35">
        <v>139066430.68000001</v>
      </c>
      <c r="E5842" s="35">
        <v>2110403</v>
      </c>
      <c r="F5842" s="35">
        <v>109070039.47</v>
      </c>
    </row>
    <row r="5843" spans="1:6" x14ac:dyDescent="0.3">
      <c r="A5843" t="s">
        <v>80</v>
      </c>
      <c r="B5843">
        <v>2019</v>
      </c>
      <c r="C5843" t="s">
        <v>5</v>
      </c>
      <c r="D5843" s="35">
        <v>31366593.010000002</v>
      </c>
      <c r="E5843" s="35">
        <v>26486</v>
      </c>
      <c r="F5843" s="35">
        <v>30454567.59</v>
      </c>
    </row>
    <row r="5844" spans="1:6" x14ac:dyDescent="0.3">
      <c r="A5844" t="s">
        <v>80</v>
      </c>
      <c r="B5844">
        <v>2019</v>
      </c>
      <c r="C5844" t="s">
        <v>17</v>
      </c>
      <c r="D5844" s="35">
        <v>2343320.4100000011</v>
      </c>
      <c r="E5844" s="35">
        <v>172090</v>
      </c>
      <c r="F5844" s="35">
        <v>364847.57000000012</v>
      </c>
    </row>
    <row r="5845" spans="1:6" x14ac:dyDescent="0.3">
      <c r="A5845" t="s">
        <v>80</v>
      </c>
      <c r="B5845">
        <v>2019</v>
      </c>
      <c r="C5845" t="s">
        <v>9</v>
      </c>
      <c r="D5845" s="35">
        <v>67085260.039999977</v>
      </c>
      <c r="E5845" s="35">
        <v>1084248</v>
      </c>
      <c r="F5845" s="35">
        <v>57775943.859999992</v>
      </c>
    </row>
    <row r="5846" spans="1:6" x14ac:dyDescent="0.3">
      <c r="A5846" t="s">
        <v>80</v>
      </c>
      <c r="B5846">
        <v>2019</v>
      </c>
      <c r="C5846" t="s">
        <v>8</v>
      </c>
      <c r="D5846" s="35">
        <v>21371523.649999999</v>
      </c>
      <c r="E5846" s="35">
        <v>3019</v>
      </c>
      <c r="F5846" s="35">
        <v>21371523.649999999</v>
      </c>
    </row>
    <row r="5847" spans="1:6" x14ac:dyDescent="0.3">
      <c r="A5847" t="s">
        <v>80</v>
      </c>
      <c r="B5847">
        <v>2019</v>
      </c>
      <c r="C5847" t="s">
        <v>6</v>
      </c>
      <c r="D5847" s="35">
        <v>89044714.609999999</v>
      </c>
      <c r="E5847" s="35">
        <v>1268829</v>
      </c>
      <c r="F5847" s="35">
        <v>76735742.890000001</v>
      </c>
    </row>
    <row r="5848" spans="1:6" x14ac:dyDescent="0.3">
      <c r="A5848" t="s">
        <v>80</v>
      </c>
      <c r="B5848">
        <v>2019</v>
      </c>
      <c r="C5848" t="s">
        <v>15</v>
      </c>
      <c r="D5848" s="35">
        <v>26317356</v>
      </c>
      <c r="E5848" s="35">
        <v>511821</v>
      </c>
      <c r="F5848" s="35">
        <v>18097123.09</v>
      </c>
    </row>
    <row r="5849" spans="1:6" x14ac:dyDescent="0.3">
      <c r="A5849" t="s">
        <v>80</v>
      </c>
      <c r="B5849">
        <v>2019</v>
      </c>
      <c r="C5849" t="s">
        <v>18</v>
      </c>
      <c r="D5849" s="35">
        <v>3988669.580000001</v>
      </c>
      <c r="E5849" s="35">
        <v>38520</v>
      </c>
      <c r="F5849" s="35">
        <v>3211437.810000001</v>
      </c>
    </row>
    <row r="5850" spans="1:6" x14ac:dyDescent="0.3">
      <c r="A5850" t="s">
        <v>80</v>
      </c>
      <c r="B5850">
        <v>2020</v>
      </c>
      <c r="C5850" t="s">
        <v>10</v>
      </c>
      <c r="D5850" s="35">
        <v>40754371.469999991</v>
      </c>
      <c r="E5850" s="35">
        <v>1503251</v>
      </c>
      <c r="F5850" s="35">
        <v>23691666.100000001</v>
      </c>
    </row>
    <row r="5851" spans="1:6" x14ac:dyDescent="0.3">
      <c r="A5851" t="s">
        <v>80</v>
      </c>
      <c r="B5851">
        <v>2020</v>
      </c>
      <c r="C5851" t="s">
        <v>4</v>
      </c>
      <c r="D5851" s="35">
        <v>111617858.31999999</v>
      </c>
      <c r="E5851" s="35">
        <v>369403</v>
      </c>
      <c r="F5851" s="35">
        <v>109708699.45999999</v>
      </c>
    </row>
    <row r="5852" spans="1:6" x14ac:dyDescent="0.3">
      <c r="A5852" t="s">
        <v>80</v>
      </c>
      <c r="B5852">
        <v>2020</v>
      </c>
      <c r="C5852" t="s">
        <v>13</v>
      </c>
      <c r="D5852" s="35">
        <v>26454820.379999999</v>
      </c>
      <c r="E5852" s="35">
        <v>467450</v>
      </c>
      <c r="F5852" s="35">
        <v>19033620.670000009</v>
      </c>
    </row>
    <row r="5853" spans="1:6" x14ac:dyDescent="0.3">
      <c r="A5853" t="s">
        <v>80</v>
      </c>
      <c r="B5853">
        <v>2020</v>
      </c>
      <c r="C5853" t="s">
        <v>16</v>
      </c>
      <c r="D5853" s="35">
        <v>9731888.6399999987</v>
      </c>
      <c r="E5853" s="35">
        <v>27640</v>
      </c>
      <c r="F5853" s="35">
        <v>8981123.209999999</v>
      </c>
    </row>
    <row r="5854" spans="1:6" x14ac:dyDescent="0.3">
      <c r="A5854" t="s">
        <v>80</v>
      </c>
      <c r="B5854">
        <v>2020</v>
      </c>
      <c r="C5854" t="s">
        <v>14</v>
      </c>
      <c r="D5854" s="35">
        <v>22406881.010000009</v>
      </c>
      <c r="E5854" s="35">
        <v>656660</v>
      </c>
      <c r="F5854" s="35">
        <v>13126271.85</v>
      </c>
    </row>
    <row r="5855" spans="1:6" x14ac:dyDescent="0.3">
      <c r="A5855" t="s">
        <v>80</v>
      </c>
      <c r="B5855">
        <v>2020</v>
      </c>
      <c r="C5855" t="s">
        <v>7</v>
      </c>
      <c r="D5855" s="35">
        <v>16011638.91</v>
      </c>
      <c r="E5855" s="35">
        <v>7041</v>
      </c>
      <c r="F5855" s="35">
        <v>15982135.26</v>
      </c>
    </row>
    <row r="5856" spans="1:6" x14ac:dyDescent="0.3">
      <c r="A5856" t="s">
        <v>80</v>
      </c>
      <c r="B5856">
        <v>2020</v>
      </c>
      <c r="C5856" t="s">
        <v>11</v>
      </c>
      <c r="D5856" s="35">
        <v>11834603.539999999</v>
      </c>
      <c r="E5856" s="35">
        <v>36578</v>
      </c>
      <c r="F5856" s="35">
        <v>11512677.57</v>
      </c>
    </row>
    <row r="5857" spans="1:6" x14ac:dyDescent="0.3">
      <c r="A5857" t="s">
        <v>80</v>
      </c>
      <c r="B5857">
        <v>2020</v>
      </c>
      <c r="C5857" t="s">
        <v>3</v>
      </c>
      <c r="D5857" s="35">
        <v>73249020.090000018</v>
      </c>
      <c r="E5857" s="35">
        <v>261959</v>
      </c>
      <c r="F5857" s="35">
        <v>70322764.569999993</v>
      </c>
    </row>
    <row r="5858" spans="1:6" x14ac:dyDescent="0.3">
      <c r="A5858" t="s">
        <v>80</v>
      </c>
      <c r="B5858">
        <v>2020</v>
      </c>
      <c r="C5858" t="s">
        <v>12</v>
      </c>
      <c r="D5858" s="35">
        <v>61411806.840000004</v>
      </c>
      <c r="E5858" s="35">
        <v>675509</v>
      </c>
      <c r="F5858" s="35">
        <v>48300514.74000001</v>
      </c>
    </row>
    <row r="5859" spans="1:6" x14ac:dyDescent="0.3">
      <c r="A5859" t="s">
        <v>80</v>
      </c>
      <c r="B5859">
        <v>2020</v>
      </c>
      <c r="C5859" t="s">
        <v>2</v>
      </c>
      <c r="D5859" s="35">
        <v>126766940.56999999</v>
      </c>
      <c r="E5859" s="35">
        <v>2057100</v>
      </c>
      <c r="F5859" s="35">
        <v>97172065.499999985</v>
      </c>
    </row>
    <row r="5860" spans="1:6" x14ac:dyDescent="0.3">
      <c r="A5860" t="s">
        <v>80</v>
      </c>
      <c r="B5860">
        <v>2020</v>
      </c>
      <c r="C5860" t="s">
        <v>5</v>
      </c>
      <c r="D5860" s="35">
        <v>28538714.989999998</v>
      </c>
      <c r="E5860" s="35">
        <v>21692</v>
      </c>
      <c r="F5860" s="35">
        <v>27852784.36999999</v>
      </c>
    </row>
    <row r="5861" spans="1:6" x14ac:dyDescent="0.3">
      <c r="A5861" t="s">
        <v>80</v>
      </c>
      <c r="B5861">
        <v>2020</v>
      </c>
      <c r="C5861" t="s">
        <v>17</v>
      </c>
      <c r="D5861" s="35">
        <v>2154939.71</v>
      </c>
      <c r="E5861" s="35">
        <v>144406</v>
      </c>
      <c r="F5861" s="35">
        <v>320817.94</v>
      </c>
    </row>
    <row r="5862" spans="1:6" x14ac:dyDescent="0.3">
      <c r="A5862" t="s">
        <v>80</v>
      </c>
      <c r="B5862">
        <v>2020</v>
      </c>
      <c r="C5862" t="s">
        <v>9</v>
      </c>
      <c r="D5862" s="35">
        <v>78742702.379999995</v>
      </c>
      <c r="E5862" s="35">
        <v>1030071</v>
      </c>
      <c r="F5862" s="35">
        <v>70561023.840000004</v>
      </c>
    </row>
    <row r="5863" spans="1:6" x14ac:dyDescent="0.3">
      <c r="A5863" t="s">
        <v>80</v>
      </c>
      <c r="B5863">
        <v>2020</v>
      </c>
      <c r="C5863" t="s">
        <v>8</v>
      </c>
      <c r="D5863" s="35">
        <v>28222924.52</v>
      </c>
      <c r="E5863" s="35">
        <v>3280</v>
      </c>
      <c r="F5863" s="35">
        <v>28222924.52</v>
      </c>
    </row>
    <row r="5864" spans="1:6" x14ac:dyDescent="0.3">
      <c r="A5864" t="s">
        <v>80</v>
      </c>
      <c r="B5864">
        <v>2020</v>
      </c>
      <c r="C5864" t="s">
        <v>6</v>
      </c>
      <c r="D5864" s="35">
        <v>86624478.49999997</v>
      </c>
      <c r="E5864" s="35">
        <v>1190410</v>
      </c>
      <c r="F5864" s="35">
        <v>75266841.369999975</v>
      </c>
    </row>
    <row r="5865" spans="1:6" x14ac:dyDescent="0.3">
      <c r="A5865" t="s">
        <v>80</v>
      </c>
      <c r="B5865">
        <v>2020</v>
      </c>
      <c r="C5865" t="s">
        <v>15</v>
      </c>
      <c r="D5865" s="35">
        <v>15991002.41</v>
      </c>
      <c r="E5865" s="35">
        <v>299839</v>
      </c>
      <c r="F5865" s="35">
        <v>10464325.289999999</v>
      </c>
    </row>
    <row r="5866" spans="1:6" x14ac:dyDescent="0.3">
      <c r="A5866" t="s">
        <v>80</v>
      </c>
      <c r="B5866">
        <v>2020</v>
      </c>
      <c r="C5866" t="s">
        <v>18</v>
      </c>
      <c r="D5866" s="35">
        <v>3363356.59</v>
      </c>
      <c r="E5866" s="35">
        <v>37135</v>
      </c>
      <c r="F5866" s="35">
        <v>2582012.399999999</v>
      </c>
    </row>
    <row r="5867" spans="1:6" x14ac:dyDescent="0.3">
      <c r="A5867" t="s">
        <v>80</v>
      </c>
      <c r="B5867">
        <v>2021</v>
      </c>
      <c r="C5867" t="s">
        <v>10</v>
      </c>
      <c r="D5867" s="35">
        <v>45991269.810000002</v>
      </c>
      <c r="E5867" s="35">
        <v>1422530</v>
      </c>
      <c r="F5867" s="35">
        <v>29385847.77</v>
      </c>
    </row>
    <row r="5868" spans="1:6" x14ac:dyDescent="0.3">
      <c r="A5868" t="s">
        <v>80</v>
      </c>
      <c r="B5868">
        <v>2021</v>
      </c>
      <c r="C5868" t="s">
        <v>4</v>
      </c>
      <c r="D5868" s="35">
        <v>139181403.97</v>
      </c>
      <c r="E5868" s="35">
        <v>368352</v>
      </c>
      <c r="F5868" s="35">
        <v>137245544.12</v>
      </c>
    </row>
    <row r="5869" spans="1:6" x14ac:dyDescent="0.3">
      <c r="A5869" t="s">
        <v>80</v>
      </c>
      <c r="B5869">
        <v>2021</v>
      </c>
      <c r="C5869" t="s">
        <v>13</v>
      </c>
      <c r="D5869" s="35">
        <v>26434994.690000001</v>
      </c>
      <c r="E5869" s="35">
        <v>452442</v>
      </c>
      <c r="F5869" s="35">
        <v>18504747.370000001</v>
      </c>
    </row>
    <row r="5870" spans="1:6" x14ac:dyDescent="0.3">
      <c r="A5870" t="s">
        <v>80</v>
      </c>
      <c r="B5870">
        <v>2021</v>
      </c>
      <c r="C5870" t="s">
        <v>16</v>
      </c>
      <c r="D5870" s="35">
        <v>10700463.67</v>
      </c>
      <c r="E5870" s="35">
        <v>26483</v>
      </c>
      <c r="F5870" s="35">
        <v>10218769.039999999</v>
      </c>
    </row>
    <row r="5871" spans="1:6" x14ac:dyDescent="0.3">
      <c r="A5871" t="s">
        <v>80</v>
      </c>
      <c r="B5871">
        <v>2021</v>
      </c>
      <c r="C5871" t="s">
        <v>14</v>
      </c>
      <c r="D5871" s="35">
        <v>23996114.52</v>
      </c>
      <c r="E5871" s="35">
        <v>677982</v>
      </c>
      <c r="F5871" s="35">
        <v>14382497.560000001</v>
      </c>
    </row>
    <row r="5872" spans="1:6" x14ac:dyDescent="0.3">
      <c r="A5872" t="s">
        <v>80</v>
      </c>
      <c r="B5872">
        <v>2021</v>
      </c>
      <c r="C5872" t="s">
        <v>7</v>
      </c>
      <c r="D5872" s="35">
        <v>18899082.289999999</v>
      </c>
      <c r="E5872" s="35">
        <v>7509</v>
      </c>
      <c r="F5872" s="35">
        <v>18867522.069999989</v>
      </c>
    </row>
    <row r="5873" spans="1:6" x14ac:dyDescent="0.3">
      <c r="A5873" t="s">
        <v>80</v>
      </c>
      <c r="B5873">
        <v>2021</v>
      </c>
      <c r="C5873" t="s">
        <v>11</v>
      </c>
      <c r="D5873" s="35">
        <v>14891888.66</v>
      </c>
      <c r="E5873" s="35">
        <v>42271</v>
      </c>
      <c r="F5873" s="35">
        <v>14610040.699999999</v>
      </c>
    </row>
    <row r="5874" spans="1:6" x14ac:dyDescent="0.3">
      <c r="A5874" t="s">
        <v>80</v>
      </c>
      <c r="B5874">
        <v>2021</v>
      </c>
      <c r="C5874" t="s">
        <v>3</v>
      </c>
      <c r="D5874" s="35">
        <v>99146861.569999993</v>
      </c>
      <c r="E5874" s="35">
        <v>301379</v>
      </c>
      <c r="F5874" s="35">
        <v>95732861.139999986</v>
      </c>
    </row>
    <row r="5875" spans="1:6" x14ac:dyDescent="0.3">
      <c r="A5875" t="s">
        <v>80</v>
      </c>
      <c r="B5875">
        <v>2021</v>
      </c>
      <c r="C5875" t="s">
        <v>12</v>
      </c>
      <c r="D5875" s="35">
        <v>55307900.170000002</v>
      </c>
      <c r="E5875" s="35">
        <v>698734</v>
      </c>
      <c r="F5875" s="35">
        <v>43363320.460000001</v>
      </c>
    </row>
    <row r="5876" spans="1:6" x14ac:dyDescent="0.3">
      <c r="A5876" t="s">
        <v>80</v>
      </c>
      <c r="B5876">
        <v>2021</v>
      </c>
      <c r="C5876" t="s">
        <v>2</v>
      </c>
      <c r="D5876" s="35">
        <v>136952324.69999999</v>
      </c>
      <c r="E5876" s="35">
        <v>2114584</v>
      </c>
      <c r="F5876" s="35">
        <v>107689895.22</v>
      </c>
    </row>
    <row r="5877" spans="1:6" x14ac:dyDescent="0.3">
      <c r="A5877" t="s">
        <v>80</v>
      </c>
      <c r="B5877">
        <v>2021</v>
      </c>
      <c r="C5877" t="s">
        <v>5</v>
      </c>
      <c r="D5877" s="35">
        <v>31282704.350000001</v>
      </c>
      <c r="E5877" s="35">
        <v>20828</v>
      </c>
      <c r="F5877" s="35">
        <v>30774548.27</v>
      </c>
    </row>
    <row r="5878" spans="1:6" x14ac:dyDescent="0.3">
      <c r="A5878" t="s">
        <v>80</v>
      </c>
      <c r="B5878">
        <v>2021</v>
      </c>
      <c r="C5878" t="s">
        <v>17</v>
      </c>
      <c r="D5878" s="35">
        <v>2116124.9300000002</v>
      </c>
      <c r="E5878" s="35">
        <v>147443</v>
      </c>
      <c r="F5878" s="35">
        <v>284834.74</v>
      </c>
    </row>
    <row r="5879" spans="1:6" x14ac:dyDescent="0.3">
      <c r="A5879" t="s">
        <v>80</v>
      </c>
      <c r="B5879">
        <v>2021</v>
      </c>
      <c r="C5879" t="s">
        <v>9</v>
      </c>
      <c r="D5879" s="35">
        <v>88423713.230000019</v>
      </c>
      <c r="E5879" s="35">
        <v>1096697</v>
      </c>
      <c r="F5879" s="35">
        <v>79992828.599999994</v>
      </c>
    </row>
    <row r="5880" spans="1:6" x14ac:dyDescent="0.3">
      <c r="A5880" t="s">
        <v>80</v>
      </c>
      <c r="B5880">
        <v>2021</v>
      </c>
      <c r="C5880" t="s">
        <v>8</v>
      </c>
      <c r="D5880" s="35">
        <v>30543529.190000009</v>
      </c>
      <c r="E5880" s="35">
        <v>2817</v>
      </c>
      <c r="F5880" s="35">
        <v>30337284.809999999</v>
      </c>
    </row>
    <row r="5881" spans="1:6" x14ac:dyDescent="0.3">
      <c r="A5881" t="s">
        <v>80</v>
      </c>
      <c r="B5881">
        <v>2021</v>
      </c>
      <c r="C5881" t="s">
        <v>6</v>
      </c>
      <c r="D5881" s="35">
        <v>95541337.919999987</v>
      </c>
      <c r="E5881" s="35">
        <v>1196772</v>
      </c>
      <c r="F5881" s="35">
        <v>84122169.200000003</v>
      </c>
    </row>
    <row r="5882" spans="1:6" x14ac:dyDescent="0.3">
      <c r="A5882" t="s">
        <v>80</v>
      </c>
      <c r="B5882">
        <v>2021</v>
      </c>
      <c r="C5882" t="s">
        <v>15</v>
      </c>
      <c r="D5882" s="35">
        <v>12728457.75</v>
      </c>
      <c r="E5882" s="35">
        <v>262817</v>
      </c>
      <c r="F5882" s="35">
        <v>7444695.3099999996</v>
      </c>
    </row>
    <row r="5883" spans="1:6" x14ac:dyDescent="0.3">
      <c r="A5883" t="s">
        <v>80</v>
      </c>
      <c r="B5883">
        <v>2021</v>
      </c>
      <c r="C5883" t="s">
        <v>18</v>
      </c>
      <c r="D5883" s="35">
        <v>3550056.42</v>
      </c>
      <c r="E5883" s="35">
        <v>36538</v>
      </c>
      <c r="F5883" s="35">
        <v>2973720.63</v>
      </c>
    </row>
    <row r="5884" spans="1:6" x14ac:dyDescent="0.3">
      <c r="A5884" t="s">
        <v>80</v>
      </c>
      <c r="B5884">
        <v>2022</v>
      </c>
      <c r="C5884" t="s">
        <v>10</v>
      </c>
      <c r="D5884" s="35">
        <v>50910112.289999992</v>
      </c>
      <c r="E5884" s="35">
        <v>1373406</v>
      </c>
      <c r="F5884" s="35">
        <v>34875488.869999997</v>
      </c>
    </row>
    <row r="5885" spans="1:6" x14ac:dyDescent="0.3">
      <c r="A5885" t="s">
        <v>80</v>
      </c>
      <c r="B5885">
        <v>2022</v>
      </c>
      <c r="C5885" t="s">
        <v>4</v>
      </c>
      <c r="D5885" s="35">
        <v>160864749.30000001</v>
      </c>
      <c r="E5885" s="35">
        <v>366677</v>
      </c>
      <c r="F5885" s="35">
        <v>159136306.46000001</v>
      </c>
    </row>
    <row r="5886" spans="1:6" x14ac:dyDescent="0.3">
      <c r="A5886" t="s">
        <v>80</v>
      </c>
      <c r="B5886">
        <v>2022</v>
      </c>
      <c r="C5886" t="s">
        <v>13</v>
      </c>
      <c r="D5886" s="35">
        <v>25667934.120000001</v>
      </c>
      <c r="E5886" s="35">
        <v>437333</v>
      </c>
      <c r="F5886" s="35">
        <v>18323539.949999999</v>
      </c>
    </row>
    <row r="5887" spans="1:6" x14ac:dyDescent="0.3">
      <c r="A5887" t="s">
        <v>80</v>
      </c>
      <c r="B5887">
        <v>2022</v>
      </c>
      <c r="C5887" t="s">
        <v>16</v>
      </c>
      <c r="D5887" s="35">
        <v>11674971.51</v>
      </c>
      <c r="E5887" s="35">
        <v>26385</v>
      </c>
      <c r="F5887" s="35">
        <v>11349149.4</v>
      </c>
    </row>
    <row r="5888" spans="1:6" x14ac:dyDescent="0.3">
      <c r="A5888" t="s">
        <v>80</v>
      </c>
      <c r="B5888">
        <v>2022</v>
      </c>
      <c r="C5888" t="s">
        <v>14</v>
      </c>
      <c r="D5888" s="35">
        <v>25228763.710000001</v>
      </c>
      <c r="E5888" s="35">
        <v>692635</v>
      </c>
      <c r="F5888" s="35">
        <v>15533966.92</v>
      </c>
    </row>
    <row r="5889" spans="1:6" x14ac:dyDescent="0.3">
      <c r="A5889" t="s">
        <v>80</v>
      </c>
      <c r="B5889">
        <v>2022</v>
      </c>
      <c r="C5889" t="s">
        <v>7</v>
      </c>
      <c r="D5889" s="35">
        <v>20761365.609999999</v>
      </c>
      <c r="E5889" s="35">
        <v>7328</v>
      </c>
      <c r="F5889" s="35">
        <v>20740381.18</v>
      </c>
    </row>
    <row r="5890" spans="1:6" x14ac:dyDescent="0.3">
      <c r="A5890" t="s">
        <v>80</v>
      </c>
      <c r="B5890">
        <v>2022</v>
      </c>
      <c r="C5890" t="s">
        <v>11</v>
      </c>
      <c r="D5890" s="35">
        <v>20126396.370000001</v>
      </c>
      <c r="E5890" s="35">
        <v>42942</v>
      </c>
      <c r="F5890" s="35">
        <v>19825214.41</v>
      </c>
    </row>
    <row r="5891" spans="1:6" x14ac:dyDescent="0.3">
      <c r="A5891" t="s">
        <v>80</v>
      </c>
      <c r="B5891">
        <v>2022</v>
      </c>
      <c r="C5891" t="s">
        <v>3</v>
      </c>
      <c r="D5891" s="35">
        <v>119500219.78</v>
      </c>
      <c r="E5891" s="35">
        <v>346757</v>
      </c>
      <c r="F5891" s="35">
        <v>115508388.51000001</v>
      </c>
    </row>
    <row r="5892" spans="1:6" x14ac:dyDescent="0.3">
      <c r="A5892" t="s">
        <v>80</v>
      </c>
      <c r="B5892">
        <v>2022</v>
      </c>
      <c r="C5892" t="s">
        <v>12</v>
      </c>
      <c r="D5892" s="35">
        <v>56383343.409999996</v>
      </c>
      <c r="E5892" s="35">
        <v>821771</v>
      </c>
      <c r="F5892" s="35">
        <v>42383792.93</v>
      </c>
    </row>
    <row r="5893" spans="1:6" x14ac:dyDescent="0.3">
      <c r="A5893" t="s">
        <v>80</v>
      </c>
      <c r="B5893">
        <v>2022</v>
      </c>
      <c r="C5893" t="s">
        <v>2</v>
      </c>
      <c r="D5893" s="35">
        <v>136646072.72999999</v>
      </c>
      <c r="E5893" s="35">
        <v>2132957</v>
      </c>
      <c r="F5893" s="35">
        <v>106171270.86</v>
      </c>
    </row>
    <row r="5894" spans="1:6" x14ac:dyDescent="0.3">
      <c r="A5894" t="s">
        <v>80</v>
      </c>
      <c r="B5894">
        <v>2022</v>
      </c>
      <c r="C5894" t="s">
        <v>5</v>
      </c>
      <c r="D5894" s="35">
        <v>27158088.45000001</v>
      </c>
      <c r="E5894" s="35">
        <v>18074</v>
      </c>
      <c r="F5894" s="35">
        <v>26416372.420000002</v>
      </c>
    </row>
    <row r="5895" spans="1:6" x14ac:dyDescent="0.3">
      <c r="A5895" t="s">
        <v>80</v>
      </c>
      <c r="B5895">
        <v>2022</v>
      </c>
      <c r="C5895" t="s">
        <v>17</v>
      </c>
      <c r="D5895" s="35">
        <v>1974997.29</v>
      </c>
      <c r="E5895" s="35">
        <v>147673</v>
      </c>
      <c r="F5895" s="35">
        <v>212726.6</v>
      </c>
    </row>
    <row r="5896" spans="1:6" x14ac:dyDescent="0.3">
      <c r="A5896" t="s">
        <v>80</v>
      </c>
      <c r="B5896">
        <v>2022</v>
      </c>
      <c r="C5896" t="s">
        <v>9</v>
      </c>
      <c r="D5896" s="35">
        <v>92327445.569999993</v>
      </c>
      <c r="E5896" s="35">
        <v>1063997</v>
      </c>
      <c r="F5896" s="35">
        <v>83345125.560000002</v>
      </c>
    </row>
    <row r="5897" spans="1:6" x14ac:dyDescent="0.3">
      <c r="A5897" t="s">
        <v>80</v>
      </c>
      <c r="B5897">
        <v>2022</v>
      </c>
      <c r="C5897" t="s">
        <v>8</v>
      </c>
      <c r="D5897" s="35">
        <v>33571686.149999999</v>
      </c>
      <c r="E5897" s="35">
        <v>2354</v>
      </c>
      <c r="F5897" s="35">
        <v>33571686.149999999</v>
      </c>
    </row>
    <row r="5898" spans="1:6" x14ac:dyDescent="0.3">
      <c r="A5898" t="s">
        <v>80</v>
      </c>
      <c r="B5898">
        <v>2022</v>
      </c>
      <c r="C5898" t="s">
        <v>6</v>
      </c>
      <c r="D5898" s="35">
        <v>96302112.709999979</v>
      </c>
      <c r="E5898" s="35">
        <v>1222791</v>
      </c>
      <c r="F5898" s="35">
        <v>84192230.739999995</v>
      </c>
    </row>
    <row r="5899" spans="1:6" x14ac:dyDescent="0.3">
      <c r="A5899" t="s">
        <v>80</v>
      </c>
      <c r="B5899">
        <v>2022</v>
      </c>
      <c r="C5899" t="s">
        <v>15</v>
      </c>
      <c r="D5899" s="35">
        <v>8400311.7400000002</v>
      </c>
      <c r="E5899" s="35">
        <v>239044</v>
      </c>
      <c r="F5899" s="35">
        <v>4094669.32</v>
      </c>
    </row>
    <row r="5900" spans="1:6" x14ac:dyDescent="0.3">
      <c r="A5900" t="s">
        <v>80</v>
      </c>
      <c r="B5900">
        <v>2022</v>
      </c>
      <c r="C5900" t="s">
        <v>18</v>
      </c>
      <c r="D5900" s="35">
        <v>4528376.8200000012</v>
      </c>
      <c r="E5900" s="35">
        <v>34402</v>
      </c>
      <c r="F5900" s="35">
        <v>4060658.38</v>
      </c>
    </row>
    <row r="5901" spans="1:6" x14ac:dyDescent="0.3">
      <c r="A5901" t="s">
        <v>80</v>
      </c>
      <c r="B5901">
        <v>2023</v>
      </c>
      <c r="C5901" t="s">
        <v>10</v>
      </c>
      <c r="D5901" s="35">
        <v>55816068.390000001</v>
      </c>
      <c r="E5901" s="35">
        <v>1351345</v>
      </c>
      <c r="F5901" s="35">
        <v>40103472.18</v>
      </c>
    </row>
    <row r="5902" spans="1:6" x14ac:dyDescent="0.3">
      <c r="A5902" t="s">
        <v>80</v>
      </c>
      <c r="B5902">
        <v>2023</v>
      </c>
      <c r="C5902" t="s">
        <v>4</v>
      </c>
      <c r="D5902" s="35">
        <v>195794667.97999999</v>
      </c>
      <c r="E5902" s="35">
        <v>384715</v>
      </c>
      <c r="F5902" s="35">
        <v>194131000.93000001</v>
      </c>
    </row>
    <row r="5903" spans="1:6" x14ac:dyDescent="0.3">
      <c r="A5903" t="s">
        <v>80</v>
      </c>
      <c r="B5903">
        <v>2023</v>
      </c>
      <c r="C5903" t="s">
        <v>13</v>
      </c>
      <c r="D5903" s="35">
        <v>22655735.25</v>
      </c>
      <c r="E5903" s="35">
        <v>425094</v>
      </c>
      <c r="F5903" s="35">
        <v>15982100.060000001</v>
      </c>
    </row>
    <row r="5904" spans="1:6" x14ac:dyDescent="0.3">
      <c r="A5904" t="s">
        <v>80</v>
      </c>
      <c r="B5904">
        <v>2023</v>
      </c>
      <c r="C5904" t="s">
        <v>16</v>
      </c>
      <c r="D5904" s="35">
        <v>10729065.65</v>
      </c>
      <c r="E5904" s="35">
        <v>26485</v>
      </c>
      <c r="F5904" s="35">
        <v>10392269.189999999</v>
      </c>
    </row>
    <row r="5905" spans="1:6" x14ac:dyDescent="0.3">
      <c r="A5905" t="s">
        <v>80</v>
      </c>
      <c r="B5905">
        <v>2023</v>
      </c>
      <c r="C5905" t="s">
        <v>14</v>
      </c>
      <c r="D5905" s="35">
        <v>28111853.120000001</v>
      </c>
      <c r="E5905" s="35">
        <v>686627</v>
      </c>
      <c r="F5905" s="35">
        <v>18368209.989999998</v>
      </c>
    </row>
    <row r="5906" spans="1:6" x14ac:dyDescent="0.3">
      <c r="A5906" t="s">
        <v>80</v>
      </c>
      <c r="B5906">
        <v>2023</v>
      </c>
      <c r="C5906" t="s">
        <v>7</v>
      </c>
      <c r="D5906" s="35">
        <v>22849809.850000001</v>
      </c>
      <c r="E5906" s="35">
        <v>7560</v>
      </c>
      <c r="F5906" s="35">
        <v>22827662.640000001</v>
      </c>
    </row>
    <row r="5907" spans="1:6" x14ac:dyDescent="0.3">
      <c r="A5907" t="s">
        <v>80</v>
      </c>
      <c r="B5907">
        <v>2023</v>
      </c>
      <c r="C5907" t="s">
        <v>11</v>
      </c>
      <c r="D5907" s="35">
        <v>22215922.07</v>
      </c>
      <c r="E5907" s="35">
        <v>48079</v>
      </c>
      <c r="F5907" s="35">
        <v>21898188.239999991</v>
      </c>
    </row>
    <row r="5908" spans="1:6" x14ac:dyDescent="0.3">
      <c r="A5908" t="s">
        <v>80</v>
      </c>
      <c r="B5908">
        <v>2023</v>
      </c>
      <c r="C5908" t="s">
        <v>3</v>
      </c>
      <c r="D5908" s="35">
        <v>142242222.59999999</v>
      </c>
      <c r="E5908" s="35">
        <v>333474</v>
      </c>
      <c r="F5908" s="35">
        <v>138465446.78</v>
      </c>
    </row>
    <row r="5909" spans="1:6" x14ac:dyDescent="0.3">
      <c r="A5909" t="s">
        <v>80</v>
      </c>
      <c r="B5909">
        <v>2023</v>
      </c>
      <c r="C5909" t="s">
        <v>12</v>
      </c>
      <c r="D5909" s="35">
        <v>57082741.759999983</v>
      </c>
      <c r="E5909" s="35">
        <v>871025</v>
      </c>
      <c r="F5909" s="35">
        <v>43864334.649999999</v>
      </c>
    </row>
    <row r="5910" spans="1:6" x14ac:dyDescent="0.3">
      <c r="A5910" t="s">
        <v>80</v>
      </c>
      <c r="B5910">
        <v>2023</v>
      </c>
      <c r="C5910" t="s">
        <v>2</v>
      </c>
      <c r="D5910" s="35">
        <v>140267611.96000001</v>
      </c>
      <c r="E5910" s="35">
        <v>2190609</v>
      </c>
      <c r="F5910" s="35">
        <v>109043561.8</v>
      </c>
    </row>
    <row r="5911" spans="1:6" x14ac:dyDescent="0.3">
      <c r="A5911" t="s">
        <v>80</v>
      </c>
      <c r="B5911">
        <v>2023</v>
      </c>
      <c r="C5911" t="s">
        <v>5</v>
      </c>
      <c r="D5911" s="35">
        <v>26737484.129999999</v>
      </c>
      <c r="E5911" s="35">
        <v>15057</v>
      </c>
      <c r="F5911" s="35">
        <v>26446040.02</v>
      </c>
    </row>
    <row r="5912" spans="1:6" x14ac:dyDescent="0.3">
      <c r="A5912" t="s">
        <v>80</v>
      </c>
      <c r="B5912">
        <v>2023</v>
      </c>
      <c r="C5912" t="s">
        <v>17</v>
      </c>
      <c r="D5912" s="35">
        <v>2074239.61</v>
      </c>
      <c r="E5912" s="35">
        <v>160498</v>
      </c>
      <c r="F5912" s="35">
        <v>278520.18</v>
      </c>
    </row>
    <row r="5913" spans="1:6" x14ac:dyDescent="0.3">
      <c r="A5913" t="s">
        <v>80</v>
      </c>
      <c r="B5913">
        <v>2023</v>
      </c>
      <c r="C5913" t="s">
        <v>9</v>
      </c>
      <c r="D5913" s="35">
        <v>100818276.45999999</v>
      </c>
      <c r="E5913" s="35">
        <v>1036092</v>
      </c>
      <c r="F5913" s="35">
        <v>91247652.179999977</v>
      </c>
    </row>
    <row r="5914" spans="1:6" x14ac:dyDescent="0.3">
      <c r="A5914" t="s">
        <v>80</v>
      </c>
      <c r="B5914">
        <v>2023</v>
      </c>
      <c r="C5914" t="s">
        <v>8</v>
      </c>
      <c r="D5914" s="35">
        <v>42857075.68999999</v>
      </c>
      <c r="E5914" s="35">
        <v>2666</v>
      </c>
      <c r="F5914" s="35">
        <v>42825024.719999991</v>
      </c>
    </row>
    <row r="5915" spans="1:6" x14ac:dyDescent="0.3">
      <c r="A5915" t="s">
        <v>80</v>
      </c>
      <c r="B5915">
        <v>2023</v>
      </c>
      <c r="C5915" t="s">
        <v>6</v>
      </c>
      <c r="D5915" s="35">
        <v>92651958.740000024</v>
      </c>
      <c r="E5915" s="35">
        <v>1197517</v>
      </c>
      <c r="F5915" s="35">
        <v>80782643.650000006</v>
      </c>
    </row>
    <row r="5916" spans="1:6" x14ac:dyDescent="0.3">
      <c r="A5916" t="s">
        <v>80</v>
      </c>
      <c r="B5916">
        <v>2023</v>
      </c>
      <c r="C5916" t="s">
        <v>15</v>
      </c>
      <c r="D5916" s="35">
        <v>6426318.1399999997</v>
      </c>
      <c r="E5916" s="35">
        <v>197912</v>
      </c>
      <c r="F5916" s="35">
        <v>2743165.96</v>
      </c>
    </row>
    <row r="5917" spans="1:6" x14ac:dyDescent="0.3">
      <c r="A5917" t="s">
        <v>80</v>
      </c>
      <c r="B5917">
        <v>2023</v>
      </c>
      <c r="C5917" t="s">
        <v>18</v>
      </c>
      <c r="D5917" s="35">
        <v>5595721.8899999987</v>
      </c>
      <c r="E5917" s="35">
        <v>32132</v>
      </c>
      <c r="F5917" s="35">
        <v>5193998.24</v>
      </c>
    </row>
    <row r="5918" spans="1:6" x14ac:dyDescent="0.3">
      <c r="A5918" t="s">
        <v>80</v>
      </c>
      <c r="B5918">
        <v>2024</v>
      </c>
      <c r="C5918" t="s">
        <v>10</v>
      </c>
      <c r="D5918" s="35">
        <v>55927250.700000003</v>
      </c>
      <c r="E5918" s="35">
        <v>1165236</v>
      </c>
      <c r="F5918" s="35">
        <v>42310526.820000008</v>
      </c>
    </row>
    <row r="5919" spans="1:6" x14ac:dyDescent="0.3">
      <c r="A5919" t="s">
        <v>80</v>
      </c>
      <c r="B5919">
        <v>2024</v>
      </c>
      <c r="C5919" t="s">
        <v>4</v>
      </c>
      <c r="D5919" s="35">
        <v>163502633.50999999</v>
      </c>
      <c r="E5919" s="35">
        <v>349902</v>
      </c>
      <c r="F5919" s="35">
        <v>162145985.02000001</v>
      </c>
    </row>
    <row r="5920" spans="1:6" x14ac:dyDescent="0.3">
      <c r="A5920" t="s">
        <v>80</v>
      </c>
      <c r="B5920">
        <v>2024</v>
      </c>
      <c r="C5920" t="s">
        <v>13</v>
      </c>
      <c r="D5920" s="35">
        <v>20654129.579999998</v>
      </c>
      <c r="E5920" s="35">
        <v>350834</v>
      </c>
      <c r="F5920" s="35">
        <v>15084867.539999999</v>
      </c>
    </row>
    <row r="5921" spans="1:6" x14ac:dyDescent="0.3">
      <c r="A5921" t="s">
        <v>80</v>
      </c>
      <c r="B5921">
        <v>2024</v>
      </c>
      <c r="C5921" t="s">
        <v>16</v>
      </c>
      <c r="D5921" s="35">
        <v>8804668.7799999993</v>
      </c>
      <c r="E5921" s="35">
        <v>22158</v>
      </c>
      <c r="F5921" s="35">
        <v>8502052.8899999987</v>
      </c>
    </row>
    <row r="5922" spans="1:6" x14ac:dyDescent="0.3">
      <c r="A5922" t="s">
        <v>80</v>
      </c>
      <c r="B5922">
        <v>2024</v>
      </c>
      <c r="C5922" t="s">
        <v>14</v>
      </c>
      <c r="D5922" s="35">
        <v>28004203.710000001</v>
      </c>
      <c r="E5922" s="35">
        <v>592004</v>
      </c>
      <c r="F5922" s="35">
        <v>19689112.989999998</v>
      </c>
    </row>
    <row r="5923" spans="1:6" x14ac:dyDescent="0.3">
      <c r="A5923" t="s">
        <v>80</v>
      </c>
      <c r="B5923">
        <v>2024</v>
      </c>
      <c r="C5923" t="s">
        <v>7</v>
      </c>
      <c r="D5923" s="35">
        <v>21588055.030000001</v>
      </c>
      <c r="E5923" s="35">
        <v>6735</v>
      </c>
      <c r="F5923" s="35">
        <v>21565429.34</v>
      </c>
    </row>
    <row r="5924" spans="1:6" x14ac:dyDescent="0.3">
      <c r="A5924" t="s">
        <v>80</v>
      </c>
      <c r="B5924">
        <v>2024</v>
      </c>
      <c r="C5924" t="s">
        <v>11</v>
      </c>
      <c r="D5924" s="35">
        <v>17498617.969999999</v>
      </c>
      <c r="E5924" s="35">
        <v>25925</v>
      </c>
      <c r="F5924" s="35">
        <v>17206205.850000001</v>
      </c>
    </row>
    <row r="5925" spans="1:6" x14ac:dyDescent="0.3">
      <c r="A5925" t="s">
        <v>80</v>
      </c>
      <c r="B5925">
        <v>2024</v>
      </c>
      <c r="C5925" t="s">
        <v>3</v>
      </c>
      <c r="D5925" s="35">
        <v>136442641.22</v>
      </c>
      <c r="E5925" s="35">
        <v>292657</v>
      </c>
      <c r="F5925" s="35">
        <v>133054780.78</v>
      </c>
    </row>
    <row r="5926" spans="1:6" x14ac:dyDescent="0.3">
      <c r="A5926" t="s">
        <v>80</v>
      </c>
      <c r="B5926">
        <v>2024</v>
      </c>
      <c r="C5926" t="s">
        <v>12</v>
      </c>
      <c r="D5926" s="35">
        <v>49837650.590000004</v>
      </c>
      <c r="E5926" s="35">
        <v>754372</v>
      </c>
      <c r="F5926" s="35">
        <v>38673089.670000002</v>
      </c>
    </row>
    <row r="5927" spans="1:6" x14ac:dyDescent="0.3">
      <c r="A5927" t="s">
        <v>80</v>
      </c>
      <c r="B5927">
        <v>2024</v>
      </c>
      <c r="C5927" t="s">
        <v>2</v>
      </c>
      <c r="D5927" s="35">
        <v>129315315.70999999</v>
      </c>
      <c r="E5927" s="35">
        <v>1993995</v>
      </c>
      <c r="F5927" s="35">
        <v>100172239.66</v>
      </c>
    </row>
    <row r="5928" spans="1:6" x14ac:dyDescent="0.3">
      <c r="A5928" t="s">
        <v>80</v>
      </c>
      <c r="B5928">
        <v>2024</v>
      </c>
      <c r="C5928" t="s">
        <v>5</v>
      </c>
      <c r="D5928" s="35">
        <v>25688738.489999998</v>
      </c>
      <c r="E5928" s="35">
        <v>12462</v>
      </c>
      <c r="F5928" s="35">
        <v>25051685.399999999</v>
      </c>
    </row>
    <row r="5929" spans="1:6" x14ac:dyDescent="0.3">
      <c r="A5929" t="s">
        <v>80</v>
      </c>
      <c r="B5929">
        <v>2024</v>
      </c>
      <c r="C5929" t="s">
        <v>17</v>
      </c>
      <c r="D5929" s="35">
        <v>1909940.26</v>
      </c>
      <c r="E5929" s="35">
        <v>157007</v>
      </c>
      <c r="F5929" s="35">
        <v>306926.19</v>
      </c>
    </row>
    <row r="5930" spans="1:6" x14ac:dyDescent="0.3">
      <c r="A5930" t="s">
        <v>80</v>
      </c>
      <c r="B5930">
        <v>2024</v>
      </c>
      <c r="C5930" t="s">
        <v>9</v>
      </c>
      <c r="D5930" s="35">
        <v>100930440.05</v>
      </c>
      <c r="E5930" s="35">
        <v>908208</v>
      </c>
      <c r="F5930" s="35">
        <v>92348409.459999993</v>
      </c>
    </row>
    <row r="5931" spans="1:6" x14ac:dyDescent="0.3">
      <c r="A5931" t="s">
        <v>80</v>
      </c>
      <c r="B5931">
        <v>2024</v>
      </c>
      <c r="C5931" t="s">
        <v>8</v>
      </c>
      <c r="D5931" s="35">
        <v>42384758.909999996</v>
      </c>
      <c r="E5931" s="35">
        <v>2506</v>
      </c>
      <c r="F5931" s="35">
        <v>42384758.909999996</v>
      </c>
    </row>
    <row r="5932" spans="1:6" x14ac:dyDescent="0.3">
      <c r="A5932" t="s">
        <v>80</v>
      </c>
      <c r="B5932">
        <v>2024</v>
      </c>
      <c r="C5932" t="s">
        <v>6</v>
      </c>
      <c r="D5932" s="35">
        <v>70394452.309999987</v>
      </c>
      <c r="E5932" s="35">
        <v>1060822</v>
      </c>
      <c r="F5932" s="35">
        <v>57780124.119999997</v>
      </c>
    </row>
    <row r="5933" spans="1:6" x14ac:dyDescent="0.3">
      <c r="A5933" t="s">
        <v>80</v>
      </c>
      <c r="B5933">
        <v>2024</v>
      </c>
      <c r="C5933" t="s">
        <v>15</v>
      </c>
      <c r="D5933" s="35">
        <v>3975925.17</v>
      </c>
      <c r="E5933" s="35">
        <v>138828</v>
      </c>
      <c r="F5933" s="35">
        <v>1290350.31</v>
      </c>
    </row>
    <row r="5934" spans="1:6" x14ac:dyDescent="0.3">
      <c r="A5934" t="s">
        <v>80</v>
      </c>
      <c r="B5934">
        <v>2024</v>
      </c>
      <c r="C5934" t="s">
        <v>18</v>
      </c>
      <c r="D5934" s="35">
        <v>5505389.0499999989</v>
      </c>
      <c r="E5934" s="35">
        <v>27360</v>
      </c>
      <c r="F5934" s="35">
        <v>5160451.0700000012</v>
      </c>
    </row>
    <row r="5935" spans="1:6" x14ac:dyDescent="0.3">
      <c r="A5935" t="s">
        <v>80</v>
      </c>
      <c r="B5935">
        <v>2025</v>
      </c>
      <c r="C5935" t="s">
        <v>10</v>
      </c>
      <c r="D5935" s="35">
        <v>53346269.839999989</v>
      </c>
      <c r="E5935" s="35">
        <v>1097913</v>
      </c>
      <c r="F5935" s="35">
        <v>40404701.240000002</v>
      </c>
    </row>
    <row r="5936" spans="1:6" x14ac:dyDescent="0.3">
      <c r="A5936" t="s">
        <v>80</v>
      </c>
      <c r="B5936">
        <v>2025</v>
      </c>
      <c r="C5936" t="s">
        <v>4</v>
      </c>
      <c r="D5936" s="35">
        <v>160655448.11999989</v>
      </c>
      <c r="E5936" s="35">
        <v>333418</v>
      </c>
      <c r="F5936" s="35">
        <v>159211346.02000001</v>
      </c>
    </row>
    <row r="5937" spans="1:6" x14ac:dyDescent="0.3">
      <c r="A5937" t="s">
        <v>80</v>
      </c>
      <c r="B5937">
        <v>2025</v>
      </c>
      <c r="C5937" t="s">
        <v>13</v>
      </c>
      <c r="D5937" s="35">
        <v>20793524.539999999</v>
      </c>
      <c r="E5937" s="35">
        <v>333906</v>
      </c>
      <c r="F5937" s="35">
        <v>15766682.34</v>
      </c>
    </row>
    <row r="5938" spans="1:6" x14ac:dyDescent="0.3">
      <c r="A5938" t="s">
        <v>80</v>
      </c>
      <c r="B5938">
        <v>2025</v>
      </c>
      <c r="C5938" t="s">
        <v>16</v>
      </c>
      <c r="D5938" s="35">
        <v>9289019.5299999993</v>
      </c>
      <c r="E5938" s="35">
        <v>20639</v>
      </c>
      <c r="F5938" s="35">
        <v>8927069.790000001</v>
      </c>
    </row>
    <row r="5939" spans="1:6" x14ac:dyDescent="0.3">
      <c r="A5939" t="s">
        <v>80</v>
      </c>
      <c r="B5939">
        <v>2025</v>
      </c>
      <c r="C5939" t="s">
        <v>14</v>
      </c>
      <c r="D5939" s="35">
        <v>29545177.219999999</v>
      </c>
      <c r="E5939" s="35">
        <v>556494</v>
      </c>
      <c r="F5939" s="35">
        <v>21958588.84</v>
      </c>
    </row>
    <row r="5940" spans="1:6" x14ac:dyDescent="0.3">
      <c r="A5940" t="s">
        <v>80</v>
      </c>
      <c r="B5940">
        <v>2025</v>
      </c>
      <c r="C5940" t="s">
        <v>7</v>
      </c>
      <c r="D5940" s="35">
        <v>22016891.5</v>
      </c>
      <c r="E5940" s="35">
        <v>6304</v>
      </c>
      <c r="F5940" s="35">
        <v>21998417.690000001</v>
      </c>
    </row>
    <row r="5941" spans="1:6" x14ac:dyDescent="0.3">
      <c r="A5941" t="s">
        <v>80</v>
      </c>
      <c r="B5941">
        <v>2025</v>
      </c>
      <c r="C5941" t="s">
        <v>11</v>
      </c>
      <c r="D5941" s="35">
        <v>17724265.039999999</v>
      </c>
      <c r="E5941" s="35">
        <v>20526</v>
      </c>
      <c r="F5941" s="35">
        <v>16945939.780000001</v>
      </c>
    </row>
    <row r="5942" spans="1:6" x14ac:dyDescent="0.3">
      <c r="A5942" t="s">
        <v>80</v>
      </c>
      <c r="B5942">
        <v>2025</v>
      </c>
      <c r="C5942" t="s">
        <v>3</v>
      </c>
      <c r="D5942" s="35">
        <v>140390275.83000001</v>
      </c>
      <c r="E5942" s="35">
        <v>273225</v>
      </c>
      <c r="F5942" s="35">
        <v>137277291.38999999</v>
      </c>
    </row>
    <row r="5943" spans="1:6" x14ac:dyDescent="0.3">
      <c r="A5943" t="s">
        <v>80</v>
      </c>
      <c r="B5943">
        <v>2025</v>
      </c>
      <c r="C5943" t="s">
        <v>12</v>
      </c>
      <c r="D5943" s="35">
        <v>44464457.080000013</v>
      </c>
      <c r="E5943" s="35">
        <v>675300</v>
      </c>
      <c r="F5943" s="35">
        <v>34663623.840000004</v>
      </c>
    </row>
    <row r="5944" spans="1:6" x14ac:dyDescent="0.3">
      <c r="A5944" t="s">
        <v>80</v>
      </c>
      <c r="B5944">
        <v>2025</v>
      </c>
      <c r="C5944" t="s">
        <v>2</v>
      </c>
      <c r="D5944" s="35">
        <v>136937723.13</v>
      </c>
      <c r="E5944" s="35">
        <v>1903801</v>
      </c>
      <c r="F5944" s="35">
        <v>108321066.73999999</v>
      </c>
    </row>
    <row r="5945" spans="1:6" x14ac:dyDescent="0.3">
      <c r="A5945" t="s">
        <v>80</v>
      </c>
      <c r="B5945">
        <v>2025</v>
      </c>
      <c r="C5945" t="s">
        <v>5</v>
      </c>
      <c r="D5945" s="35">
        <v>25450173.669999991</v>
      </c>
      <c r="E5945" s="35">
        <v>10972</v>
      </c>
      <c r="F5945" s="35">
        <v>24688612.550000001</v>
      </c>
    </row>
    <row r="5946" spans="1:6" x14ac:dyDescent="0.3">
      <c r="A5946" t="s">
        <v>80</v>
      </c>
      <c r="B5946">
        <v>2025</v>
      </c>
      <c r="C5946" t="s">
        <v>17</v>
      </c>
      <c r="D5946" s="35">
        <v>1675474.49</v>
      </c>
      <c r="E5946" s="35">
        <v>138583</v>
      </c>
      <c r="F5946" s="35">
        <v>327702.75</v>
      </c>
    </row>
    <row r="5947" spans="1:6" x14ac:dyDescent="0.3">
      <c r="A5947" t="s">
        <v>80</v>
      </c>
      <c r="B5947">
        <v>2025</v>
      </c>
      <c r="C5947" t="s">
        <v>9</v>
      </c>
      <c r="D5947" s="35">
        <v>104768283.45</v>
      </c>
      <c r="E5947" s="35">
        <v>847986</v>
      </c>
      <c r="F5947" s="35">
        <v>96375839.409999996</v>
      </c>
    </row>
    <row r="5948" spans="1:6" x14ac:dyDescent="0.3">
      <c r="A5948" t="s">
        <v>80</v>
      </c>
      <c r="B5948">
        <v>2025</v>
      </c>
      <c r="C5948" t="s">
        <v>8</v>
      </c>
      <c r="D5948" s="35">
        <v>46758615.720000014</v>
      </c>
      <c r="E5948" s="35">
        <v>2508</v>
      </c>
      <c r="F5948" s="35">
        <v>46758615.720000014</v>
      </c>
    </row>
    <row r="5949" spans="1:6" x14ac:dyDescent="0.3">
      <c r="A5949" t="s">
        <v>80</v>
      </c>
      <c r="B5949">
        <v>2025</v>
      </c>
      <c r="C5949" t="s">
        <v>6</v>
      </c>
      <c r="D5949" s="35">
        <v>62868412.220000014</v>
      </c>
      <c r="E5949" s="35">
        <v>975879</v>
      </c>
      <c r="F5949" s="35">
        <v>50839410.979999997</v>
      </c>
    </row>
    <row r="5950" spans="1:6" x14ac:dyDescent="0.3">
      <c r="A5950" t="s">
        <v>80</v>
      </c>
      <c r="B5950">
        <v>2025</v>
      </c>
      <c r="C5950" t="s">
        <v>15</v>
      </c>
      <c r="D5950" s="35">
        <v>3929188.2499999991</v>
      </c>
      <c r="E5950" s="35">
        <v>115703</v>
      </c>
      <c r="F5950" s="35">
        <v>1654569.73</v>
      </c>
    </row>
    <row r="5951" spans="1:6" x14ac:dyDescent="0.3">
      <c r="A5951" t="s">
        <v>80</v>
      </c>
      <c r="B5951">
        <v>2025</v>
      </c>
      <c r="C5951" t="s">
        <v>18</v>
      </c>
      <c r="D5951" s="35">
        <v>5367779.8599999994</v>
      </c>
      <c r="E5951" s="35">
        <v>26482</v>
      </c>
      <c r="F5951" s="35">
        <v>4999270.2399999993</v>
      </c>
    </row>
    <row r="5952" spans="1:6" x14ac:dyDescent="0.3">
      <c r="A5952" t="s">
        <v>81</v>
      </c>
      <c r="B5952">
        <v>2019</v>
      </c>
      <c r="C5952" t="s">
        <v>10</v>
      </c>
      <c r="D5952" s="35">
        <v>695996.96000000008</v>
      </c>
      <c r="E5952" s="35">
        <v>23918</v>
      </c>
      <c r="F5952" s="35">
        <v>421136.39</v>
      </c>
    </row>
    <row r="5953" spans="1:6" x14ac:dyDescent="0.3">
      <c r="A5953" t="s">
        <v>81</v>
      </c>
      <c r="B5953">
        <v>2019</v>
      </c>
      <c r="C5953" t="s">
        <v>4</v>
      </c>
      <c r="D5953" s="35">
        <v>3263002.59</v>
      </c>
      <c r="E5953" s="35">
        <v>8893</v>
      </c>
      <c r="F5953" s="35">
        <v>3228715.03</v>
      </c>
    </row>
    <row r="5954" spans="1:6" x14ac:dyDescent="0.3">
      <c r="A5954" t="s">
        <v>81</v>
      </c>
      <c r="B5954">
        <v>2019</v>
      </c>
      <c r="C5954" t="s">
        <v>13</v>
      </c>
      <c r="D5954" s="35">
        <v>2487386.63</v>
      </c>
      <c r="E5954" s="35">
        <v>19324</v>
      </c>
      <c r="F5954" s="35">
        <v>2112088.9100000011</v>
      </c>
    </row>
    <row r="5955" spans="1:6" x14ac:dyDescent="0.3">
      <c r="A5955" t="s">
        <v>81</v>
      </c>
      <c r="B5955">
        <v>2019</v>
      </c>
      <c r="C5955" t="s">
        <v>16</v>
      </c>
      <c r="D5955" s="35">
        <v>291942.64</v>
      </c>
      <c r="E5955" s="35">
        <v>738</v>
      </c>
      <c r="F5955" s="35">
        <v>278409.33</v>
      </c>
    </row>
    <row r="5956" spans="1:6" x14ac:dyDescent="0.3">
      <c r="A5956" t="s">
        <v>81</v>
      </c>
      <c r="B5956">
        <v>2019</v>
      </c>
      <c r="C5956" t="s">
        <v>14</v>
      </c>
      <c r="D5956" s="35">
        <v>1017755.29</v>
      </c>
      <c r="E5956" s="35">
        <v>26881</v>
      </c>
      <c r="F5956" s="35">
        <v>650325.14</v>
      </c>
    </row>
    <row r="5957" spans="1:6" x14ac:dyDescent="0.3">
      <c r="A5957" t="s">
        <v>81</v>
      </c>
      <c r="B5957">
        <v>2019</v>
      </c>
      <c r="C5957" t="s">
        <v>7</v>
      </c>
      <c r="D5957" s="35">
        <v>452224.78</v>
      </c>
      <c r="E5957" s="35">
        <v>183</v>
      </c>
      <c r="F5957" s="35">
        <v>452224.78</v>
      </c>
    </row>
    <row r="5958" spans="1:6" x14ac:dyDescent="0.3">
      <c r="A5958" t="s">
        <v>81</v>
      </c>
      <c r="B5958">
        <v>2019</v>
      </c>
      <c r="C5958" t="s">
        <v>11</v>
      </c>
      <c r="D5958" s="35">
        <v>1302881.08</v>
      </c>
      <c r="E5958" s="35">
        <v>6277</v>
      </c>
      <c r="F5958" s="35">
        <v>1280348.82</v>
      </c>
    </row>
    <row r="5959" spans="1:6" x14ac:dyDescent="0.3">
      <c r="A5959" t="s">
        <v>81</v>
      </c>
      <c r="B5959">
        <v>2019</v>
      </c>
      <c r="C5959" t="s">
        <v>3</v>
      </c>
      <c r="D5959" s="35">
        <v>1865597.65</v>
      </c>
      <c r="E5959" s="35">
        <v>15353</v>
      </c>
      <c r="F5959" s="35">
        <v>1723149.49</v>
      </c>
    </row>
    <row r="5960" spans="1:6" x14ac:dyDescent="0.3">
      <c r="A5960" t="s">
        <v>81</v>
      </c>
      <c r="B5960">
        <v>2019</v>
      </c>
      <c r="C5960" t="s">
        <v>12</v>
      </c>
      <c r="D5960" s="35">
        <v>1939124.83</v>
      </c>
      <c r="E5960" s="35">
        <v>49739</v>
      </c>
      <c r="F5960" s="35">
        <v>912090.75000000023</v>
      </c>
    </row>
    <row r="5961" spans="1:6" x14ac:dyDescent="0.3">
      <c r="A5961" t="s">
        <v>81</v>
      </c>
      <c r="B5961">
        <v>2019</v>
      </c>
      <c r="C5961" t="s">
        <v>2</v>
      </c>
      <c r="D5961" s="35">
        <v>12355705.060000001</v>
      </c>
      <c r="E5961" s="35">
        <v>121264</v>
      </c>
      <c r="F5961" s="35">
        <v>10661458.98</v>
      </c>
    </row>
    <row r="5962" spans="1:6" x14ac:dyDescent="0.3">
      <c r="A5962" t="s">
        <v>81</v>
      </c>
      <c r="B5962">
        <v>2019</v>
      </c>
      <c r="C5962" t="s">
        <v>5</v>
      </c>
      <c r="D5962" s="35">
        <v>1237989.56</v>
      </c>
      <c r="E5962" s="35">
        <v>1655</v>
      </c>
      <c r="F5962" s="35">
        <v>1207820.94</v>
      </c>
    </row>
    <row r="5963" spans="1:6" x14ac:dyDescent="0.3">
      <c r="A5963" t="s">
        <v>81</v>
      </c>
      <c r="B5963">
        <v>2019</v>
      </c>
      <c r="C5963" t="s">
        <v>17</v>
      </c>
      <c r="D5963" s="35">
        <v>85679.860000000015</v>
      </c>
      <c r="E5963" s="35">
        <v>7430</v>
      </c>
      <c r="F5963" s="35">
        <v>25307.9</v>
      </c>
    </row>
    <row r="5964" spans="1:6" x14ac:dyDescent="0.3">
      <c r="A5964" t="s">
        <v>81</v>
      </c>
      <c r="B5964">
        <v>2019</v>
      </c>
      <c r="C5964" t="s">
        <v>9</v>
      </c>
      <c r="D5964" s="35">
        <v>1116177.0900000001</v>
      </c>
      <c r="E5964" s="35">
        <v>35578</v>
      </c>
      <c r="F5964" s="35">
        <v>696771.14999999991</v>
      </c>
    </row>
    <row r="5965" spans="1:6" x14ac:dyDescent="0.3">
      <c r="A5965" t="s">
        <v>81</v>
      </c>
      <c r="B5965">
        <v>2019</v>
      </c>
      <c r="C5965" t="s">
        <v>8</v>
      </c>
      <c r="D5965" s="35">
        <v>661086.61</v>
      </c>
      <c r="E5965" s="35">
        <v>183</v>
      </c>
      <c r="F5965" s="35">
        <v>661086.61</v>
      </c>
    </row>
    <row r="5966" spans="1:6" x14ac:dyDescent="0.3">
      <c r="A5966" t="s">
        <v>81</v>
      </c>
      <c r="B5966">
        <v>2019</v>
      </c>
      <c r="C5966" t="s">
        <v>6</v>
      </c>
      <c r="D5966" s="35">
        <v>3859335.29</v>
      </c>
      <c r="E5966" s="35">
        <v>52628</v>
      </c>
      <c r="F5966" s="35">
        <v>3308103.82</v>
      </c>
    </row>
    <row r="5967" spans="1:6" x14ac:dyDescent="0.3">
      <c r="A5967" t="s">
        <v>81</v>
      </c>
      <c r="B5967">
        <v>2019</v>
      </c>
      <c r="C5967" t="s">
        <v>15</v>
      </c>
      <c r="D5967" s="35">
        <v>753124.84</v>
      </c>
      <c r="E5967" s="35">
        <v>17941</v>
      </c>
      <c r="F5967" s="35">
        <v>475979.31</v>
      </c>
    </row>
    <row r="5968" spans="1:6" x14ac:dyDescent="0.3">
      <c r="A5968" t="s">
        <v>81</v>
      </c>
      <c r="B5968">
        <v>2019</v>
      </c>
      <c r="C5968" t="s">
        <v>18</v>
      </c>
      <c r="D5968" s="35">
        <v>209085.49</v>
      </c>
      <c r="E5968" s="35">
        <v>2460</v>
      </c>
      <c r="F5968" s="35">
        <v>196730.79</v>
      </c>
    </row>
    <row r="5969" spans="1:6" x14ac:dyDescent="0.3">
      <c r="A5969" t="s">
        <v>81</v>
      </c>
      <c r="B5969">
        <v>2020</v>
      </c>
      <c r="C5969" t="s">
        <v>10</v>
      </c>
      <c r="D5969" s="35">
        <v>785963.64999999991</v>
      </c>
      <c r="E5969" s="35">
        <v>25826</v>
      </c>
      <c r="F5969" s="35">
        <v>484874.59999999992</v>
      </c>
    </row>
    <row r="5970" spans="1:6" x14ac:dyDescent="0.3">
      <c r="A5970" t="s">
        <v>81</v>
      </c>
      <c r="B5970">
        <v>2020</v>
      </c>
      <c r="C5970" t="s">
        <v>4</v>
      </c>
      <c r="D5970" s="35">
        <v>3635637.72</v>
      </c>
      <c r="E5970" s="35">
        <v>9423</v>
      </c>
      <c r="F5970" s="35">
        <v>3598249.19</v>
      </c>
    </row>
    <row r="5971" spans="1:6" x14ac:dyDescent="0.3">
      <c r="A5971" t="s">
        <v>81</v>
      </c>
      <c r="B5971">
        <v>2020</v>
      </c>
      <c r="C5971" t="s">
        <v>13</v>
      </c>
      <c r="D5971" s="35">
        <v>2669061.87</v>
      </c>
      <c r="E5971" s="35">
        <v>16097</v>
      </c>
      <c r="F5971" s="35">
        <v>2258831.2200000002</v>
      </c>
    </row>
    <row r="5972" spans="1:6" x14ac:dyDescent="0.3">
      <c r="A5972" t="s">
        <v>81</v>
      </c>
      <c r="B5972">
        <v>2020</v>
      </c>
      <c r="C5972" t="s">
        <v>16</v>
      </c>
      <c r="D5972" s="35">
        <v>235437.51</v>
      </c>
      <c r="E5972" s="35">
        <v>552</v>
      </c>
      <c r="F5972" s="35">
        <v>228397.18</v>
      </c>
    </row>
    <row r="5973" spans="1:6" x14ac:dyDescent="0.3">
      <c r="A5973" t="s">
        <v>81</v>
      </c>
      <c r="B5973">
        <v>2020</v>
      </c>
      <c r="C5973" t="s">
        <v>14</v>
      </c>
      <c r="D5973" s="35">
        <v>1140673.52</v>
      </c>
      <c r="E5973" s="35">
        <v>26356</v>
      </c>
      <c r="F5973" s="35">
        <v>742615.50999999978</v>
      </c>
    </row>
    <row r="5974" spans="1:6" x14ac:dyDescent="0.3">
      <c r="A5974" t="s">
        <v>81</v>
      </c>
      <c r="B5974">
        <v>2020</v>
      </c>
      <c r="C5974" t="s">
        <v>7</v>
      </c>
      <c r="D5974" s="35">
        <v>489075.51</v>
      </c>
      <c r="E5974" s="35">
        <v>189</v>
      </c>
      <c r="F5974" s="35">
        <v>489075.51</v>
      </c>
    </row>
    <row r="5975" spans="1:6" x14ac:dyDescent="0.3">
      <c r="A5975" t="s">
        <v>81</v>
      </c>
      <c r="B5975">
        <v>2020</v>
      </c>
      <c r="C5975" t="s">
        <v>11</v>
      </c>
      <c r="D5975" s="35">
        <v>818426.86999999988</v>
      </c>
      <c r="E5975" s="35">
        <v>2243</v>
      </c>
      <c r="F5975" s="35">
        <v>796107.05</v>
      </c>
    </row>
    <row r="5976" spans="1:6" x14ac:dyDescent="0.3">
      <c r="A5976" t="s">
        <v>81</v>
      </c>
      <c r="B5976">
        <v>2020</v>
      </c>
      <c r="C5976" t="s">
        <v>3</v>
      </c>
      <c r="D5976" s="35">
        <v>3394334.35</v>
      </c>
      <c r="E5976" s="35">
        <v>12840</v>
      </c>
      <c r="F5976" s="35">
        <v>3283622.74</v>
      </c>
    </row>
    <row r="5977" spans="1:6" x14ac:dyDescent="0.3">
      <c r="A5977" t="s">
        <v>81</v>
      </c>
      <c r="B5977">
        <v>2020</v>
      </c>
      <c r="C5977" t="s">
        <v>12</v>
      </c>
      <c r="D5977" s="35">
        <v>1634357.1</v>
      </c>
      <c r="E5977" s="35">
        <v>38997</v>
      </c>
      <c r="F5977" s="35">
        <v>863954.47</v>
      </c>
    </row>
    <row r="5978" spans="1:6" x14ac:dyDescent="0.3">
      <c r="A5978" t="s">
        <v>81</v>
      </c>
      <c r="B5978">
        <v>2020</v>
      </c>
      <c r="C5978" t="s">
        <v>2</v>
      </c>
      <c r="D5978" s="35">
        <v>12645469.18</v>
      </c>
      <c r="E5978" s="35">
        <v>120564</v>
      </c>
      <c r="F5978" s="35">
        <v>10747064.92</v>
      </c>
    </row>
    <row r="5979" spans="1:6" x14ac:dyDescent="0.3">
      <c r="A5979" t="s">
        <v>81</v>
      </c>
      <c r="B5979">
        <v>2020</v>
      </c>
      <c r="C5979" t="s">
        <v>5</v>
      </c>
      <c r="D5979" s="35">
        <v>1253591.29</v>
      </c>
      <c r="E5979" s="35">
        <v>1543</v>
      </c>
      <c r="F5979" s="35">
        <v>1230854.8999999999</v>
      </c>
    </row>
    <row r="5980" spans="1:6" x14ac:dyDescent="0.3">
      <c r="A5980" t="s">
        <v>81</v>
      </c>
      <c r="B5980">
        <v>2020</v>
      </c>
      <c r="C5980" t="s">
        <v>17</v>
      </c>
      <c r="D5980" s="35">
        <v>92618.430000000022</v>
      </c>
      <c r="E5980" s="35">
        <v>6700</v>
      </c>
      <c r="F5980" s="35">
        <v>30800.57</v>
      </c>
    </row>
    <row r="5981" spans="1:6" x14ac:dyDescent="0.3">
      <c r="A5981" t="s">
        <v>81</v>
      </c>
      <c r="B5981">
        <v>2020</v>
      </c>
      <c r="C5981" t="s">
        <v>9</v>
      </c>
      <c r="D5981" s="35">
        <v>1104142.31</v>
      </c>
      <c r="E5981" s="35">
        <v>32519</v>
      </c>
      <c r="F5981" s="35">
        <v>717153.83</v>
      </c>
    </row>
    <row r="5982" spans="1:6" x14ac:dyDescent="0.3">
      <c r="A5982" t="s">
        <v>81</v>
      </c>
      <c r="B5982">
        <v>2020</v>
      </c>
      <c r="C5982" t="s">
        <v>8</v>
      </c>
      <c r="D5982" s="35">
        <v>769163.24</v>
      </c>
      <c r="E5982" s="35">
        <v>299</v>
      </c>
      <c r="F5982" s="35">
        <v>769163.24</v>
      </c>
    </row>
    <row r="5983" spans="1:6" x14ac:dyDescent="0.3">
      <c r="A5983" t="s">
        <v>81</v>
      </c>
      <c r="B5983">
        <v>2020</v>
      </c>
      <c r="C5983" t="s">
        <v>6</v>
      </c>
      <c r="D5983" s="35">
        <v>4143221.48</v>
      </c>
      <c r="E5983" s="35">
        <v>51109</v>
      </c>
      <c r="F5983" s="35">
        <v>3542584.81</v>
      </c>
    </row>
    <row r="5984" spans="1:6" x14ac:dyDescent="0.3">
      <c r="A5984" t="s">
        <v>81</v>
      </c>
      <c r="B5984">
        <v>2020</v>
      </c>
      <c r="C5984" t="s">
        <v>15</v>
      </c>
      <c r="D5984" s="35">
        <v>393796.28</v>
      </c>
      <c r="E5984" s="35">
        <v>12428</v>
      </c>
      <c r="F5984" s="35">
        <v>194756.58</v>
      </c>
    </row>
    <row r="5985" spans="1:6" x14ac:dyDescent="0.3">
      <c r="A5985" t="s">
        <v>81</v>
      </c>
      <c r="B5985">
        <v>2020</v>
      </c>
      <c r="C5985" t="s">
        <v>18</v>
      </c>
      <c r="D5985" s="35">
        <v>141596.4</v>
      </c>
      <c r="E5985" s="35">
        <v>900</v>
      </c>
      <c r="F5985" s="35">
        <v>133492.42000000001</v>
      </c>
    </row>
    <row r="5986" spans="1:6" x14ac:dyDescent="0.3">
      <c r="A5986" t="s">
        <v>81</v>
      </c>
      <c r="B5986">
        <v>2021</v>
      </c>
      <c r="C5986" t="s">
        <v>10</v>
      </c>
      <c r="D5986" s="35">
        <v>981707.06999999983</v>
      </c>
      <c r="E5986" s="35">
        <v>28691</v>
      </c>
      <c r="F5986" s="35">
        <v>650857.55000000005</v>
      </c>
    </row>
    <row r="5987" spans="1:6" x14ac:dyDescent="0.3">
      <c r="A5987" t="s">
        <v>81</v>
      </c>
      <c r="B5987">
        <v>2021</v>
      </c>
      <c r="C5987" t="s">
        <v>4</v>
      </c>
      <c r="D5987" s="35">
        <v>4139760.96</v>
      </c>
      <c r="E5987" s="35">
        <v>10103</v>
      </c>
      <c r="F5987" s="35">
        <v>4080640.56</v>
      </c>
    </row>
    <row r="5988" spans="1:6" x14ac:dyDescent="0.3">
      <c r="A5988" t="s">
        <v>81</v>
      </c>
      <c r="B5988">
        <v>2021</v>
      </c>
      <c r="C5988" t="s">
        <v>13</v>
      </c>
      <c r="D5988" s="35">
        <v>2694218.4</v>
      </c>
      <c r="E5988" s="35">
        <v>17561</v>
      </c>
      <c r="F5988" s="35">
        <v>2258137.3099999991</v>
      </c>
    </row>
    <row r="5989" spans="1:6" x14ac:dyDescent="0.3">
      <c r="A5989" t="s">
        <v>81</v>
      </c>
      <c r="B5989">
        <v>2021</v>
      </c>
      <c r="C5989" t="s">
        <v>16</v>
      </c>
      <c r="D5989" s="35">
        <v>307552.74</v>
      </c>
      <c r="E5989" s="35">
        <v>825</v>
      </c>
      <c r="F5989" s="35">
        <v>282602.84999999998</v>
      </c>
    </row>
    <row r="5990" spans="1:6" x14ac:dyDescent="0.3">
      <c r="A5990" t="s">
        <v>81</v>
      </c>
      <c r="B5990">
        <v>2021</v>
      </c>
      <c r="C5990" t="s">
        <v>14</v>
      </c>
      <c r="D5990" s="35">
        <v>1292256.6499999999</v>
      </c>
      <c r="E5990" s="35">
        <v>29775</v>
      </c>
      <c r="F5990" s="35">
        <v>830570.76</v>
      </c>
    </row>
    <row r="5991" spans="1:6" x14ac:dyDescent="0.3">
      <c r="A5991" t="s">
        <v>81</v>
      </c>
      <c r="B5991">
        <v>2021</v>
      </c>
      <c r="C5991" t="s">
        <v>7</v>
      </c>
      <c r="D5991" s="35">
        <v>591676.51</v>
      </c>
      <c r="E5991" s="35">
        <v>237</v>
      </c>
      <c r="F5991" s="35">
        <v>591676.51</v>
      </c>
    </row>
    <row r="5992" spans="1:6" x14ac:dyDescent="0.3">
      <c r="A5992" t="s">
        <v>81</v>
      </c>
      <c r="B5992">
        <v>2021</v>
      </c>
      <c r="C5992" t="s">
        <v>11</v>
      </c>
      <c r="D5992" s="35">
        <v>650042.3899999999</v>
      </c>
      <c r="E5992" s="35">
        <v>1590</v>
      </c>
      <c r="F5992" s="35">
        <v>635601.45000000007</v>
      </c>
    </row>
    <row r="5993" spans="1:6" x14ac:dyDescent="0.3">
      <c r="A5993" t="s">
        <v>81</v>
      </c>
      <c r="B5993">
        <v>2021</v>
      </c>
      <c r="C5993" t="s">
        <v>3</v>
      </c>
      <c r="D5993" s="35">
        <v>5221272.2300000004</v>
      </c>
      <c r="E5993" s="35">
        <v>15805</v>
      </c>
      <c r="F5993" s="35">
        <v>5071291.870000001</v>
      </c>
    </row>
    <row r="5994" spans="1:6" x14ac:dyDescent="0.3">
      <c r="A5994" t="s">
        <v>81</v>
      </c>
      <c r="B5994">
        <v>2021</v>
      </c>
      <c r="C5994" t="s">
        <v>12</v>
      </c>
      <c r="D5994" s="35">
        <v>2016463</v>
      </c>
      <c r="E5994" s="35">
        <v>43077</v>
      </c>
      <c r="F5994" s="35">
        <v>1277872.27</v>
      </c>
    </row>
    <row r="5995" spans="1:6" x14ac:dyDescent="0.3">
      <c r="A5995" t="s">
        <v>81</v>
      </c>
      <c r="B5995">
        <v>2021</v>
      </c>
      <c r="C5995" t="s">
        <v>2</v>
      </c>
      <c r="D5995" s="35">
        <v>14680433.979999989</v>
      </c>
      <c r="E5995" s="35">
        <v>133186</v>
      </c>
      <c r="F5995" s="35">
        <v>12871392.630000001</v>
      </c>
    </row>
    <row r="5996" spans="1:6" x14ac:dyDescent="0.3">
      <c r="A5996" t="s">
        <v>81</v>
      </c>
      <c r="B5996">
        <v>2021</v>
      </c>
      <c r="C5996" t="s">
        <v>5</v>
      </c>
      <c r="D5996" s="35">
        <v>1059030.1599999999</v>
      </c>
      <c r="E5996" s="35">
        <v>1165</v>
      </c>
      <c r="F5996" s="35">
        <v>1047554.94</v>
      </c>
    </row>
    <row r="5997" spans="1:6" x14ac:dyDescent="0.3">
      <c r="A5997" t="s">
        <v>81</v>
      </c>
      <c r="B5997">
        <v>2021</v>
      </c>
      <c r="C5997" t="s">
        <v>17</v>
      </c>
      <c r="D5997" s="35">
        <v>88798.170000000013</v>
      </c>
      <c r="E5997" s="35">
        <v>6411</v>
      </c>
      <c r="F5997" s="35">
        <v>29871.03</v>
      </c>
    </row>
    <row r="5998" spans="1:6" x14ac:dyDescent="0.3">
      <c r="A5998" t="s">
        <v>81</v>
      </c>
      <c r="B5998">
        <v>2021</v>
      </c>
      <c r="C5998" t="s">
        <v>9</v>
      </c>
      <c r="D5998" s="35">
        <v>1131577.4099999999</v>
      </c>
      <c r="E5998" s="35">
        <v>33750</v>
      </c>
      <c r="F5998" s="35">
        <v>727469.21000000008</v>
      </c>
    </row>
    <row r="5999" spans="1:6" x14ac:dyDescent="0.3">
      <c r="A5999" t="s">
        <v>81</v>
      </c>
      <c r="B5999">
        <v>2021</v>
      </c>
      <c r="C5999" t="s">
        <v>8</v>
      </c>
      <c r="D5999" s="35">
        <v>1409357.29</v>
      </c>
      <c r="E5999" s="35">
        <v>229</v>
      </c>
      <c r="F5999" s="35">
        <v>1409357.29</v>
      </c>
    </row>
    <row r="6000" spans="1:6" x14ac:dyDescent="0.3">
      <c r="A6000" t="s">
        <v>81</v>
      </c>
      <c r="B6000">
        <v>2021</v>
      </c>
      <c r="C6000" t="s">
        <v>6</v>
      </c>
      <c r="D6000" s="35">
        <v>4259601.62</v>
      </c>
      <c r="E6000" s="35">
        <v>53764</v>
      </c>
      <c r="F6000" s="35">
        <v>3573300.5</v>
      </c>
    </row>
    <row r="6001" spans="1:6" x14ac:dyDescent="0.3">
      <c r="A6001" t="s">
        <v>81</v>
      </c>
      <c r="B6001">
        <v>2021</v>
      </c>
      <c r="C6001" t="s">
        <v>15</v>
      </c>
      <c r="D6001" s="35">
        <v>472311.03999999998</v>
      </c>
      <c r="E6001" s="35">
        <v>13011</v>
      </c>
      <c r="F6001" s="35">
        <v>245611.13000000009</v>
      </c>
    </row>
    <row r="6002" spans="1:6" x14ac:dyDescent="0.3">
      <c r="A6002" t="s">
        <v>81</v>
      </c>
      <c r="B6002">
        <v>2021</v>
      </c>
      <c r="C6002" t="s">
        <v>18</v>
      </c>
      <c r="D6002" s="35">
        <v>90245.33</v>
      </c>
      <c r="E6002" s="35">
        <v>985</v>
      </c>
      <c r="F6002" s="35">
        <v>79004.639999999999</v>
      </c>
    </row>
    <row r="6003" spans="1:6" x14ac:dyDescent="0.3">
      <c r="A6003" t="s">
        <v>81</v>
      </c>
      <c r="B6003">
        <v>2022</v>
      </c>
      <c r="C6003" t="s">
        <v>10</v>
      </c>
      <c r="D6003" s="35">
        <v>1151777.8</v>
      </c>
      <c r="E6003" s="35">
        <v>31687</v>
      </c>
      <c r="F6003" s="35">
        <v>795311.89000000013</v>
      </c>
    </row>
    <row r="6004" spans="1:6" x14ac:dyDescent="0.3">
      <c r="A6004" t="s">
        <v>81</v>
      </c>
      <c r="B6004">
        <v>2022</v>
      </c>
      <c r="C6004" t="s">
        <v>4</v>
      </c>
      <c r="D6004" s="35">
        <v>4742033.72</v>
      </c>
      <c r="E6004" s="35">
        <v>11109</v>
      </c>
      <c r="F6004" s="35">
        <v>4668383.24</v>
      </c>
    </row>
    <row r="6005" spans="1:6" x14ac:dyDescent="0.3">
      <c r="A6005" t="s">
        <v>81</v>
      </c>
      <c r="B6005">
        <v>2022</v>
      </c>
      <c r="C6005" t="s">
        <v>13</v>
      </c>
      <c r="D6005" s="35">
        <v>2929213.49</v>
      </c>
      <c r="E6005" s="35">
        <v>19225</v>
      </c>
      <c r="F6005" s="35">
        <v>2421217.4500000002</v>
      </c>
    </row>
    <row r="6006" spans="1:6" x14ac:dyDescent="0.3">
      <c r="A6006" t="s">
        <v>81</v>
      </c>
      <c r="B6006">
        <v>2022</v>
      </c>
      <c r="C6006" t="s">
        <v>16</v>
      </c>
      <c r="D6006" s="35">
        <v>792266.03999999992</v>
      </c>
      <c r="E6006" s="35">
        <v>939</v>
      </c>
      <c r="F6006" s="35">
        <v>762160.98</v>
      </c>
    </row>
    <row r="6007" spans="1:6" x14ac:dyDescent="0.3">
      <c r="A6007" t="s">
        <v>81</v>
      </c>
      <c r="B6007">
        <v>2022</v>
      </c>
      <c r="C6007" t="s">
        <v>14</v>
      </c>
      <c r="D6007" s="35">
        <v>1382129.68</v>
      </c>
      <c r="E6007" s="35">
        <v>30930</v>
      </c>
      <c r="F6007" s="35">
        <v>939229.48999999987</v>
      </c>
    </row>
    <row r="6008" spans="1:6" x14ac:dyDescent="0.3">
      <c r="A6008" t="s">
        <v>81</v>
      </c>
      <c r="B6008">
        <v>2022</v>
      </c>
      <c r="C6008" t="s">
        <v>7</v>
      </c>
      <c r="D6008" s="35">
        <v>365353.69</v>
      </c>
      <c r="E6008" s="35">
        <v>127</v>
      </c>
      <c r="F6008" s="35">
        <v>365353.69</v>
      </c>
    </row>
    <row r="6009" spans="1:6" x14ac:dyDescent="0.3">
      <c r="A6009" t="s">
        <v>81</v>
      </c>
      <c r="B6009">
        <v>2022</v>
      </c>
      <c r="C6009" t="s">
        <v>11</v>
      </c>
      <c r="D6009" s="35">
        <v>1115370.3600000001</v>
      </c>
      <c r="E6009" s="35">
        <v>2189</v>
      </c>
      <c r="F6009" s="35">
        <v>1083397.6000000001</v>
      </c>
    </row>
    <row r="6010" spans="1:6" x14ac:dyDescent="0.3">
      <c r="A6010" t="s">
        <v>81</v>
      </c>
      <c r="B6010">
        <v>2022</v>
      </c>
      <c r="C6010" t="s">
        <v>3</v>
      </c>
      <c r="D6010" s="35">
        <v>5561056.1400000006</v>
      </c>
      <c r="E6010" s="35">
        <v>17094</v>
      </c>
      <c r="F6010" s="35">
        <v>5395699.4499999993</v>
      </c>
    </row>
    <row r="6011" spans="1:6" x14ac:dyDescent="0.3">
      <c r="A6011" t="s">
        <v>81</v>
      </c>
      <c r="B6011">
        <v>2022</v>
      </c>
      <c r="C6011" t="s">
        <v>12</v>
      </c>
      <c r="D6011" s="35">
        <v>1448840.96</v>
      </c>
      <c r="E6011" s="35">
        <v>56654</v>
      </c>
      <c r="F6011" s="35">
        <v>580170.21000000008</v>
      </c>
    </row>
    <row r="6012" spans="1:6" x14ac:dyDescent="0.3">
      <c r="A6012" t="s">
        <v>81</v>
      </c>
      <c r="B6012">
        <v>2022</v>
      </c>
      <c r="C6012" t="s">
        <v>2</v>
      </c>
      <c r="D6012" s="35">
        <v>17143378.870000001</v>
      </c>
      <c r="E6012" s="35">
        <v>146336</v>
      </c>
      <c r="F6012" s="35">
        <v>14935346.359999999</v>
      </c>
    </row>
    <row r="6013" spans="1:6" x14ac:dyDescent="0.3">
      <c r="A6013" t="s">
        <v>81</v>
      </c>
      <c r="B6013">
        <v>2022</v>
      </c>
      <c r="C6013" t="s">
        <v>5</v>
      </c>
      <c r="D6013" s="35">
        <v>1273428.74</v>
      </c>
      <c r="E6013" s="35">
        <v>933</v>
      </c>
      <c r="F6013" s="35">
        <v>1245563.51</v>
      </c>
    </row>
    <row r="6014" spans="1:6" x14ac:dyDescent="0.3">
      <c r="A6014" t="s">
        <v>81</v>
      </c>
      <c r="B6014">
        <v>2022</v>
      </c>
      <c r="C6014" t="s">
        <v>17</v>
      </c>
      <c r="D6014" s="35">
        <v>95003.709999999992</v>
      </c>
      <c r="E6014" s="35">
        <v>6113</v>
      </c>
      <c r="F6014" s="35">
        <v>32548.55</v>
      </c>
    </row>
    <row r="6015" spans="1:6" x14ac:dyDescent="0.3">
      <c r="A6015" t="s">
        <v>81</v>
      </c>
      <c r="B6015">
        <v>2022</v>
      </c>
      <c r="C6015" t="s">
        <v>9</v>
      </c>
      <c r="D6015" s="35">
        <v>1270540.53</v>
      </c>
      <c r="E6015" s="35">
        <v>33539</v>
      </c>
      <c r="F6015" s="35">
        <v>765372.53</v>
      </c>
    </row>
    <row r="6016" spans="1:6" x14ac:dyDescent="0.3">
      <c r="A6016" t="s">
        <v>81</v>
      </c>
      <c r="B6016">
        <v>2022</v>
      </c>
      <c r="C6016" t="s">
        <v>8</v>
      </c>
      <c r="D6016" s="35">
        <v>2736838.07</v>
      </c>
      <c r="E6016" s="35">
        <v>265</v>
      </c>
      <c r="F6016" s="35">
        <v>2736838.07</v>
      </c>
    </row>
    <row r="6017" spans="1:6" x14ac:dyDescent="0.3">
      <c r="A6017" t="s">
        <v>81</v>
      </c>
      <c r="B6017">
        <v>2022</v>
      </c>
      <c r="C6017" t="s">
        <v>6</v>
      </c>
      <c r="D6017" s="35">
        <v>4495295.29</v>
      </c>
      <c r="E6017" s="35">
        <v>58813</v>
      </c>
      <c r="F6017" s="35">
        <v>3655358.5099999988</v>
      </c>
    </row>
    <row r="6018" spans="1:6" x14ac:dyDescent="0.3">
      <c r="A6018" t="s">
        <v>81</v>
      </c>
      <c r="B6018">
        <v>2022</v>
      </c>
      <c r="C6018" t="s">
        <v>15</v>
      </c>
      <c r="D6018" s="35">
        <v>670154.38000000012</v>
      </c>
      <c r="E6018" s="35">
        <v>12976</v>
      </c>
      <c r="F6018" s="35">
        <v>452780.64</v>
      </c>
    </row>
    <row r="6019" spans="1:6" x14ac:dyDescent="0.3">
      <c r="A6019" t="s">
        <v>81</v>
      </c>
      <c r="B6019">
        <v>2022</v>
      </c>
      <c r="C6019" t="s">
        <v>18</v>
      </c>
      <c r="D6019" s="35">
        <v>103489.38</v>
      </c>
      <c r="E6019" s="35">
        <v>1341</v>
      </c>
      <c r="F6019" s="35">
        <v>89598.5</v>
      </c>
    </row>
    <row r="6020" spans="1:6" x14ac:dyDescent="0.3">
      <c r="A6020" t="s">
        <v>81</v>
      </c>
      <c r="B6020">
        <v>2023</v>
      </c>
      <c r="C6020" t="s">
        <v>10</v>
      </c>
      <c r="D6020" s="35">
        <v>1269977.68</v>
      </c>
      <c r="E6020" s="35">
        <v>35210</v>
      </c>
      <c r="F6020" s="35">
        <v>881919.41</v>
      </c>
    </row>
    <row r="6021" spans="1:6" x14ac:dyDescent="0.3">
      <c r="A6021" t="s">
        <v>81</v>
      </c>
      <c r="B6021">
        <v>2023</v>
      </c>
      <c r="C6021" t="s">
        <v>4</v>
      </c>
      <c r="D6021" s="35">
        <v>5609045.4000000013</v>
      </c>
      <c r="E6021" s="35">
        <v>12419</v>
      </c>
      <c r="F6021" s="35">
        <v>5532412.790000001</v>
      </c>
    </row>
    <row r="6022" spans="1:6" x14ac:dyDescent="0.3">
      <c r="A6022" t="s">
        <v>81</v>
      </c>
      <c r="B6022">
        <v>2023</v>
      </c>
      <c r="C6022" t="s">
        <v>13</v>
      </c>
      <c r="D6022" s="35">
        <v>2563512.5699999998</v>
      </c>
      <c r="E6022" s="35">
        <v>21472</v>
      </c>
      <c r="F6022" s="35">
        <v>2009056.17</v>
      </c>
    </row>
    <row r="6023" spans="1:6" x14ac:dyDescent="0.3">
      <c r="A6023" t="s">
        <v>81</v>
      </c>
      <c r="B6023">
        <v>2023</v>
      </c>
      <c r="C6023" t="s">
        <v>16</v>
      </c>
      <c r="D6023" s="35">
        <v>476628.23999999987</v>
      </c>
      <c r="E6023" s="35">
        <v>845</v>
      </c>
      <c r="F6023" s="35">
        <v>445536.79999999987</v>
      </c>
    </row>
    <row r="6024" spans="1:6" x14ac:dyDescent="0.3">
      <c r="A6024" t="s">
        <v>81</v>
      </c>
      <c r="B6024">
        <v>2023</v>
      </c>
      <c r="C6024" t="s">
        <v>14</v>
      </c>
      <c r="D6024" s="35">
        <v>1346575.74</v>
      </c>
      <c r="E6024" s="35">
        <v>31685</v>
      </c>
      <c r="F6024" s="35">
        <v>904428.5</v>
      </c>
    </row>
    <row r="6025" spans="1:6" x14ac:dyDescent="0.3">
      <c r="A6025" t="s">
        <v>81</v>
      </c>
      <c r="B6025">
        <v>2023</v>
      </c>
      <c r="C6025" t="s">
        <v>7</v>
      </c>
      <c r="D6025" s="35">
        <v>506875</v>
      </c>
      <c r="E6025" s="35">
        <v>152</v>
      </c>
      <c r="F6025" s="35">
        <v>506875</v>
      </c>
    </row>
    <row r="6026" spans="1:6" x14ac:dyDescent="0.3">
      <c r="A6026" t="s">
        <v>81</v>
      </c>
      <c r="B6026">
        <v>2023</v>
      </c>
      <c r="C6026" t="s">
        <v>11</v>
      </c>
      <c r="D6026" s="35">
        <v>1059080.67</v>
      </c>
      <c r="E6026" s="35">
        <v>2235</v>
      </c>
      <c r="F6026" s="35">
        <v>1035687.45</v>
      </c>
    </row>
    <row r="6027" spans="1:6" x14ac:dyDescent="0.3">
      <c r="A6027" t="s">
        <v>81</v>
      </c>
      <c r="B6027">
        <v>2023</v>
      </c>
      <c r="C6027" t="s">
        <v>3</v>
      </c>
      <c r="D6027" s="35">
        <v>6836448.5300000003</v>
      </c>
      <c r="E6027" s="35">
        <v>16636</v>
      </c>
      <c r="F6027" s="35">
        <v>6669521.9100000001</v>
      </c>
    </row>
    <row r="6028" spans="1:6" x14ac:dyDescent="0.3">
      <c r="A6028" t="s">
        <v>81</v>
      </c>
      <c r="B6028">
        <v>2023</v>
      </c>
      <c r="C6028" t="s">
        <v>12</v>
      </c>
      <c r="D6028" s="35">
        <v>1537780.9</v>
      </c>
      <c r="E6028" s="35">
        <v>59186</v>
      </c>
      <c r="F6028" s="35">
        <v>667439.05000000005</v>
      </c>
    </row>
    <row r="6029" spans="1:6" x14ac:dyDescent="0.3">
      <c r="A6029" t="s">
        <v>81</v>
      </c>
      <c r="B6029">
        <v>2023</v>
      </c>
      <c r="C6029" t="s">
        <v>2</v>
      </c>
      <c r="D6029" s="35">
        <v>19780957.699999999</v>
      </c>
      <c r="E6029" s="35">
        <v>154869</v>
      </c>
      <c r="F6029" s="35">
        <v>17087817.68</v>
      </c>
    </row>
    <row r="6030" spans="1:6" x14ac:dyDescent="0.3">
      <c r="A6030" t="s">
        <v>81</v>
      </c>
      <c r="B6030">
        <v>2023</v>
      </c>
      <c r="C6030" t="s">
        <v>5</v>
      </c>
      <c r="D6030" s="35">
        <v>1868543.11</v>
      </c>
      <c r="E6030" s="35">
        <v>940</v>
      </c>
      <c r="F6030" s="35">
        <v>1836283.58</v>
      </c>
    </row>
    <row r="6031" spans="1:6" x14ac:dyDescent="0.3">
      <c r="A6031" t="s">
        <v>81</v>
      </c>
      <c r="B6031">
        <v>2023</v>
      </c>
      <c r="C6031" t="s">
        <v>17</v>
      </c>
      <c r="D6031" s="35">
        <v>106639.74</v>
      </c>
      <c r="E6031" s="35">
        <v>5817</v>
      </c>
      <c r="F6031" s="35">
        <v>46141.73</v>
      </c>
    </row>
    <row r="6032" spans="1:6" x14ac:dyDescent="0.3">
      <c r="A6032" t="s">
        <v>81</v>
      </c>
      <c r="B6032">
        <v>2023</v>
      </c>
      <c r="C6032" t="s">
        <v>9</v>
      </c>
      <c r="D6032" s="35">
        <v>1448443.97</v>
      </c>
      <c r="E6032" s="35">
        <v>33380</v>
      </c>
      <c r="F6032" s="35">
        <v>943625.33000000007</v>
      </c>
    </row>
    <row r="6033" spans="1:6" x14ac:dyDescent="0.3">
      <c r="A6033" t="s">
        <v>81</v>
      </c>
      <c r="B6033">
        <v>2023</v>
      </c>
      <c r="C6033" t="s">
        <v>8</v>
      </c>
      <c r="D6033" s="35">
        <v>2672028.42</v>
      </c>
      <c r="E6033" s="35">
        <v>271</v>
      </c>
      <c r="F6033" s="35">
        <v>2672028.42</v>
      </c>
    </row>
    <row r="6034" spans="1:6" x14ac:dyDescent="0.3">
      <c r="A6034" t="s">
        <v>81</v>
      </c>
      <c r="B6034">
        <v>2023</v>
      </c>
      <c r="C6034" t="s">
        <v>6</v>
      </c>
      <c r="D6034" s="35">
        <v>4461270.7300000004</v>
      </c>
      <c r="E6034" s="35">
        <v>58344</v>
      </c>
      <c r="F6034" s="35">
        <v>3579097.1599999992</v>
      </c>
    </row>
    <row r="6035" spans="1:6" x14ac:dyDescent="0.3">
      <c r="A6035" t="s">
        <v>81</v>
      </c>
      <c r="B6035">
        <v>2023</v>
      </c>
      <c r="C6035" t="s">
        <v>15</v>
      </c>
      <c r="D6035" s="35">
        <v>412241.51</v>
      </c>
      <c r="E6035" s="35">
        <v>9020</v>
      </c>
      <c r="F6035" s="35">
        <v>282307.84000000003</v>
      </c>
    </row>
    <row r="6036" spans="1:6" x14ac:dyDescent="0.3">
      <c r="A6036" t="s">
        <v>81</v>
      </c>
      <c r="B6036">
        <v>2023</v>
      </c>
      <c r="C6036" t="s">
        <v>18</v>
      </c>
      <c r="D6036" s="35">
        <v>145794.74</v>
      </c>
      <c r="E6036" s="35">
        <v>1251</v>
      </c>
      <c r="F6036" s="35">
        <v>134711.12</v>
      </c>
    </row>
    <row r="6037" spans="1:6" x14ac:dyDescent="0.3">
      <c r="A6037" t="s">
        <v>81</v>
      </c>
      <c r="B6037">
        <v>2024</v>
      </c>
      <c r="C6037" t="s">
        <v>10</v>
      </c>
      <c r="D6037" s="35">
        <v>1365272.34</v>
      </c>
      <c r="E6037" s="35">
        <v>34871</v>
      </c>
      <c r="F6037" s="35">
        <v>970562.26</v>
      </c>
    </row>
    <row r="6038" spans="1:6" x14ac:dyDescent="0.3">
      <c r="A6038" t="s">
        <v>81</v>
      </c>
      <c r="B6038">
        <v>2024</v>
      </c>
      <c r="C6038" t="s">
        <v>4</v>
      </c>
      <c r="D6038" s="35">
        <v>4083091.0900000008</v>
      </c>
      <c r="E6038" s="35">
        <v>11831</v>
      </c>
      <c r="F6038" s="35">
        <v>4018828.75</v>
      </c>
    </row>
    <row r="6039" spans="1:6" x14ac:dyDescent="0.3">
      <c r="A6039" t="s">
        <v>81</v>
      </c>
      <c r="B6039">
        <v>2024</v>
      </c>
      <c r="C6039" t="s">
        <v>13</v>
      </c>
      <c r="D6039" s="35">
        <v>2476226.419999999</v>
      </c>
      <c r="E6039" s="35">
        <v>16705</v>
      </c>
      <c r="F6039" s="35">
        <v>2076942.63</v>
      </c>
    </row>
    <row r="6040" spans="1:6" x14ac:dyDescent="0.3">
      <c r="A6040" t="s">
        <v>81</v>
      </c>
      <c r="B6040">
        <v>2024</v>
      </c>
      <c r="C6040" t="s">
        <v>16</v>
      </c>
      <c r="D6040" s="35">
        <v>600471.07000000007</v>
      </c>
      <c r="E6040" s="35">
        <v>926</v>
      </c>
      <c r="F6040" s="35">
        <v>566443.74000000011</v>
      </c>
    </row>
    <row r="6041" spans="1:6" x14ac:dyDescent="0.3">
      <c r="A6041" t="s">
        <v>81</v>
      </c>
      <c r="B6041">
        <v>2024</v>
      </c>
      <c r="C6041" t="s">
        <v>14</v>
      </c>
      <c r="D6041" s="35">
        <v>1175707.78</v>
      </c>
      <c r="E6041" s="35">
        <v>29520</v>
      </c>
      <c r="F6041" s="35">
        <v>762775.69</v>
      </c>
    </row>
    <row r="6042" spans="1:6" x14ac:dyDescent="0.3">
      <c r="A6042" t="s">
        <v>81</v>
      </c>
      <c r="B6042">
        <v>2024</v>
      </c>
      <c r="C6042" t="s">
        <v>7</v>
      </c>
      <c r="D6042" s="35">
        <v>233567.16</v>
      </c>
      <c r="E6042" s="35">
        <v>67</v>
      </c>
      <c r="F6042" s="35">
        <v>233567.16</v>
      </c>
    </row>
    <row r="6043" spans="1:6" x14ac:dyDescent="0.3">
      <c r="A6043" t="s">
        <v>81</v>
      </c>
      <c r="B6043">
        <v>2024</v>
      </c>
      <c r="C6043" t="s">
        <v>11</v>
      </c>
      <c r="D6043" s="35">
        <v>643789.00999999989</v>
      </c>
      <c r="E6043" s="35">
        <v>1678</v>
      </c>
      <c r="F6043" s="35">
        <v>607127.83000000007</v>
      </c>
    </row>
    <row r="6044" spans="1:6" x14ac:dyDescent="0.3">
      <c r="A6044" t="s">
        <v>81</v>
      </c>
      <c r="B6044">
        <v>2024</v>
      </c>
      <c r="C6044" t="s">
        <v>3</v>
      </c>
      <c r="D6044" s="35">
        <v>5466736.6299999999</v>
      </c>
      <c r="E6044" s="35">
        <v>13602</v>
      </c>
      <c r="F6044" s="35">
        <v>5323861.8399999989</v>
      </c>
    </row>
    <row r="6045" spans="1:6" x14ac:dyDescent="0.3">
      <c r="A6045" t="s">
        <v>81</v>
      </c>
      <c r="B6045">
        <v>2024</v>
      </c>
      <c r="C6045" t="s">
        <v>12</v>
      </c>
      <c r="D6045" s="35">
        <v>1369740.9</v>
      </c>
      <c r="E6045" s="35">
        <v>49531</v>
      </c>
      <c r="F6045" s="35">
        <v>616874.32000000007</v>
      </c>
    </row>
    <row r="6046" spans="1:6" x14ac:dyDescent="0.3">
      <c r="A6046" t="s">
        <v>81</v>
      </c>
      <c r="B6046">
        <v>2024</v>
      </c>
      <c r="C6046" t="s">
        <v>2</v>
      </c>
      <c r="D6046" s="35">
        <v>15664370.68</v>
      </c>
      <c r="E6046" s="35">
        <v>141129</v>
      </c>
      <c r="F6046" s="35">
        <v>13267361.82</v>
      </c>
    </row>
    <row r="6047" spans="1:6" x14ac:dyDescent="0.3">
      <c r="A6047" t="s">
        <v>81</v>
      </c>
      <c r="B6047">
        <v>2024</v>
      </c>
      <c r="C6047" t="s">
        <v>5</v>
      </c>
      <c r="D6047" s="35">
        <v>936447.35</v>
      </c>
      <c r="E6047" s="35">
        <v>514</v>
      </c>
      <c r="F6047" s="35">
        <v>922939.53</v>
      </c>
    </row>
    <row r="6048" spans="1:6" x14ac:dyDescent="0.3">
      <c r="A6048" t="s">
        <v>81</v>
      </c>
      <c r="B6048">
        <v>2024</v>
      </c>
      <c r="C6048" t="s">
        <v>17</v>
      </c>
      <c r="D6048" s="35">
        <v>92025.48</v>
      </c>
      <c r="E6048" s="35">
        <v>4303</v>
      </c>
      <c r="F6048" s="35">
        <v>45577.31</v>
      </c>
    </row>
    <row r="6049" spans="1:6" x14ac:dyDescent="0.3">
      <c r="A6049" t="s">
        <v>81</v>
      </c>
      <c r="B6049">
        <v>2024</v>
      </c>
      <c r="C6049" t="s">
        <v>9</v>
      </c>
      <c r="D6049" s="35">
        <v>1311465.54</v>
      </c>
      <c r="E6049" s="35">
        <v>29288</v>
      </c>
      <c r="F6049" s="35">
        <v>849410.9</v>
      </c>
    </row>
    <row r="6050" spans="1:6" x14ac:dyDescent="0.3">
      <c r="A6050" t="s">
        <v>81</v>
      </c>
      <c r="B6050">
        <v>2024</v>
      </c>
      <c r="C6050" t="s">
        <v>8</v>
      </c>
      <c r="D6050" s="35">
        <v>3725802.95</v>
      </c>
      <c r="E6050" s="35">
        <v>345</v>
      </c>
      <c r="F6050" s="35">
        <v>3725802.95</v>
      </c>
    </row>
    <row r="6051" spans="1:6" x14ac:dyDescent="0.3">
      <c r="A6051" t="s">
        <v>81</v>
      </c>
      <c r="B6051">
        <v>2024</v>
      </c>
      <c r="C6051" t="s">
        <v>6</v>
      </c>
      <c r="D6051" s="35">
        <v>3528360.600000001</v>
      </c>
      <c r="E6051" s="35">
        <v>53868</v>
      </c>
      <c r="F6051" s="35">
        <v>2523007.83</v>
      </c>
    </row>
    <row r="6052" spans="1:6" x14ac:dyDescent="0.3">
      <c r="A6052" t="s">
        <v>81</v>
      </c>
      <c r="B6052">
        <v>2024</v>
      </c>
      <c r="C6052" t="s">
        <v>15</v>
      </c>
      <c r="D6052" s="35">
        <v>162058.63</v>
      </c>
      <c r="E6052" s="35">
        <v>6258</v>
      </c>
      <c r="F6052" s="35">
        <v>68992.470000000016</v>
      </c>
    </row>
    <row r="6053" spans="1:6" x14ac:dyDescent="0.3">
      <c r="A6053" t="s">
        <v>81</v>
      </c>
      <c r="B6053">
        <v>2024</v>
      </c>
      <c r="C6053" t="s">
        <v>18</v>
      </c>
      <c r="D6053" s="35">
        <v>113790.45</v>
      </c>
      <c r="E6053" s="35">
        <v>882</v>
      </c>
      <c r="F6053" s="35">
        <v>104245.2</v>
      </c>
    </row>
    <row r="6054" spans="1:6" x14ac:dyDescent="0.3">
      <c r="A6054" t="s">
        <v>81</v>
      </c>
      <c r="B6054">
        <v>2025</v>
      </c>
      <c r="C6054" t="s">
        <v>10</v>
      </c>
      <c r="D6054" s="35">
        <v>1461942.8</v>
      </c>
      <c r="E6054" s="35">
        <v>36180</v>
      </c>
      <c r="F6054" s="35">
        <v>946995.11</v>
      </c>
    </row>
    <row r="6055" spans="1:6" x14ac:dyDescent="0.3">
      <c r="A6055" t="s">
        <v>81</v>
      </c>
      <c r="B6055">
        <v>2025</v>
      </c>
      <c r="C6055" t="s">
        <v>4</v>
      </c>
      <c r="D6055" s="35">
        <v>3805588.850000001</v>
      </c>
      <c r="E6055" s="35">
        <v>10972</v>
      </c>
      <c r="F6055" s="35">
        <v>3684604.45</v>
      </c>
    </row>
    <row r="6056" spans="1:6" x14ac:dyDescent="0.3">
      <c r="A6056" t="s">
        <v>81</v>
      </c>
      <c r="B6056">
        <v>2025</v>
      </c>
      <c r="C6056" t="s">
        <v>13</v>
      </c>
      <c r="D6056" s="35">
        <v>2584566.41</v>
      </c>
      <c r="E6056" s="35">
        <v>14937</v>
      </c>
      <c r="F6056" s="35">
        <v>2244703.09</v>
      </c>
    </row>
    <row r="6057" spans="1:6" x14ac:dyDescent="0.3">
      <c r="A6057" t="s">
        <v>81</v>
      </c>
      <c r="B6057">
        <v>2025</v>
      </c>
      <c r="C6057" t="s">
        <v>16</v>
      </c>
      <c r="D6057" s="35">
        <v>826055.07</v>
      </c>
      <c r="E6057" s="35">
        <v>885</v>
      </c>
      <c r="F6057" s="35">
        <v>804386.42</v>
      </c>
    </row>
    <row r="6058" spans="1:6" x14ac:dyDescent="0.3">
      <c r="A6058" t="s">
        <v>81</v>
      </c>
      <c r="B6058">
        <v>2025</v>
      </c>
      <c r="C6058" t="s">
        <v>14</v>
      </c>
      <c r="D6058" s="35">
        <v>1113949.2</v>
      </c>
      <c r="E6058" s="35">
        <v>27521</v>
      </c>
      <c r="F6058" s="35">
        <v>703894.52</v>
      </c>
    </row>
    <row r="6059" spans="1:6" x14ac:dyDescent="0.3">
      <c r="A6059" t="s">
        <v>81</v>
      </c>
      <c r="B6059">
        <v>2025</v>
      </c>
      <c r="C6059" t="s">
        <v>7</v>
      </c>
      <c r="D6059" s="35">
        <v>233515.28</v>
      </c>
      <c r="E6059" s="35">
        <v>63</v>
      </c>
      <c r="F6059" s="35">
        <v>233515.28</v>
      </c>
    </row>
    <row r="6060" spans="1:6" x14ac:dyDescent="0.3">
      <c r="A6060" t="s">
        <v>81</v>
      </c>
      <c r="B6060">
        <v>2025</v>
      </c>
      <c r="C6060" t="s">
        <v>11</v>
      </c>
      <c r="D6060" s="35">
        <v>1090273.5900000001</v>
      </c>
      <c r="E6060" s="35">
        <v>1730</v>
      </c>
      <c r="F6060" s="35">
        <v>1067432.5</v>
      </c>
    </row>
    <row r="6061" spans="1:6" x14ac:dyDescent="0.3">
      <c r="A6061" t="s">
        <v>81</v>
      </c>
      <c r="B6061">
        <v>2025</v>
      </c>
      <c r="C6061" t="s">
        <v>3</v>
      </c>
      <c r="D6061" s="35">
        <v>5860468.0800000001</v>
      </c>
      <c r="E6061" s="35">
        <v>14514</v>
      </c>
      <c r="F6061" s="35">
        <v>5709969.3600000003</v>
      </c>
    </row>
    <row r="6062" spans="1:6" x14ac:dyDescent="0.3">
      <c r="A6062" t="s">
        <v>81</v>
      </c>
      <c r="B6062">
        <v>2025</v>
      </c>
      <c r="C6062" t="s">
        <v>12</v>
      </c>
      <c r="D6062" s="35">
        <v>1112693.47</v>
      </c>
      <c r="E6062" s="35">
        <v>46103</v>
      </c>
      <c r="F6062" s="35">
        <v>378187.26</v>
      </c>
    </row>
    <row r="6063" spans="1:6" x14ac:dyDescent="0.3">
      <c r="A6063" t="s">
        <v>81</v>
      </c>
      <c r="B6063">
        <v>2025</v>
      </c>
      <c r="C6063" t="s">
        <v>2</v>
      </c>
      <c r="D6063" s="35">
        <v>16252085.42</v>
      </c>
      <c r="E6063" s="35">
        <v>132645</v>
      </c>
      <c r="F6063" s="35">
        <v>14400772.57</v>
      </c>
    </row>
    <row r="6064" spans="1:6" x14ac:dyDescent="0.3">
      <c r="A6064" t="s">
        <v>81</v>
      </c>
      <c r="B6064">
        <v>2025</v>
      </c>
      <c r="C6064" t="s">
        <v>5</v>
      </c>
      <c r="D6064" s="35">
        <v>1236642.6200000001</v>
      </c>
      <c r="E6064" s="35">
        <v>878</v>
      </c>
      <c r="F6064" s="35">
        <v>1221355.320000001</v>
      </c>
    </row>
    <row r="6065" spans="1:6" x14ac:dyDescent="0.3">
      <c r="A6065" t="s">
        <v>81</v>
      </c>
      <c r="B6065">
        <v>2025</v>
      </c>
      <c r="C6065" t="s">
        <v>17</v>
      </c>
      <c r="D6065" s="35">
        <v>93484.05</v>
      </c>
      <c r="E6065" s="35">
        <v>4406</v>
      </c>
      <c r="F6065" s="35">
        <v>31614.959999999999</v>
      </c>
    </row>
    <row r="6066" spans="1:6" x14ac:dyDescent="0.3">
      <c r="A6066" t="s">
        <v>81</v>
      </c>
      <c r="B6066">
        <v>2025</v>
      </c>
      <c r="C6066" t="s">
        <v>9</v>
      </c>
      <c r="D6066" s="35">
        <v>1242990.48</v>
      </c>
      <c r="E6066" s="35">
        <v>26969</v>
      </c>
      <c r="F6066" s="35">
        <v>718508.50000000023</v>
      </c>
    </row>
    <row r="6067" spans="1:6" x14ac:dyDescent="0.3">
      <c r="A6067" t="s">
        <v>81</v>
      </c>
      <c r="B6067">
        <v>2025</v>
      </c>
      <c r="C6067" t="s">
        <v>8</v>
      </c>
      <c r="D6067" s="35">
        <v>2741052.55</v>
      </c>
      <c r="E6067" s="35">
        <v>279</v>
      </c>
      <c r="F6067" s="35">
        <v>2741052.55</v>
      </c>
    </row>
    <row r="6068" spans="1:6" x14ac:dyDescent="0.3">
      <c r="A6068" t="s">
        <v>81</v>
      </c>
      <c r="B6068">
        <v>2025</v>
      </c>
      <c r="C6068" t="s">
        <v>6</v>
      </c>
      <c r="D6068" s="35">
        <v>3070649.47</v>
      </c>
      <c r="E6068" s="35">
        <v>49084</v>
      </c>
      <c r="F6068" s="35">
        <v>2183301.96</v>
      </c>
    </row>
    <row r="6069" spans="1:6" x14ac:dyDescent="0.3">
      <c r="A6069" t="s">
        <v>81</v>
      </c>
      <c r="B6069">
        <v>2025</v>
      </c>
      <c r="C6069" t="s">
        <v>15</v>
      </c>
      <c r="D6069" s="35">
        <v>149889.54</v>
      </c>
      <c r="E6069" s="35">
        <v>5286</v>
      </c>
      <c r="F6069" s="35">
        <v>58289.960000000006</v>
      </c>
    </row>
    <row r="6070" spans="1:6" x14ac:dyDescent="0.3">
      <c r="A6070" t="s">
        <v>81</v>
      </c>
      <c r="B6070">
        <v>2025</v>
      </c>
      <c r="C6070" t="s">
        <v>18</v>
      </c>
      <c r="D6070" s="35">
        <v>85961.84</v>
      </c>
      <c r="E6070" s="35">
        <v>930</v>
      </c>
      <c r="F6070" s="35">
        <v>69115.11</v>
      </c>
    </row>
  </sheetData>
  <autoFilter ref="A1:F6070"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4A3B8"/>
  </sheetPr>
  <dimension ref="A1:C358"/>
  <sheetViews>
    <sheetView showGridLines="0" workbookViewId="0">
      <pane ySplit="1" topLeftCell="A2" activePane="bottomLeft" state="frozen"/>
      <selection pane="bottomLeft"/>
    </sheetView>
  </sheetViews>
  <sheetFormatPr defaultRowHeight="14.4" x14ac:dyDescent="0.3"/>
  <cols>
    <col min="1" max="2" width="8.6640625" customWidth="1"/>
    <col min="3" max="3" width="18.6640625" style="35" customWidth="1"/>
  </cols>
  <sheetData>
    <row r="1" spans="1:3" x14ac:dyDescent="0.3">
      <c r="A1" s="9" t="s">
        <v>25</v>
      </c>
      <c r="B1" s="9" t="s">
        <v>26</v>
      </c>
      <c r="C1" s="9" t="s">
        <v>82</v>
      </c>
    </row>
    <row r="2" spans="1:3" x14ac:dyDescent="0.3">
      <c r="A2" t="s">
        <v>31</v>
      </c>
      <c r="B2">
        <v>2019</v>
      </c>
      <c r="C2" s="35">
        <v>220536</v>
      </c>
    </row>
    <row r="3" spans="1:3" x14ac:dyDescent="0.3">
      <c r="A3" t="s">
        <v>31</v>
      </c>
      <c r="B3">
        <v>2020</v>
      </c>
      <c r="C3" s="35">
        <v>231987</v>
      </c>
    </row>
    <row r="4" spans="1:3" x14ac:dyDescent="0.3">
      <c r="A4" t="s">
        <v>31</v>
      </c>
      <c r="B4">
        <v>2021</v>
      </c>
      <c r="C4" s="35">
        <v>249696</v>
      </c>
    </row>
    <row r="5" spans="1:3" x14ac:dyDescent="0.3">
      <c r="A5" t="s">
        <v>31</v>
      </c>
      <c r="B5">
        <v>2022</v>
      </c>
      <c r="C5" s="35">
        <v>261132</v>
      </c>
    </row>
    <row r="6" spans="1:3" x14ac:dyDescent="0.3">
      <c r="A6" t="s">
        <v>31</v>
      </c>
      <c r="B6">
        <v>2023</v>
      </c>
      <c r="C6" s="35">
        <v>258267</v>
      </c>
    </row>
    <row r="7" spans="1:3" x14ac:dyDescent="0.3">
      <c r="A7" t="s">
        <v>31</v>
      </c>
      <c r="B7">
        <v>2024</v>
      </c>
      <c r="C7" s="35">
        <v>250344</v>
      </c>
    </row>
    <row r="8" spans="1:3" x14ac:dyDescent="0.3">
      <c r="A8" t="s">
        <v>31</v>
      </c>
      <c r="B8">
        <v>2025</v>
      </c>
      <c r="C8" s="35">
        <v>226314</v>
      </c>
    </row>
    <row r="9" spans="1:3" x14ac:dyDescent="0.3">
      <c r="A9" t="s">
        <v>32</v>
      </c>
      <c r="B9">
        <v>2019</v>
      </c>
      <c r="C9" s="35">
        <v>913182</v>
      </c>
    </row>
    <row r="10" spans="1:3" x14ac:dyDescent="0.3">
      <c r="A10" t="s">
        <v>32</v>
      </c>
      <c r="B10">
        <v>2020</v>
      </c>
      <c r="C10" s="35">
        <v>954312</v>
      </c>
    </row>
    <row r="11" spans="1:3" x14ac:dyDescent="0.3">
      <c r="A11" t="s">
        <v>32</v>
      </c>
      <c r="B11">
        <v>2021</v>
      </c>
      <c r="C11" s="35">
        <v>1046266</v>
      </c>
    </row>
    <row r="12" spans="1:3" x14ac:dyDescent="0.3">
      <c r="A12" t="s">
        <v>32</v>
      </c>
      <c r="B12">
        <v>2022</v>
      </c>
      <c r="C12" s="35">
        <v>1128279</v>
      </c>
    </row>
    <row r="13" spans="1:3" x14ac:dyDescent="0.3">
      <c r="A13" t="s">
        <v>32</v>
      </c>
      <c r="B13">
        <v>2023</v>
      </c>
      <c r="C13" s="35">
        <v>1163731</v>
      </c>
    </row>
    <row r="14" spans="1:3" x14ac:dyDescent="0.3">
      <c r="A14" t="s">
        <v>32</v>
      </c>
      <c r="B14">
        <v>2024</v>
      </c>
      <c r="C14" s="35">
        <v>994361</v>
      </c>
    </row>
    <row r="15" spans="1:3" x14ac:dyDescent="0.3">
      <c r="A15" t="s">
        <v>32</v>
      </c>
      <c r="B15">
        <v>2025</v>
      </c>
      <c r="C15" s="35">
        <v>950188</v>
      </c>
    </row>
    <row r="16" spans="1:3" x14ac:dyDescent="0.3">
      <c r="A16" t="s">
        <v>33</v>
      </c>
      <c r="B16">
        <v>2019</v>
      </c>
      <c r="C16" s="35">
        <v>857063</v>
      </c>
    </row>
    <row r="17" spans="1:3" x14ac:dyDescent="0.3">
      <c r="A17" t="s">
        <v>33</v>
      </c>
      <c r="B17">
        <v>2020</v>
      </c>
      <c r="C17" s="35">
        <v>900101</v>
      </c>
    </row>
    <row r="18" spans="1:3" x14ac:dyDescent="0.3">
      <c r="A18" t="s">
        <v>33</v>
      </c>
      <c r="B18">
        <v>2021</v>
      </c>
      <c r="C18" s="35">
        <v>983071</v>
      </c>
    </row>
    <row r="19" spans="1:3" x14ac:dyDescent="0.3">
      <c r="A19" t="s">
        <v>33</v>
      </c>
      <c r="B19">
        <v>2022</v>
      </c>
      <c r="C19" s="35">
        <v>1049367</v>
      </c>
    </row>
    <row r="20" spans="1:3" x14ac:dyDescent="0.3">
      <c r="A20" t="s">
        <v>33</v>
      </c>
      <c r="B20">
        <v>2023</v>
      </c>
      <c r="C20" s="35">
        <v>965857</v>
      </c>
    </row>
    <row r="21" spans="1:3" x14ac:dyDescent="0.3">
      <c r="A21" t="s">
        <v>33</v>
      </c>
      <c r="B21">
        <v>2024</v>
      </c>
      <c r="C21" s="35">
        <v>830621</v>
      </c>
    </row>
    <row r="22" spans="1:3" x14ac:dyDescent="0.3">
      <c r="A22" t="s">
        <v>33</v>
      </c>
      <c r="B22">
        <v>2025</v>
      </c>
      <c r="C22" s="35">
        <v>818490</v>
      </c>
    </row>
    <row r="23" spans="1:3" x14ac:dyDescent="0.3">
      <c r="A23" t="s">
        <v>34</v>
      </c>
      <c r="B23">
        <v>2019</v>
      </c>
      <c r="C23" s="35">
        <v>1710038</v>
      </c>
    </row>
    <row r="24" spans="1:3" x14ac:dyDescent="0.3">
      <c r="A24" t="s">
        <v>34</v>
      </c>
      <c r="B24">
        <v>2020</v>
      </c>
      <c r="C24" s="35">
        <v>1839784</v>
      </c>
    </row>
    <row r="25" spans="1:3" x14ac:dyDescent="0.3">
      <c r="A25" t="s">
        <v>34</v>
      </c>
      <c r="B25">
        <v>2021</v>
      </c>
      <c r="C25" s="35">
        <v>2063828</v>
      </c>
    </row>
    <row r="26" spans="1:3" x14ac:dyDescent="0.3">
      <c r="A26" t="s">
        <v>34</v>
      </c>
      <c r="B26">
        <v>2022</v>
      </c>
      <c r="C26" s="35">
        <v>2224415</v>
      </c>
    </row>
    <row r="27" spans="1:3" x14ac:dyDescent="0.3">
      <c r="A27" t="s">
        <v>34</v>
      </c>
      <c r="B27">
        <v>2023</v>
      </c>
      <c r="C27" s="35">
        <v>2176739</v>
      </c>
    </row>
    <row r="28" spans="1:3" x14ac:dyDescent="0.3">
      <c r="A28" t="s">
        <v>34</v>
      </c>
      <c r="B28">
        <v>2024</v>
      </c>
      <c r="C28" s="35">
        <v>1997520</v>
      </c>
    </row>
    <row r="29" spans="1:3" x14ac:dyDescent="0.3">
      <c r="A29" t="s">
        <v>34</v>
      </c>
      <c r="B29">
        <v>2025</v>
      </c>
      <c r="C29" s="35">
        <v>1784205</v>
      </c>
    </row>
    <row r="30" spans="1:3" x14ac:dyDescent="0.3">
      <c r="A30" t="s">
        <v>35</v>
      </c>
      <c r="B30">
        <v>2019</v>
      </c>
      <c r="C30" s="35">
        <v>11764380</v>
      </c>
    </row>
    <row r="31" spans="1:3" x14ac:dyDescent="0.3">
      <c r="A31" t="s">
        <v>35</v>
      </c>
      <c r="B31">
        <v>2020</v>
      </c>
      <c r="C31" s="35">
        <v>11957231</v>
      </c>
    </row>
    <row r="32" spans="1:3" x14ac:dyDescent="0.3">
      <c r="A32" t="s">
        <v>35</v>
      </c>
      <c r="B32">
        <v>2021</v>
      </c>
      <c r="C32" s="35">
        <v>12947026</v>
      </c>
    </row>
    <row r="33" spans="1:3" x14ac:dyDescent="0.3">
      <c r="A33" t="s">
        <v>35</v>
      </c>
      <c r="B33">
        <v>2022</v>
      </c>
      <c r="C33" s="35">
        <v>13715734</v>
      </c>
    </row>
    <row r="34" spans="1:3" x14ac:dyDescent="0.3">
      <c r="A34" t="s">
        <v>35</v>
      </c>
      <c r="B34">
        <v>2023</v>
      </c>
      <c r="C34" s="35">
        <v>14231317</v>
      </c>
    </row>
    <row r="35" spans="1:3" x14ac:dyDescent="0.3">
      <c r="A35" t="s">
        <v>35</v>
      </c>
      <c r="B35">
        <v>2024</v>
      </c>
      <c r="C35" s="35">
        <v>13633246</v>
      </c>
    </row>
    <row r="36" spans="1:3" x14ac:dyDescent="0.3">
      <c r="A36" t="s">
        <v>35</v>
      </c>
      <c r="B36">
        <v>2025</v>
      </c>
      <c r="C36" s="35">
        <v>13275327</v>
      </c>
    </row>
    <row r="37" spans="1:3" x14ac:dyDescent="0.3">
      <c r="A37" t="s">
        <v>36</v>
      </c>
      <c r="B37">
        <v>2019</v>
      </c>
      <c r="C37" s="35">
        <v>1257215</v>
      </c>
    </row>
    <row r="38" spans="1:3" x14ac:dyDescent="0.3">
      <c r="A38" t="s">
        <v>36</v>
      </c>
      <c r="B38">
        <v>2020</v>
      </c>
      <c r="C38" s="35">
        <v>1317530</v>
      </c>
    </row>
    <row r="39" spans="1:3" x14ac:dyDescent="0.3">
      <c r="A39" t="s">
        <v>36</v>
      </c>
      <c r="B39">
        <v>2021</v>
      </c>
      <c r="C39" s="35">
        <v>1497979</v>
      </c>
    </row>
    <row r="40" spans="1:3" x14ac:dyDescent="0.3">
      <c r="A40" t="s">
        <v>36</v>
      </c>
      <c r="B40">
        <v>2022</v>
      </c>
      <c r="C40" s="35">
        <v>1621886</v>
      </c>
    </row>
    <row r="41" spans="1:3" x14ac:dyDescent="0.3">
      <c r="A41" t="s">
        <v>36</v>
      </c>
      <c r="B41">
        <v>2023</v>
      </c>
      <c r="C41" s="35">
        <v>1631907</v>
      </c>
    </row>
    <row r="42" spans="1:3" x14ac:dyDescent="0.3">
      <c r="A42" t="s">
        <v>36</v>
      </c>
      <c r="B42">
        <v>2024</v>
      </c>
      <c r="C42" s="35">
        <v>1230020</v>
      </c>
    </row>
    <row r="43" spans="1:3" x14ac:dyDescent="0.3">
      <c r="A43" t="s">
        <v>36</v>
      </c>
      <c r="B43">
        <v>2025</v>
      </c>
      <c r="C43" s="35">
        <v>1206238</v>
      </c>
    </row>
    <row r="44" spans="1:3" x14ac:dyDescent="0.3">
      <c r="A44" t="s">
        <v>37</v>
      </c>
      <c r="B44">
        <v>2019</v>
      </c>
      <c r="C44" s="35">
        <v>857778</v>
      </c>
    </row>
    <row r="45" spans="1:3" x14ac:dyDescent="0.3">
      <c r="A45" t="s">
        <v>37</v>
      </c>
      <c r="B45">
        <v>2020</v>
      </c>
      <c r="C45" s="35">
        <v>881290</v>
      </c>
    </row>
    <row r="46" spans="1:3" x14ac:dyDescent="0.3">
      <c r="A46" t="s">
        <v>37</v>
      </c>
      <c r="B46">
        <v>2021</v>
      </c>
      <c r="C46" s="35">
        <v>955636</v>
      </c>
    </row>
    <row r="47" spans="1:3" x14ac:dyDescent="0.3">
      <c r="A47" t="s">
        <v>37</v>
      </c>
      <c r="B47">
        <v>2022</v>
      </c>
      <c r="C47" s="35">
        <v>983379</v>
      </c>
    </row>
    <row r="48" spans="1:3" x14ac:dyDescent="0.3">
      <c r="A48" t="s">
        <v>37</v>
      </c>
      <c r="B48">
        <v>2023</v>
      </c>
      <c r="C48" s="35">
        <v>995265</v>
      </c>
    </row>
    <row r="49" spans="1:3" x14ac:dyDescent="0.3">
      <c r="A49" t="s">
        <v>37</v>
      </c>
      <c r="B49">
        <v>2024</v>
      </c>
      <c r="C49" s="35">
        <v>946448</v>
      </c>
    </row>
    <row r="50" spans="1:3" x14ac:dyDescent="0.3">
      <c r="A50" t="s">
        <v>37</v>
      </c>
      <c r="B50">
        <v>2025</v>
      </c>
      <c r="C50" s="35">
        <v>917844</v>
      </c>
    </row>
    <row r="51" spans="1:3" x14ac:dyDescent="0.3">
      <c r="A51" t="s">
        <v>38</v>
      </c>
      <c r="B51">
        <v>2019</v>
      </c>
      <c r="C51" s="35">
        <v>254316</v>
      </c>
    </row>
    <row r="52" spans="1:3" x14ac:dyDescent="0.3">
      <c r="A52" t="s">
        <v>38</v>
      </c>
      <c r="B52">
        <v>2020</v>
      </c>
      <c r="C52" s="35">
        <v>252392</v>
      </c>
    </row>
    <row r="53" spans="1:3" x14ac:dyDescent="0.3">
      <c r="A53" t="s">
        <v>38</v>
      </c>
      <c r="B53">
        <v>2021</v>
      </c>
      <c r="C53" s="35">
        <v>270104</v>
      </c>
    </row>
    <row r="54" spans="1:3" x14ac:dyDescent="0.3">
      <c r="A54" t="s">
        <v>38</v>
      </c>
      <c r="B54">
        <v>2022</v>
      </c>
      <c r="C54" s="35">
        <v>285803</v>
      </c>
    </row>
    <row r="55" spans="1:3" x14ac:dyDescent="0.3">
      <c r="A55" t="s">
        <v>38</v>
      </c>
      <c r="B55">
        <v>2023</v>
      </c>
      <c r="C55" s="35">
        <v>290837</v>
      </c>
    </row>
    <row r="56" spans="1:3" x14ac:dyDescent="0.3">
      <c r="A56" t="s">
        <v>38</v>
      </c>
      <c r="B56">
        <v>2024</v>
      </c>
      <c r="C56" s="35">
        <v>263738</v>
      </c>
    </row>
    <row r="57" spans="1:3" x14ac:dyDescent="0.3">
      <c r="A57" t="s">
        <v>38</v>
      </c>
      <c r="B57">
        <v>2025</v>
      </c>
      <c r="C57" s="35">
        <v>259736</v>
      </c>
    </row>
    <row r="58" spans="1:3" x14ac:dyDescent="0.3">
      <c r="A58" t="s">
        <v>39</v>
      </c>
      <c r="B58">
        <v>2019</v>
      </c>
      <c r="C58" s="35">
        <v>231654</v>
      </c>
    </row>
    <row r="59" spans="1:3" x14ac:dyDescent="0.3">
      <c r="A59" t="s">
        <v>39</v>
      </c>
      <c r="B59">
        <v>2020</v>
      </c>
      <c r="C59" s="35">
        <v>242623</v>
      </c>
    </row>
    <row r="60" spans="1:3" x14ac:dyDescent="0.3">
      <c r="A60" t="s">
        <v>39</v>
      </c>
      <c r="B60">
        <v>2021</v>
      </c>
      <c r="C60" s="35">
        <v>270085</v>
      </c>
    </row>
    <row r="61" spans="1:3" x14ac:dyDescent="0.3">
      <c r="A61" t="s">
        <v>39</v>
      </c>
      <c r="B61">
        <v>2022</v>
      </c>
      <c r="C61" s="35">
        <v>290238</v>
      </c>
    </row>
    <row r="62" spans="1:3" x14ac:dyDescent="0.3">
      <c r="A62" t="s">
        <v>39</v>
      </c>
      <c r="B62">
        <v>2023</v>
      </c>
      <c r="C62" s="35">
        <v>302669</v>
      </c>
    </row>
    <row r="63" spans="1:3" x14ac:dyDescent="0.3">
      <c r="A63" t="s">
        <v>39</v>
      </c>
      <c r="B63">
        <v>2024</v>
      </c>
      <c r="C63" s="35">
        <v>260362</v>
      </c>
    </row>
    <row r="64" spans="1:3" x14ac:dyDescent="0.3">
      <c r="A64" t="s">
        <v>39</v>
      </c>
      <c r="B64">
        <v>2025</v>
      </c>
      <c r="C64" s="35">
        <v>244713</v>
      </c>
    </row>
    <row r="65" spans="1:3" x14ac:dyDescent="0.3">
      <c r="A65" t="s">
        <v>40</v>
      </c>
      <c r="B65">
        <v>2019</v>
      </c>
      <c r="C65" s="35">
        <v>3651035</v>
      </c>
    </row>
    <row r="66" spans="1:3" x14ac:dyDescent="0.3">
      <c r="A66" t="s">
        <v>40</v>
      </c>
      <c r="B66">
        <v>2020</v>
      </c>
      <c r="C66" s="35">
        <v>3862767</v>
      </c>
    </row>
    <row r="67" spans="1:3" x14ac:dyDescent="0.3">
      <c r="A67" t="s">
        <v>40</v>
      </c>
      <c r="B67">
        <v>2021</v>
      </c>
      <c r="C67" s="35">
        <v>4333694</v>
      </c>
    </row>
    <row r="68" spans="1:3" x14ac:dyDescent="0.3">
      <c r="A68" t="s">
        <v>40</v>
      </c>
      <c r="B68">
        <v>2022</v>
      </c>
      <c r="C68" s="35">
        <v>4714529</v>
      </c>
    </row>
    <row r="69" spans="1:3" x14ac:dyDescent="0.3">
      <c r="A69" t="s">
        <v>40</v>
      </c>
      <c r="B69">
        <v>2023</v>
      </c>
      <c r="C69" s="35">
        <v>4659483</v>
      </c>
    </row>
    <row r="70" spans="1:3" x14ac:dyDescent="0.3">
      <c r="A70" t="s">
        <v>40</v>
      </c>
      <c r="B70">
        <v>2024</v>
      </c>
      <c r="C70" s="35">
        <v>3872865</v>
      </c>
    </row>
    <row r="71" spans="1:3" x14ac:dyDescent="0.3">
      <c r="A71" t="s">
        <v>40</v>
      </c>
      <c r="B71">
        <v>2025</v>
      </c>
      <c r="C71" s="35">
        <v>3679966</v>
      </c>
    </row>
    <row r="72" spans="1:3" x14ac:dyDescent="0.3">
      <c r="A72" t="s">
        <v>41</v>
      </c>
      <c r="B72">
        <v>2019</v>
      </c>
      <c r="C72" s="35">
        <v>1839434</v>
      </c>
    </row>
    <row r="73" spans="1:3" x14ac:dyDescent="0.3">
      <c r="A73" t="s">
        <v>41</v>
      </c>
      <c r="B73">
        <v>2020</v>
      </c>
      <c r="C73" s="35">
        <v>1957007</v>
      </c>
    </row>
    <row r="74" spans="1:3" x14ac:dyDescent="0.3">
      <c r="A74" t="s">
        <v>41</v>
      </c>
      <c r="B74">
        <v>2021</v>
      </c>
      <c r="C74" s="35">
        <v>2206783</v>
      </c>
    </row>
    <row r="75" spans="1:3" x14ac:dyDescent="0.3">
      <c r="A75" t="s">
        <v>41</v>
      </c>
      <c r="B75">
        <v>2022</v>
      </c>
      <c r="C75" s="35">
        <v>2400789</v>
      </c>
    </row>
    <row r="76" spans="1:3" x14ac:dyDescent="0.3">
      <c r="A76" t="s">
        <v>41</v>
      </c>
      <c r="B76">
        <v>2023</v>
      </c>
      <c r="C76" s="35">
        <v>2428987</v>
      </c>
    </row>
    <row r="77" spans="1:3" x14ac:dyDescent="0.3">
      <c r="A77" t="s">
        <v>41</v>
      </c>
      <c r="B77">
        <v>2024</v>
      </c>
      <c r="C77" s="35">
        <v>2024684</v>
      </c>
    </row>
    <row r="78" spans="1:3" x14ac:dyDescent="0.3">
      <c r="A78" t="s">
        <v>41</v>
      </c>
      <c r="B78">
        <v>2025</v>
      </c>
      <c r="C78" s="35">
        <v>1918828</v>
      </c>
    </row>
    <row r="79" spans="1:3" x14ac:dyDescent="0.3">
      <c r="A79" t="s">
        <v>42</v>
      </c>
      <c r="B79">
        <v>2019</v>
      </c>
      <c r="C79" s="35">
        <v>328811</v>
      </c>
    </row>
    <row r="80" spans="1:3" x14ac:dyDescent="0.3">
      <c r="A80" t="s">
        <v>42</v>
      </c>
      <c r="B80">
        <v>2020</v>
      </c>
      <c r="C80" s="35">
        <v>359003</v>
      </c>
    </row>
    <row r="81" spans="1:3" x14ac:dyDescent="0.3">
      <c r="A81" t="s">
        <v>42</v>
      </c>
      <c r="B81">
        <v>2021</v>
      </c>
      <c r="C81" s="35">
        <v>421455</v>
      </c>
    </row>
    <row r="82" spans="1:3" x14ac:dyDescent="0.3">
      <c r="A82" t="s">
        <v>42</v>
      </c>
      <c r="B82">
        <v>2022</v>
      </c>
      <c r="C82" s="35">
        <v>450363</v>
      </c>
    </row>
    <row r="83" spans="1:3" x14ac:dyDescent="0.3">
      <c r="A83" t="s">
        <v>42</v>
      </c>
      <c r="B83">
        <v>2023</v>
      </c>
      <c r="C83" s="35">
        <v>457258</v>
      </c>
    </row>
    <row r="84" spans="1:3" x14ac:dyDescent="0.3">
      <c r="A84" t="s">
        <v>42</v>
      </c>
      <c r="B84">
        <v>2024</v>
      </c>
      <c r="C84" s="35">
        <v>424584</v>
      </c>
    </row>
    <row r="85" spans="1:3" x14ac:dyDescent="0.3">
      <c r="A85" t="s">
        <v>42</v>
      </c>
      <c r="B85">
        <v>2025</v>
      </c>
      <c r="C85" s="35">
        <v>395096</v>
      </c>
    </row>
    <row r="86" spans="1:3" x14ac:dyDescent="0.3">
      <c r="A86" t="s">
        <v>43</v>
      </c>
      <c r="B86">
        <v>2019</v>
      </c>
      <c r="C86" s="35">
        <v>676549</v>
      </c>
    </row>
    <row r="87" spans="1:3" x14ac:dyDescent="0.3">
      <c r="A87" t="s">
        <v>43</v>
      </c>
      <c r="B87">
        <v>2020</v>
      </c>
      <c r="C87" s="35">
        <v>708623</v>
      </c>
    </row>
    <row r="88" spans="1:3" x14ac:dyDescent="0.3">
      <c r="A88" t="s">
        <v>43</v>
      </c>
      <c r="B88">
        <v>2021</v>
      </c>
      <c r="C88" s="35">
        <v>783200</v>
      </c>
    </row>
    <row r="89" spans="1:3" x14ac:dyDescent="0.3">
      <c r="A89" t="s">
        <v>43</v>
      </c>
      <c r="B89">
        <v>2022</v>
      </c>
      <c r="C89" s="35">
        <v>828154</v>
      </c>
    </row>
    <row r="90" spans="1:3" x14ac:dyDescent="0.3">
      <c r="A90" t="s">
        <v>43</v>
      </c>
      <c r="B90">
        <v>2023</v>
      </c>
      <c r="C90" s="35">
        <v>802634</v>
      </c>
    </row>
    <row r="91" spans="1:3" x14ac:dyDescent="0.3">
      <c r="A91" t="s">
        <v>43</v>
      </c>
      <c r="B91">
        <v>2024</v>
      </c>
      <c r="C91" s="35">
        <v>691163</v>
      </c>
    </row>
    <row r="92" spans="1:3" x14ac:dyDescent="0.3">
      <c r="A92" t="s">
        <v>43</v>
      </c>
      <c r="B92">
        <v>2025</v>
      </c>
      <c r="C92" s="35">
        <v>674278</v>
      </c>
    </row>
    <row r="93" spans="1:3" x14ac:dyDescent="0.3">
      <c r="A93" t="s">
        <v>44</v>
      </c>
      <c r="B93">
        <v>2019</v>
      </c>
      <c r="C93" s="35">
        <v>268143</v>
      </c>
    </row>
    <row r="94" spans="1:3" x14ac:dyDescent="0.3">
      <c r="A94" t="s">
        <v>44</v>
      </c>
      <c r="B94">
        <v>2020</v>
      </c>
      <c r="C94" s="35">
        <v>345491</v>
      </c>
    </row>
    <row r="95" spans="1:3" x14ac:dyDescent="0.3">
      <c r="A95" t="s">
        <v>44</v>
      </c>
      <c r="B95">
        <v>2021</v>
      </c>
      <c r="C95" s="35">
        <v>397292</v>
      </c>
    </row>
    <row r="96" spans="1:3" x14ac:dyDescent="0.3">
      <c r="A96" t="s">
        <v>44</v>
      </c>
      <c r="B96">
        <v>2022</v>
      </c>
      <c r="C96" s="35">
        <v>429383</v>
      </c>
    </row>
    <row r="97" spans="1:3" x14ac:dyDescent="0.3">
      <c r="A97" t="s">
        <v>44</v>
      </c>
      <c r="B97">
        <v>2023</v>
      </c>
      <c r="C97" s="35">
        <v>387597</v>
      </c>
    </row>
    <row r="98" spans="1:3" x14ac:dyDescent="0.3">
      <c r="A98" t="s">
        <v>44</v>
      </c>
      <c r="B98">
        <v>2024</v>
      </c>
      <c r="C98" s="35">
        <v>325737</v>
      </c>
    </row>
    <row r="99" spans="1:3" x14ac:dyDescent="0.3">
      <c r="A99" t="s">
        <v>44</v>
      </c>
      <c r="B99">
        <v>2025</v>
      </c>
      <c r="C99" s="35">
        <v>317272</v>
      </c>
    </row>
    <row r="100" spans="1:3" x14ac:dyDescent="0.3">
      <c r="A100" t="s">
        <v>45</v>
      </c>
      <c r="B100">
        <v>2019</v>
      </c>
      <c r="C100" s="35">
        <v>2959784</v>
      </c>
    </row>
    <row r="101" spans="1:3" x14ac:dyDescent="0.3">
      <c r="A101" t="s">
        <v>45</v>
      </c>
      <c r="B101">
        <v>2020</v>
      </c>
      <c r="C101" s="35">
        <v>3117217</v>
      </c>
    </row>
    <row r="102" spans="1:3" x14ac:dyDescent="0.3">
      <c r="A102" t="s">
        <v>45</v>
      </c>
      <c r="B102">
        <v>2021</v>
      </c>
      <c r="C102" s="35">
        <v>3438080</v>
      </c>
    </row>
    <row r="103" spans="1:3" x14ac:dyDescent="0.3">
      <c r="A103" t="s">
        <v>45</v>
      </c>
      <c r="B103">
        <v>2022</v>
      </c>
      <c r="C103" s="35">
        <v>3671292</v>
      </c>
    </row>
    <row r="104" spans="1:3" x14ac:dyDescent="0.3">
      <c r="A104" t="s">
        <v>45</v>
      </c>
      <c r="B104">
        <v>2023</v>
      </c>
      <c r="C104" s="35">
        <v>3806069</v>
      </c>
    </row>
    <row r="105" spans="1:3" x14ac:dyDescent="0.3">
      <c r="A105" t="s">
        <v>45</v>
      </c>
      <c r="B105">
        <v>2024</v>
      </c>
      <c r="C105" s="35">
        <v>3376851</v>
      </c>
    </row>
    <row r="106" spans="1:3" x14ac:dyDescent="0.3">
      <c r="A106" t="s">
        <v>45</v>
      </c>
      <c r="B106">
        <v>2025</v>
      </c>
      <c r="C106" s="35">
        <v>3121673</v>
      </c>
    </row>
    <row r="107" spans="1:3" x14ac:dyDescent="0.3">
      <c r="A107" t="s">
        <v>46</v>
      </c>
      <c r="B107">
        <v>2019</v>
      </c>
      <c r="C107" s="35">
        <v>1357624</v>
      </c>
    </row>
    <row r="108" spans="1:3" x14ac:dyDescent="0.3">
      <c r="A108" t="s">
        <v>46</v>
      </c>
      <c r="B108">
        <v>2020</v>
      </c>
      <c r="C108" s="35">
        <v>1521703</v>
      </c>
    </row>
    <row r="109" spans="1:3" x14ac:dyDescent="0.3">
      <c r="A109" t="s">
        <v>46</v>
      </c>
      <c r="B109">
        <v>2021</v>
      </c>
      <c r="C109" s="35">
        <v>1776399</v>
      </c>
    </row>
    <row r="110" spans="1:3" x14ac:dyDescent="0.3">
      <c r="A110" t="s">
        <v>46</v>
      </c>
      <c r="B110">
        <v>2022</v>
      </c>
      <c r="C110" s="35">
        <v>1947609</v>
      </c>
    </row>
    <row r="111" spans="1:3" x14ac:dyDescent="0.3">
      <c r="A111" t="s">
        <v>46</v>
      </c>
      <c r="B111">
        <v>2023</v>
      </c>
      <c r="C111" s="35">
        <v>1978496</v>
      </c>
    </row>
    <row r="112" spans="1:3" x14ac:dyDescent="0.3">
      <c r="A112" t="s">
        <v>46</v>
      </c>
      <c r="B112">
        <v>2024</v>
      </c>
      <c r="C112" s="35">
        <v>1807138</v>
      </c>
    </row>
    <row r="113" spans="1:3" x14ac:dyDescent="0.3">
      <c r="A113" t="s">
        <v>46</v>
      </c>
      <c r="B113">
        <v>2025</v>
      </c>
      <c r="C113" s="35">
        <v>1671878</v>
      </c>
    </row>
    <row r="114" spans="1:3" x14ac:dyDescent="0.3">
      <c r="A114" t="s">
        <v>47</v>
      </c>
      <c r="B114">
        <v>2019</v>
      </c>
      <c r="C114" s="35">
        <v>375786</v>
      </c>
    </row>
    <row r="115" spans="1:3" x14ac:dyDescent="0.3">
      <c r="A115" t="s">
        <v>47</v>
      </c>
      <c r="B115">
        <v>2020</v>
      </c>
      <c r="C115" s="35">
        <v>402834</v>
      </c>
    </row>
    <row r="116" spans="1:3" x14ac:dyDescent="0.3">
      <c r="A116" t="s">
        <v>47</v>
      </c>
      <c r="B116">
        <v>2021</v>
      </c>
      <c r="C116" s="35">
        <v>449444</v>
      </c>
    </row>
    <row r="117" spans="1:3" x14ac:dyDescent="0.3">
      <c r="A117" t="s">
        <v>47</v>
      </c>
      <c r="B117">
        <v>2022</v>
      </c>
      <c r="C117" s="35">
        <v>489408</v>
      </c>
    </row>
    <row r="118" spans="1:3" x14ac:dyDescent="0.3">
      <c r="A118" t="s">
        <v>47</v>
      </c>
      <c r="B118">
        <v>2023</v>
      </c>
      <c r="C118" s="35">
        <v>485409</v>
      </c>
    </row>
    <row r="119" spans="1:3" x14ac:dyDescent="0.3">
      <c r="A119" t="s">
        <v>47</v>
      </c>
      <c r="B119">
        <v>2024</v>
      </c>
      <c r="C119" s="35">
        <v>424750</v>
      </c>
    </row>
    <row r="120" spans="1:3" x14ac:dyDescent="0.3">
      <c r="A120" t="s">
        <v>47</v>
      </c>
      <c r="B120">
        <v>2025</v>
      </c>
      <c r="C120" s="35">
        <v>412665</v>
      </c>
    </row>
    <row r="121" spans="1:3" x14ac:dyDescent="0.3">
      <c r="A121" t="s">
        <v>48</v>
      </c>
      <c r="B121">
        <v>2019</v>
      </c>
      <c r="C121" s="35">
        <v>1305376</v>
      </c>
    </row>
    <row r="122" spans="1:3" x14ac:dyDescent="0.3">
      <c r="A122" t="s">
        <v>48</v>
      </c>
      <c r="B122">
        <v>2020</v>
      </c>
      <c r="C122" s="35">
        <v>1425256</v>
      </c>
    </row>
    <row r="123" spans="1:3" x14ac:dyDescent="0.3">
      <c r="A123" t="s">
        <v>48</v>
      </c>
      <c r="B123">
        <v>2021</v>
      </c>
      <c r="C123" s="35">
        <v>1543422</v>
      </c>
    </row>
    <row r="124" spans="1:3" x14ac:dyDescent="0.3">
      <c r="A124" t="s">
        <v>48</v>
      </c>
      <c r="B124">
        <v>2022</v>
      </c>
      <c r="C124" s="35">
        <v>1573823</v>
      </c>
    </row>
    <row r="125" spans="1:3" x14ac:dyDescent="0.3">
      <c r="A125" t="s">
        <v>48</v>
      </c>
      <c r="B125">
        <v>2023</v>
      </c>
      <c r="C125" s="35">
        <v>1590942</v>
      </c>
    </row>
    <row r="126" spans="1:3" x14ac:dyDescent="0.3">
      <c r="A126" t="s">
        <v>48</v>
      </c>
      <c r="B126">
        <v>2024</v>
      </c>
      <c r="C126" s="35">
        <v>1437820</v>
      </c>
    </row>
    <row r="127" spans="1:3" x14ac:dyDescent="0.3">
      <c r="A127" t="s">
        <v>48</v>
      </c>
      <c r="B127">
        <v>2025</v>
      </c>
      <c r="C127" s="35">
        <v>1366084</v>
      </c>
    </row>
    <row r="128" spans="1:3" x14ac:dyDescent="0.3">
      <c r="A128" t="s">
        <v>49</v>
      </c>
      <c r="B128">
        <v>2019</v>
      </c>
      <c r="C128" s="35">
        <v>1495247</v>
      </c>
    </row>
    <row r="129" spans="1:3" x14ac:dyDescent="0.3">
      <c r="A129" t="s">
        <v>49</v>
      </c>
      <c r="B129">
        <v>2020</v>
      </c>
      <c r="C129" s="35">
        <v>1593326</v>
      </c>
    </row>
    <row r="130" spans="1:3" x14ac:dyDescent="0.3">
      <c r="A130" t="s">
        <v>49</v>
      </c>
      <c r="B130">
        <v>2021</v>
      </c>
      <c r="C130" s="35">
        <v>1759812</v>
      </c>
    </row>
    <row r="131" spans="1:3" x14ac:dyDescent="0.3">
      <c r="A131" t="s">
        <v>49</v>
      </c>
      <c r="B131">
        <v>2022</v>
      </c>
      <c r="C131" s="35">
        <v>1854246</v>
      </c>
    </row>
    <row r="132" spans="1:3" x14ac:dyDescent="0.3">
      <c r="A132" t="s">
        <v>49</v>
      </c>
      <c r="B132">
        <v>2023</v>
      </c>
      <c r="C132" s="35">
        <v>1868667</v>
      </c>
    </row>
    <row r="133" spans="1:3" x14ac:dyDescent="0.3">
      <c r="A133" t="s">
        <v>49</v>
      </c>
      <c r="B133">
        <v>2024</v>
      </c>
      <c r="C133" s="35">
        <v>1588595</v>
      </c>
    </row>
    <row r="134" spans="1:3" x14ac:dyDescent="0.3">
      <c r="A134" t="s">
        <v>49</v>
      </c>
      <c r="B134">
        <v>2025</v>
      </c>
      <c r="C134" s="35">
        <v>1472003</v>
      </c>
    </row>
    <row r="135" spans="1:3" x14ac:dyDescent="0.3">
      <c r="A135" t="s">
        <v>50</v>
      </c>
      <c r="B135">
        <v>2019</v>
      </c>
      <c r="C135" s="35">
        <v>1589807</v>
      </c>
    </row>
    <row r="136" spans="1:3" x14ac:dyDescent="0.3">
      <c r="A136" t="s">
        <v>50</v>
      </c>
      <c r="B136">
        <v>2020</v>
      </c>
      <c r="C136" s="35">
        <v>1643993</v>
      </c>
    </row>
    <row r="137" spans="1:3" x14ac:dyDescent="0.3">
      <c r="A137" t="s">
        <v>50</v>
      </c>
      <c r="B137">
        <v>2021</v>
      </c>
      <c r="C137" s="35">
        <v>1795682</v>
      </c>
    </row>
    <row r="138" spans="1:3" x14ac:dyDescent="0.3">
      <c r="A138" t="s">
        <v>50</v>
      </c>
      <c r="B138">
        <v>2022</v>
      </c>
      <c r="C138" s="35">
        <v>1920402</v>
      </c>
    </row>
    <row r="139" spans="1:3" x14ac:dyDescent="0.3">
      <c r="A139" t="s">
        <v>50</v>
      </c>
      <c r="B139">
        <v>2023</v>
      </c>
      <c r="C139" s="35">
        <v>1974158</v>
      </c>
    </row>
    <row r="140" spans="1:3" x14ac:dyDescent="0.3">
      <c r="A140" t="s">
        <v>50</v>
      </c>
      <c r="B140">
        <v>2024</v>
      </c>
      <c r="C140" s="35">
        <v>1699109</v>
      </c>
    </row>
    <row r="141" spans="1:3" x14ac:dyDescent="0.3">
      <c r="A141" t="s">
        <v>50</v>
      </c>
      <c r="B141">
        <v>2025</v>
      </c>
      <c r="C141" s="35">
        <v>1615524</v>
      </c>
    </row>
    <row r="142" spans="1:3" x14ac:dyDescent="0.3">
      <c r="A142" t="s">
        <v>51</v>
      </c>
      <c r="B142">
        <v>2019</v>
      </c>
      <c r="C142" s="35">
        <v>1324728</v>
      </c>
    </row>
    <row r="143" spans="1:3" x14ac:dyDescent="0.3">
      <c r="A143" t="s">
        <v>51</v>
      </c>
      <c r="B143">
        <v>2020</v>
      </c>
      <c r="C143" s="35">
        <v>1386530</v>
      </c>
    </row>
    <row r="144" spans="1:3" x14ac:dyDescent="0.3">
      <c r="A144" t="s">
        <v>51</v>
      </c>
      <c r="B144">
        <v>2021</v>
      </c>
      <c r="C144" s="35">
        <v>1529032</v>
      </c>
    </row>
    <row r="145" spans="1:3" x14ac:dyDescent="0.3">
      <c r="A145" t="s">
        <v>51</v>
      </c>
      <c r="B145">
        <v>2022</v>
      </c>
      <c r="C145" s="35">
        <v>1642211</v>
      </c>
    </row>
    <row r="146" spans="1:3" x14ac:dyDescent="0.3">
      <c r="A146" t="s">
        <v>51</v>
      </c>
      <c r="B146">
        <v>2023</v>
      </c>
      <c r="C146" s="35">
        <v>1692912</v>
      </c>
    </row>
    <row r="147" spans="1:3" x14ac:dyDescent="0.3">
      <c r="A147" t="s">
        <v>51</v>
      </c>
      <c r="B147">
        <v>2024</v>
      </c>
      <c r="C147" s="35">
        <v>1576956</v>
      </c>
    </row>
    <row r="148" spans="1:3" x14ac:dyDescent="0.3">
      <c r="A148" t="s">
        <v>51</v>
      </c>
      <c r="B148">
        <v>2025</v>
      </c>
      <c r="C148" s="35">
        <v>1432903</v>
      </c>
    </row>
    <row r="149" spans="1:3" x14ac:dyDescent="0.3">
      <c r="A149" t="s">
        <v>52</v>
      </c>
      <c r="B149">
        <v>2019</v>
      </c>
      <c r="C149" s="35">
        <v>254763</v>
      </c>
    </row>
    <row r="150" spans="1:3" x14ac:dyDescent="0.3">
      <c r="A150" t="s">
        <v>52</v>
      </c>
      <c r="B150">
        <v>2020</v>
      </c>
      <c r="C150" s="35">
        <v>288822</v>
      </c>
    </row>
    <row r="151" spans="1:3" x14ac:dyDescent="0.3">
      <c r="A151" t="s">
        <v>52</v>
      </c>
      <c r="B151">
        <v>2021</v>
      </c>
      <c r="C151" s="35">
        <v>325180</v>
      </c>
    </row>
    <row r="152" spans="1:3" x14ac:dyDescent="0.3">
      <c r="A152" t="s">
        <v>52</v>
      </c>
      <c r="B152">
        <v>2022</v>
      </c>
      <c r="C152" s="35">
        <v>354432</v>
      </c>
    </row>
    <row r="153" spans="1:3" x14ac:dyDescent="0.3">
      <c r="A153" t="s">
        <v>52</v>
      </c>
      <c r="B153">
        <v>2023</v>
      </c>
      <c r="C153" s="35">
        <v>376023</v>
      </c>
    </row>
    <row r="154" spans="1:3" x14ac:dyDescent="0.3">
      <c r="A154" t="s">
        <v>52</v>
      </c>
      <c r="B154">
        <v>2024</v>
      </c>
      <c r="C154" s="35">
        <v>364767</v>
      </c>
    </row>
    <row r="155" spans="1:3" x14ac:dyDescent="0.3">
      <c r="A155" t="s">
        <v>52</v>
      </c>
      <c r="B155">
        <v>2025</v>
      </c>
      <c r="C155" s="35">
        <v>343536</v>
      </c>
    </row>
    <row r="156" spans="1:3" x14ac:dyDescent="0.3">
      <c r="A156" t="s">
        <v>53</v>
      </c>
      <c r="B156">
        <v>2019</v>
      </c>
      <c r="C156" s="35">
        <v>2320337</v>
      </c>
    </row>
    <row r="157" spans="1:3" x14ac:dyDescent="0.3">
      <c r="A157" t="s">
        <v>53</v>
      </c>
      <c r="B157">
        <v>2020</v>
      </c>
      <c r="C157" s="35">
        <v>2474335</v>
      </c>
    </row>
    <row r="158" spans="1:3" x14ac:dyDescent="0.3">
      <c r="A158" t="s">
        <v>53</v>
      </c>
      <c r="B158">
        <v>2021</v>
      </c>
      <c r="C158" s="35">
        <v>2769844</v>
      </c>
    </row>
    <row r="159" spans="1:3" x14ac:dyDescent="0.3">
      <c r="A159" t="s">
        <v>53</v>
      </c>
      <c r="B159">
        <v>2022</v>
      </c>
      <c r="C159" s="35">
        <v>2961815</v>
      </c>
    </row>
    <row r="160" spans="1:3" x14ac:dyDescent="0.3">
      <c r="A160" t="s">
        <v>53</v>
      </c>
      <c r="B160">
        <v>2023</v>
      </c>
      <c r="C160" s="35">
        <v>3024466</v>
      </c>
    </row>
    <row r="161" spans="1:3" x14ac:dyDescent="0.3">
      <c r="A161" t="s">
        <v>53</v>
      </c>
      <c r="B161">
        <v>2024</v>
      </c>
      <c r="C161" s="35">
        <v>2485218</v>
      </c>
    </row>
    <row r="162" spans="1:3" x14ac:dyDescent="0.3">
      <c r="A162" t="s">
        <v>53</v>
      </c>
      <c r="B162">
        <v>2025</v>
      </c>
      <c r="C162" s="35">
        <v>2355680</v>
      </c>
    </row>
    <row r="163" spans="1:3" x14ac:dyDescent="0.3">
      <c r="A163" t="s">
        <v>54</v>
      </c>
      <c r="B163">
        <v>2019</v>
      </c>
      <c r="C163" s="35">
        <v>1047580</v>
      </c>
    </row>
    <row r="164" spans="1:3" x14ac:dyDescent="0.3">
      <c r="A164" t="s">
        <v>54</v>
      </c>
      <c r="B164">
        <v>2020</v>
      </c>
      <c r="C164" s="35">
        <v>1101595</v>
      </c>
    </row>
    <row r="165" spans="1:3" x14ac:dyDescent="0.3">
      <c r="A165" t="s">
        <v>54</v>
      </c>
      <c r="B165">
        <v>2021</v>
      </c>
      <c r="C165" s="35">
        <v>1233142</v>
      </c>
    </row>
    <row r="166" spans="1:3" x14ac:dyDescent="0.3">
      <c r="A166" t="s">
        <v>54</v>
      </c>
      <c r="B166">
        <v>2022</v>
      </c>
      <c r="C166" s="35">
        <v>1331023</v>
      </c>
    </row>
    <row r="167" spans="1:3" x14ac:dyDescent="0.3">
      <c r="A167" t="s">
        <v>54</v>
      </c>
      <c r="B167">
        <v>2023</v>
      </c>
      <c r="C167" s="35">
        <v>1387433</v>
      </c>
    </row>
    <row r="168" spans="1:3" x14ac:dyDescent="0.3">
      <c r="A168" t="s">
        <v>54</v>
      </c>
      <c r="B168">
        <v>2024</v>
      </c>
      <c r="C168" s="35">
        <v>1204361</v>
      </c>
    </row>
    <row r="169" spans="1:3" x14ac:dyDescent="0.3">
      <c r="A169" t="s">
        <v>54</v>
      </c>
      <c r="B169">
        <v>2025</v>
      </c>
      <c r="C169" s="35">
        <v>1165802</v>
      </c>
    </row>
    <row r="170" spans="1:3" x14ac:dyDescent="0.3">
      <c r="A170" t="s">
        <v>55</v>
      </c>
      <c r="B170">
        <v>2019</v>
      </c>
      <c r="C170" s="35">
        <v>872002</v>
      </c>
    </row>
    <row r="171" spans="1:3" x14ac:dyDescent="0.3">
      <c r="A171" t="s">
        <v>55</v>
      </c>
      <c r="B171">
        <v>2020</v>
      </c>
      <c r="C171" s="35">
        <v>938492</v>
      </c>
    </row>
    <row r="172" spans="1:3" x14ac:dyDescent="0.3">
      <c r="A172" t="s">
        <v>55</v>
      </c>
      <c r="B172">
        <v>2021</v>
      </c>
      <c r="C172" s="35">
        <v>1096390</v>
      </c>
    </row>
    <row r="173" spans="1:3" x14ac:dyDescent="0.3">
      <c r="A173" t="s">
        <v>55</v>
      </c>
      <c r="B173">
        <v>2022</v>
      </c>
      <c r="C173" s="35">
        <v>1339637</v>
      </c>
    </row>
    <row r="174" spans="1:3" x14ac:dyDescent="0.3">
      <c r="A174" t="s">
        <v>55</v>
      </c>
      <c r="B174">
        <v>2023</v>
      </c>
      <c r="C174" s="35">
        <v>1484468</v>
      </c>
    </row>
    <row r="175" spans="1:3" x14ac:dyDescent="0.3">
      <c r="A175" t="s">
        <v>55</v>
      </c>
      <c r="B175">
        <v>2024</v>
      </c>
      <c r="C175" s="35">
        <v>1316130</v>
      </c>
    </row>
    <row r="176" spans="1:3" x14ac:dyDescent="0.3">
      <c r="A176" t="s">
        <v>55</v>
      </c>
      <c r="B176">
        <v>2025</v>
      </c>
      <c r="C176" s="35">
        <v>1267472</v>
      </c>
    </row>
    <row r="177" spans="1:3" x14ac:dyDescent="0.3">
      <c r="A177" t="s">
        <v>56</v>
      </c>
      <c r="B177">
        <v>2019</v>
      </c>
      <c r="C177" s="35">
        <v>590167</v>
      </c>
    </row>
    <row r="178" spans="1:3" x14ac:dyDescent="0.3">
      <c r="A178" t="s">
        <v>56</v>
      </c>
      <c r="B178">
        <v>2020</v>
      </c>
      <c r="C178" s="35">
        <v>614822</v>
      </c>
    </row>
    <row r="179" spans="1:3" x14ac:dyDescent="0.3">
      <c r="A179" t="s">
        <v>56</v>
      </c>
      <c r="B179">
        <v>2021</v>
      </c>
      <c r="C179" s="35">
        <v>690302</v>
      </c>
    </row>
    <row r="180" spans="1:3" x14ac:dyDescent="0.3">
      <c r="A180" t="s">
        <v>56</v>
      </c>
      <c r="B180">
        <v>2022</v>
      </c>
      <c r="C180" s="35">
        <v>743694</v>
      </c>
    </row>
    <row r="181" spans="1:3" x14ac:dyDescent="0.3">
      <c r="A181" t="s">
        <v>56</v>
      </c>
      <c r="B181">
        <v>2023</v>
      </c>
      <c r="C181" s="35">
        <v>760547</v>
      </c>
    </row>
    <row r="182" spans="1:3" x14ac:dyDescent="0.3">
      <c r="A182" t="s">
        <v>56</v>
      </c>
      <c r="B182">
        <v>2024</v>
      </c>
      <c r="C182" s="35">
        <v>636368</v>
      </c>
    </row>
    <row r="183" spans="1:3" x14ac:dyDescent="0.3">
      <c r="A183" t="s">
        <v>56</v>
      </c>
      <c r="B183">
        <v>2025</v>
      </c>
      <c r="C183" s="35">
        <v>599444</v>
      </c>
    </row>
    <row r="184" spans="1:3" x14ac:dyDescent="0.3">
      <c r="A184" t="s">
        <v>57</v>
      </c>
      <c r="B184">
        <v>2019</v>
      </c>
      <c r="C184" s="35">
        <v>271843</v>
      </c>
    </row>
    <row r="185" spans="1:3" x14ac:dyDescent="0.3">
      <c r="A185" t="s">
        <v>57</v>
      </c>
      <c r="B185">
        <v>2020</v>
      </c>
      <c r="C185" s="35">
        <v>261059</v>
      </c>
    </row>
    <row r="186" spans="1:3" x14ac:dyDescent="0.3">
      <c r="A186" t="s">
        <v>57</v>
      </c>
      <c r="B186">
        <v>2021</v>
      </c>
      <c r="C186" s="35">
        <v>292121</v>
      </c>
    </row>
    <row r="187" spans="1:3" x14ac:dyDescent="0.3">
      <c r="A187" t="s">
        <v>57</v>
      </c>
      <c r="B187">
        <v>2022</v>
      </c>
      <c r="C187" s="35">
        <v>314262</v>
      </c>
    </row>
    <row r="188" spans="1:3" x14ac:dyDescent="0.3">
      <c r="A188" t="s">
        <v>57</v>
      </c>
      <c r="B188">
        <v>2023</v>
      </c>
      <c r="C188" s="35">
        <v>295832</v>
      </c>
    </row>
    <row r="189" spans="1:3" x14ac:dyDescent="0.3">
      <c r="A189" t="s">
        <v>57</v>
      </c>
      <c r="B189">
        <v>2024</v>
      </c>
      <c r="C189" s="35">
        <v>229487</v>
      </c>
    </row>
    <row r="190" spans="1:3" x14ac:dyDescent="0.3">
      <c r="A190" t="s">
        <v>57</v>
      </c>
      <c r="B190">
        <v>2025</v>
      </c>
      <c r="C190" s="35">
        <v>215502</v>
      </c>
    </row>
    <row r="191" spans="1:3" x14ac:dyDescent="0.3">
      <c r="A191" t="s">
        <v>58</v>
      </c>
      <c r="B191">
        <v>2019</v>
      </c>
      <c r="C191" s="35">
        <v>1886338</v>
      </c>
    </row>
    <row r="192" spans="1:3" x14ac:dyDescent="0.3">
      <c r="A192" t="s">
        <v>58</v>
      </c>
      <c r="B192">
        <v>2020</v>
      </c>
      <c r="C192" s="35">
        <v>1942050</v>
      </c>
    </row>
    <row r="193" spans="1:3" x14ac:dyDescent="0.3">
      <c r="A193" t="s">
        <v>58</v>
      </c>
      <c r="B193">
        <v>2021</v>
      </c>
      <c r="C193" s="35">
        <v>2156746</v>
      </c>
    </row>
    <row r="194" spans="1:3" x14ac:dyDescent="0.3">
      <c r="A194" t="s">
        <v>58</v>
      </c>
      <c r="B194">
        <v>2022</v>
      </c>
      <c r="C194" s="35">
        <v>2324476</v>
      </c>
    </row>
    <row r="195" spans="1:3" x14ac:dyDescent="0.3">
      <c r="A195" t="s">
        <v>58</v>
      </c>
      <c r="B195">
        <v>2023</v>
      </c>
      <c r="C195" s="35">
        <v>2423723</v>
      </c>
    </row>
    <row r="196" spans="1:3" x14ac:dyDescent="0.3">
      <c r="A196" t="s">
        <v>58</v>
      </c>
      <c r="B196">
        <v>2024</v>
      </c>
      <c r="C196" s="35">
        <v>2753642</v>
      </c>
    </row>
    <row r="197" spans="1:3" x14ac:dyDescent="0.3">
      <c r="A197" t="s">
        <v>58</v>
      </c>
      <c r="B197">
        <v>2025</v>
      </c>
      <c r="C197" s="35">
        <v>2877273</v>
      </c>
    </row>
    <row r="198" spans="1:3" x14ac:dyDescent="0.3">
      <c r="A198" t="s">
        <v>59</v>
      </c>
      <c r="B198">
        <v>2019</v>
      </c>
      <c r="C198" s="35">
        <v>90509</v>
      </c>
    </row>
    <row r="199" spans="1:3" x14ac:dyDescent="0.3">
      <c r="A199" t="s">
        <v>59</v>
      </c>
      <c r="B199">
        <v>2020</v>
      </c>
      <c r="C199" s="35">
        <v>98400</v>
      </c>
    </row>
    <row r="200" spans="1:3" x14ac:dyDescent="0.3">
      <c r="A200" t="s">
        <v>59</v>
      </c>
      <c r="B200">
        <v>2021</v>
      </c>
      <c r="C200" s="35">
        <v>112981</v>
      </c>
    </row>
    <row r="201" spans="1:3" x14ac:dyDescent="0.3">
      <c r="A201" t="s">
        <v>59</v>
      </c>
      <c r="B201">
        <v>2022</v>
      </c>
      <c r="C201" s="35">
        <v>124927</v>
      </c>
    </row>
    <row r="202" spans="1:3" x14ac:dyDescent="0.3">
      <c r="A202" t="s">
        <v>59</v>
      </c>
      <c r="B202">
        <v>2023</v>
      </c>
      <c r="C202" s="35">
        <v>126643</v>
      </c>
    </row>
    <row r="203" spans="1:3" x14ac:dyDescent="0.3">
      <c r="A203" t="s">
        <v>59</v>
      </c>
      <c r="B203">
        <v>2024</v>
      </c>
      <c r="C203" s="35">
        <v>107492</v>
      </c>
    </row>
    <row r="204" spans="1:3" x14ac:dyDescent="0.3">
      <c r="A204" t="s">
        <v>59</v>
      </c>
      <c r="B204">
        <v>2025</v>
      </c>
      <c r="C204" s="35">
        <v>107388</v>
      </c>
    </row>
    <row r="205" spans="1:3" x14ac:dyDescent="0.3">
      <c r="A205" t="s">
        <v>60</v>
      </c>
      <c r="B205">
        <v>2019</v>
      </c>
      <c r="C205" s="35">
        <v>246960</v>
      </c>
    </row>
    <row r="206" spans="1:3" x14ac:dyDescent="0.3">
      <c r="A206" t="s">
        <v>60</v>
      </c>
      <c r="B206">
        <v>2020</v>
      </c>
      <c r="C206" s="35">
        <v>265696</v>
      </c>
    </row>
    <row r="207" spans="1:3" x14ac:dyDescent="0.3">
      <c r="A207" t="s">
        <v>60</v>
      </c>
      <c r="B207">
        <v>2021</v>
      </c>
      <c r="C207" s="35">
        <v>332631</v>
      </c>
    </row>
    <row r="208" spans="1:3" x14ac:dyDescent="0.3">
      <c r="A208" t="s">
        <v>60</v>
      </c>
      <c r="B208">
        <v>2022</v>
      </c>
      <c r="C208" s="35">
        <v>373598</v>
      </c>
    </row>
    <row r="209" spans="1:3" x14ac:dyDescent="0.3">
      <c r="A209" t="s">
        <v>60</v>
      </c>
      <c r="B209">
        <v>2023</v>
      </c>
      <c r="C209" s="35">
        <v>390528</v>
      </c>
    </row>
    <row r="210" spans="1:3" x14ac:dyDescent="0.3">
      <c r="A210" t="s">
        <v>60</v>
      </c>
      <c r="B210">
        <v>2024</v>
      </c>
      <c r="C210" s="35">
        <v>353401</v>
      </c>
    </row>
    <row r="211" spans="1:3" x14ac:dyDescent="0.3">
      <c r="A211" t="s">
        <v>60</v>
      </c>
      <c r="B211">
        <v>2025</v>
      </c>
      <c r="C211" s="35">
        <v>341582</v>
      </c>
    </row>
    <row r="212" spans="1:3" x14ac:dyDescent="0.3">
      <c r="A212" t="s">
        <v>61</v>
      </c>
      <c r="B212">
        <v>2019</v>
      </c>
      <c r="C212" s="35">
        <v>180323</v>
      </c>
    </row>
    <row r="213" spans="1:3" x14ac:dyDescent="0.3">
      <c r="A213" t="s">
        <v>61</v>
      </c>
      <c r="B213">
        <v>2020</v>
      </c>
      <c r="C213" s="35">
        <v>196144</v>
      </c>
    </row>
    <row r="214" spans="1:3" x14ac:dyDescent="0.3">
      <c r="A214" t="s">
        <v>61</v>
      </c>
      <c r="B214">
        <v>2021</v>
      </c>
      <c r="C214" s="35">
        <v>225020</v>
      </c>
    </row>
    <row r="215" spans="1:3" x14ac:dyDescent="0.3">
      <c r="A215" t="s">
        <v>61</v>
      </c>
      <c r="B215">
        <v>2022</v>
      </c>
      <c r="C215" s="35">
        <v>242682</v>
      </c>
    </row>
    <row r="216" spans="1:3" x14ac:dyDescent="0.3">
      <c r="A216" t="s">
        <v>61</v>
      </c>
      <c r="B216">
        <v>2023</v>
      </c>
      <c r="C216" s="35">
        <v>210266</v>
      </c>
    </row>
    <row r="217" spans="1:3" x14ac:dyDescent="0.3">
      <c r="A217" t="s">
        <v>61</v>
      </c>
      <c r="B217">
        <v>2024</v>
      </c>
      <c r="C217" s="35">
        <v>186194</v>
      </c>
    </row>
    <row r="218" spans="1:3" x14ac:dyDescent="0.3">
      <c r="A218" t="s">
        <v>61</v>
      </c>
      <c r="B218">
        <v>2025</v>
      </c>
      <c r="C218" s="35">
        <v>184558</v>
      </c>
    </row>
    <row r="219" spans="1:3" x14ac:dyDescent="0.3">
      <c r="A219" t="s">
        <v>62</v>
      </c>
      <c r="B219">
        <v>2019</v>
      </c>
      <c r="C219" s="35">
        <v>1719537</v>
      </c>
    </row>
    <row r="220" spans="1:3" x14ac:dyDescent="0.3">
      <c r="A220" t="s">
        <v>62</v>
      </c>
      <c r="B220">
        <v>2020</v>
      </c>
      <c r="C220" s="35">
        <v>1795411</v>
      </c>
    </row>
    <row r="221" spans="1:3" x14ac:dyDescent="0.3">
      <c r="A221" t="s">
        <v>62</v>
      </c>
      <c r="B221">
        <v>2021</v>
      </c>
      <c r="C221" s="35">
        <v>2001592</v>
      </c>
    </row>
    <row r="222" spans="1:3" x14ac:dyDescent="0.3">
      <c r="A222" t="s">
        <v>62</v>
      </c>
      <c r="B222">
        <v>2022</v>
      </c>
      <c r="C222" s="35">
        <v>2144148</v>
      </c>
    </row>
    <row r="223" spans="1:3" x14ac:dyDescent="0.3">
      <c r="A223" t="s">
        <v>62</v>
      </c>
      <c r="B223">
        <v>2023</v>
      </c>
      <c r="C223" s="35">
        <v>2209789</v>
      </c>
    </row>
    <row r="224" spans="1:3" x14ac:dyDescent="0.3">
      <c r="A224" t="s">
        <v>62</v>
      </c>
      <c r="B224">
        <v>2024</v>
      </c>
      <c r="C224" s="35">
        <v>1869018</v>
      </c>
    </row>
    <row r="225" spans="1:3" x14ac:dyDescent="0.3">
      <c r="A225" t="s">
        <v>62</v>
      </c>
      <c r="B225">
        <v>2025</v>
      </c>
      <c r="C225" s="35">
        <v>1786827</v>
      </c>
    </row>
    <row r="226" spans="1:3" x14ac:dyDescent="0.3">
      <c r="A226" t="s">
        <v>63</v>
      </c>
      <c r="B226">
        <v>2019</v>
      </c>
      <c r="C226" s="35">
        <v>737066</v>
      </c>
    </row>
    <row r="227" spans="1:3" x14ac:dyDescent="0.3">
      <c r="A227" t="s">
        <v>63</v>
      </c>
      <c r="B227">
        <v>2020</v>
      </c>
      <c r="C227" s="35">
        <v>777783</v>
      </c>
    </row>
    <row r="228" spans="1:3" x14ac:dyDescent="0.3">
      <c r="A228" t="s">
        <v>63</v>
      </c>
      <c r="B228">
        <v>2021</v>
      </c>
      <c r="C228" s="35">
        <v>845122</v>
      </c>
    </row>
    <row r="229" spans="1:3" x14ac:dyDescent="0.3">
      <c r="A229" t="s">
        <v>63</v>
      </c>
      <c r="B229">
        <v>2022</v>
      </c>
      <c r="C229" s="35">
        <v>876583</v>
      </c>
    </row>
    <row r="230" spans="1:3" x14ac:dyDescent="0.3">
      <c r="A230" t="s">
        <v>63</v>
      </c>
      <c r="B230">
        <v>2023</v>
      </c>
      <c r="C230" s="35">
        <v>841132</v>
      </c>
    </row>
    <row r="231" spans="1:3" x14ac:dyDescent="0.3">
      <c r="A231" t="s">
        <v>63</v>
      </c>
      <c r="B231">
        <v>2024</v>
      </c>
      <c r="C231" s="35">
        <v>772301</v>
      </c>
    </row>
    <row r="232" spans="1:3" x14ac:dyDescent="0.3">
      <c r="A232" t="s">
        <v>63</v>
      </c>
      <c r="B232">
        <v>2025</v>
      </c>
      <c r="C232" s="35">
        <v>700402</v>
      </c>
    </row>
    <row r="233" spans="1:3" x14ac:dyDescent="0.3">
      <c r="A233" t="s">
        <v>64</v>
      </c>
      <c r="B233">
        <v>2019</v>
      </c>
      <c r="C233" s="35">
        <v>631426</v>
      </c>
    </row>
    <row r="234" spans="1:3" x14ac:dyDescent="0.3">
      <c r="A234" t="s">
        <v>64</v>
      </c>
      <c r="B234">
        <v>2020</v>
      </c>
      <c r="C234" s="35">
        <v>686596</v>
      </c>
    </row>
    <row r="235" spans="1:3" x14ac:dyDescent="0.3">
      <c r="A235" t="s">
        <v>64</v>
      </c>
      <c r="B235">
        <v>2021</v>
      </c>
      <c r="C235" s="35">
        <v>799329</v>
      </c>
    </row>
    <row r="236" spans="1:3" x14ac:dyDescent="0.3">
      <c r="A236" t="s">
        <v>64</v>
      </c>
      <c r="B236">
        <v>2022</v>
      </c>
      <c r="C236" s="35">
        <v>862868</v>
      </c>
    </row>
    <row r="237" spans="1:3" x14ac:dyDescent="0.3">
      <c r="A237" t="s">
        <v>64</v>
      </c>
      <c r="B237">
        <v>2023</v>
      </c>
      <c r="C237" s="35">
        <v>874414</v>
      </c>
    </row>
    <row r="238" spans="1:3" x14ac:dyDescent="0.3">
      <c r="A238" t="s">
        <v>64</v>
      </c>
      <c r="B238">
        <v>2024</v>
      </c>
      <c r="C238" s="35">
        <v>796038</v>
      </c>
    </row>
    <row r="239" spans="1:3" x14ac:dyDescent="0.3">
      <c r="A239" t="s">
        <v>64</v>
      </c>
      <c r="B239">
        <v>2025</v>
      </c>
      <c r="C239" s="35">
        <v>752680</v>
      </c>
    </row>
    <row r="240" spans="1:3" x14ac:dyDescent="0.3">
      <c r="A240" t="s">
        <v>65</v>
      </c>
      <c r="B240">
        <v>2019</v>
      </c>
      <c r="C240" s="35">
        <v>6083380</v>
      </c>
    </row>
    <row r="241" spans="1:3" x14ac:dyDescent="0.3">
      <c r="A241" t="s">
        <v>65</v>
      </c>
      <c r="B241">
        <v>2020</v>
      </c>
      <c r="C241" s="35">
        <v>6301129</v>
      </c>
    </row>
    <row r="242" spans="1:3" x14ac:dyDescent="0.3">
      <c r="A242" t="s">
        <v>65</v>
      </c>
      <c r="B242">
        <v>2021</v>
      </c>
      <c r="C242" s="35">
        <v>6898635</v>
      </c>
    </row>
    <row r="243" spans="1:3" x14ac:dyDescent="0.3">
      <c r="A243" t="s">
        <v>65</v>
      </c>
      <c r="B243">
        <v>2022</v>
      </c>
      <c r="C243" s="35">
        <v>7247331</v>
      </c>
    </row>
    <row r="244" spans="1:3" x14ac:dyDescent="0.3">
      <c r="A244" t="s">
        <v>65</v>
      </c>
      <c r="B244">
        <v>2023</v>
      </c>
      <c r="C244" s="35">
        <v>7460364</v>
      </c>
    </row>
    <row r="245" spans="1:3" x14ac:dyDescent="0.3">
      <c r="A245" t="s">
        <v>65</v>
      </c>
      <c r="B245">
        <v>2024</v>
      </c>
      <c r="C245" s="35">
        <v>6803991</v>
      </c>
    </row>
    <row r="246" spans="1:3" x14ac:dyDescent="0.3">
      <c r="A246" t="s">
        <v>65</v>
      </c>
      <c r="B246">
        <v>2025</v>
      </c>
      <c r="C246" s="35">
        <v>6580544</v>
      </c>
    </row>
    <row r="247" spans="1:3" x14ac:dyDescent="0.3">
      <c r="A247" t="s">
        <v>66</v>
      </c>
      <c r="B247">
        <v>2019</v>
      </c>
      <c r="C247" s="35">
        <v>2640960</v>
      </c>
    </row>
    <row r="248" spans="1:3" x14ac:dyDescent="0.3">
      <c r="A248" t="s">
        <v>66</v>
      </c>
      <c r="B248">
        <v>2020</v>
      </c>
      <c r="C248" s="35">
        <v>2784155</v>
      </c>
    </row>
    <row r="249" spans="1:3" x14ac:dyDescent="0.3">
      <c r="A249" t="s">
        <v>66</v>
      </c>
      <c r="B249">
        <v>2021</v>
      </c>
      <c r="C249" s="35">
        <v>3077575</v>
      </c>
    </row>
    <row r="250" spans="1:3" x14ac:dyDescent="0.3">
      <c r="A250" t="s">
        <v>66</v>
      </c>
      <c r="B250">
        <v>2022</v>
      </c>
      <c r="C250" s="35">
        <v>3268466</v>
      </c>
    </row>
    <row r="251" spans="1:3" x14ac:dyDescent="0.3">
      <c r="A251" t="s">
        <v>66</v>
      </c>
      <c r="B251">
        <v>2023</v>
      </c>
      <c r="C251" s="35">
        <v>3288691</v>
      </c>
    </row>
    <row r="252" spans="1:3" x14ac:dyDescent="0.3">
      <c r="A252" t="s">
        <v>66</v>
      </c>
      <c r="B252">
        <v>2024</v>
      </c>
      <c r="C252" s="35">
        <v>2915203</v>
      </c>
    </row>
    <row r="253" spans="1:3" x14ac:dyDescent="0.3">
      <c r="A253" t="s">
        <v>66</v>
      </c>
      <c r="B253">
        <v>2025</v>
      </c>
      <c r="C253" s="35">
        <v>2785821</v>
      </c>
    </row>
    <row r="254" spans="1:3" x14ac:dyDescent="0.3">
      <c r="A254" t="s">
        <v>67</v>
      </c>
      <c r="B254">
        <v>2019</v>
      </c>
      <c r="C254" s="35">
        <v>727261</v>
      </c>
    </row>
    <row r="255" spans="1:3" x14ac:dyDescent="0.3">
      <c r="A255" t="s">
        <v>67</v>
      </c>
      <c r="B255">
        <v>2020</v>
      </c>
      <c r="C255" s="35">
        <v>794593</v>
      </c>
    </row>
    <row r="256" spans="1:3" x14ac:dyDescent="0.3">
      <c r="A256" t="s">
        <v>67</v>
      </c>
      <c r="B256">
        <v>2021</v>
      </c>
      <c r="C256" s="35">
        <v>977760</v>
      </c>
    </row>
    <row r="257" spans="1:3" x14ac:dyDescent="0.3">
      <c r="A257" t="s">
        <v>67</v>
      </c>
      <c r="B257">
        <v>2022</v>
      </c>
      <c r="C257" s="35">
        <v>1224323</v>
      </c>
    </row>
    <row r="258" spans="1:3" x14ac:dyDescent="0.3">
      <c r="A258" t="s">
        <v>67</v>
      </c>
      <c r="B258">
        <v>2023</v>
      </c>
      <c r="C258" s="35">
        <v>1221785</v>
      </c>
    </row>
    <row r="259" spans="1:3" x14ac:dyDescent="0.3">
      <c r="A259" t="s">
        <v>67</v>
      </c>
      <c r="B259">
        <v>2024</v>
      </c>
      <c r="C259" s="35">
        <v>990949</v>
      </c>
    </row>
    <row r="260" spans="1:3" x14ac:dyDescent="0.3">
      <c r="A260" t="s">
        <v>67</v>
      </c>
      <c r="B260">
        <v>2025</v>
      </c>
      <c r="C260" s="35">
        <v>991024</v>
      </c>
    </row>
    <row r="261" spans="1:3" x14ac:dyDescent="0.3">
      <c r="A261" t="s">
        <v>68</v>
      </c>
      <c r="B261">
        <v>2019</v>
      </c>
      <c r="C261" s="35">
        <v>988177</v>
      </c>
    </row>
    <row r="262" spans="1:3" x14ac:dyDescent="0.3">
      <c r="A262" t="s">
        <v>68</v>
      </c>
      <c r="B262">
        <v>2020</v>
      </c>
      <c r="C262" s="35">
        <v>1064756</v>
      </c>
    </row>
    <row r="263" spans="1:3" x14ac:dyDescent="0.3">
      <c r="A263" t="s">
        <v>68</v>
      </c>
      <c r="B263">
        <v>2021</v>
      </c>
      <c r="C263" s="35">
        <v>1215385</v>
      </c>
    </row>
    <row r="264" spans="1:3" x14ac:dyDescent="0.3">
      <c r="A264" t="s">
        <v>68</v>
      </c>
      <c r="B264">
        <v>2022</v>
      </c>
      <c r="C264" s="35">
        <v>1326274</v>
      </c>
    </row>
    <row r="265" spans="1:3" x14ac:dyDescent="0.3">
      <c r="A265" t="s">
        <v>68</v>
      </c>
      <c r="B265">
        <v>2023</v>
      </c>
      <c r="C265" s="35">
        <v>1435409</v>
      </c>
    </row>
    <row r="266" spans="1:3" x14ac:dyDescent="0.3">
      <c r="A266" t="s">
        <v>68</v>
      </c>
      <c r="B266">
        <v>2024</v>
      </c>
      <c r="C266" s="35">
        <v>1328234</v>
      </c>
    </row>
    <row r="267" spans="1:3" x14ac:dyDescent="0.3">
      <c r="A267" t="s">
        <v>68</v>
      </c>
      <c r="B267">
        <v>2025</v>
      </c>
      <c r="C267" s="35">
        <v>1313886</v>
      </c>
    </row>
    <row r="268" spans="1:3" x14ac:dyDescent="0.3">
      <c r="A268" t="s">
        <v>69</v>
      </c>
      <c r="B268">
        <v>2019</v>
      </c>
      <c r="C268" s="35">
        <v>3004720</v>
      </c>
    </row>
    <row r="269" spans="1:3" x14ac:dyDescent="0.3">
      <c r="A269" t="s">
        <v>69</v>
      </c>
      <c r="B269">
        <v>2020</v>
      </c>
      <c r="C269" s="35">
        <v>3136241</v>
      </c>
    </row>
    <row r="270" spans="1:3" x14ac:dyDescent="0.3">
      <c r="A270" t="s">
        <v>69</v>
      </c>
      <c r="B270">
        <v>2021</v>
      </c>
      <c r="C270" s="35">
        <v>3422602</v>
      </c>
    </row>
    <row r="271" spans="1:3" x14ac:dyDescent="0.3">
      <c r="A271" t="s">
        <v>69</v>
      </c>
      <c r="B271">
        <v>2022</v>
      </c>
      <c r="C271" s="35">
        <v>3609181</v>
      </c>
    </row>
    <row r="272" spans="1:3" x14ac:dyDescent="0.3">
      <c r="A272" t="s">
        <v>69</v>
      </c>
      <c r="B272">
        <v>2023</v>
      </c>
      <c r="C272" s="35">
        <v>3616198</v>
      </c>
    </row>
    <row r="273" spans="1:3" x14ac:dyDescent="0.3">
      <c r="A273" t="s">
        <v>69</v>
      </c>
      <c r="B273">
        <v>2024</v>
      </c>
      <c r="C273" s="35">
        <v>3177105</v>
      </c>
    </row>
    <row r="274" spans="1:3" x14ac:dyDescent="0.3">
      <c r="A274" t="s">
        <v>69</v>
      </c>
      <c r="B274">
        <v>2025</v>
      </c>
      <c r="C274" s="35">
        <v>3061207</v>
      </c>
    </row>
    <row r="275" spans="1:3" x14ac:dyDescent="0.3">
      <c r="A275" t="s">
        <v>70</v>
      </c>
      <c r="B275">
        <v>2019</v>
      </c>
      <c r="C275" s="35">
        <v>300715</v>
      </c>
    </row>
    <row r="276" spans="1:3" x14ac:dyDescent="0.3">
      <c r="A276" t="s">
        <v>70</v>
      </c>
      <c r="B276">
        <v>2020</v>
      </c>
      <c r="C276" s="35">
        <v>307255</v>
      </c>
    </row>
    <row r="277" spans="1:3" x14ac:dyDescent="0.3">
      <c r="A277" t="s">
        <v>70</v>
      </c>
      <c r="B277">
        <v>2021</v>
      </c>
      <c r="C277" s="35">
        <v>337231</v>
      </c>
    </row>
    <row r="278" spans="1:3" x14ac:dyDescent="0.3">
      <c r="A278" t="s">
        <v>70</v>
      </c>
      <c r="B278">
        <v>2022</v>
      </c>
      <c r="C278" s="35">
        <v>353618</v>
      </c>
    </row>
    <row r="279" spans="1:3" x14ac:dyDescent="0.3">
      <c r="A279" t="s">
        <v>70</v>
      </c>
      <c r="B279">
        <v>2023</v>
      </c>
      <c r="C279" s="35">
        <v>367273</v>
      </c>
    </row>
    <row r="280" spans="1:3" x14ac:dyDescent="0.3">
      <c r="A280" t="s">
        <v>70</v>
      </c>
      <c r="B280">
        <v>2024</v>
      </c>
      <c r="C280" s="35">
        <v>296815</v>
      </c>
    </row>
    <row r="281" spans="1:3" x14ac:dyDescent="0.3">
      <c r="A281" t="s">
        <v>70</v>
      </c>
      <c r="B281">
        <v>2025</v>
      </c>
      <c r="C281" s="35">
        <v>309562</v>
      </c>
    </row>
    <row r="282" spans="1:3" x14ac:dyDescent="0.3">
      <c r="A282" t="s">
        <v>71</v>
      </c>
      <c r="B282">
        <v>2019</v>
      </c>
      <c r="C282" s="35">
        <v>1053593</v>
      </c>
    </row>
    <row r="283" spans="1:3" x14ac:dyDescent="0.3">
      <c r="A283" t="s">
        <v>71</v>
      </c>
      <c r="B283">
        <v>2020</v>
      </c>
      <c r="C283" s="35">
        <v>1074620</v>
      </c>
    </row>
    <row r="284" spans="1:3" x14ac:dyDescent="0.3">
      <c r="A284" t="s">
        <v>71</v>
      </c>
      <c r="B284">
        <v>2021</v>
      </c>
      <c r="C284" s="35">
        <v>1179514</v>
      </c>
    </row>
    <row r="285" spans="1:3" x14ac:dyDescent="0.3">
      <c r="A285" t="s">
        <v>71</v>
      </c>
      <c r="B285">
        <v>2022</v>
      </c>
      <c r="C285" s="35">
        <v>1266583</v>
      </c>
    </row>
    <row r="286" spans="1:3" x14ac:dyDescent="0.3">
      <c r="A286" t="s">
        <v>71</v>
      </c>
      <c r="B286">
        <v>2023</v>
      </c>
      <c r="C286" s="35">
        <v>1277972</v>
      </c>
    </row>
    <row r="287" spans="1:3" x14ac:dyDescent="0.3">
      <c r="A287" t="s">
        <v>71</v>
      </c>
      <c r="B287">
        <v>2024</v>
      </c>
      <c r="C287" s="35">
        <v>1117904</v>
      </c>
    </row>
    <row r="288" spans="1:3" x14ac:dyDescent="0.3">
      <c r="A288" t="s">
        <v>71</v>
      </c>
      <c r="B288">
        <v>2025</v>
      </c>
      <c r="C288" s="35">
        <v>1036413</v>
      </c>
    </row>
    <row r="289" spans="1:3" x14ac:dyDescent="0.3">
      <c r="A289" t="s">
        <v>72</v>
      </c>
      <c r="B289">
        <v>2019</v>
      </c>
      <c r="C289" s="35">
        <v>110307</v>
      </c>
    </row>
    <row r="290" spans="1:3" x14ac:dyDescent="0.3">
      <c r="A290" t="s">
        <v>72</v>
      </c>
      <c r="B290">
        <v>2020</v>
      </c>
      <c r="C290" s="35">
        <v>115150</v>
      </c>
    </row>
    <row r="291" spans="1:3" x14ac:dyDescent="0.3">
      <c r="A291" t="s">
        <v>72</v>
      </c>
      <c r="B291">
        <v>2021</v>
      </c>
      <c r="C291" s="35">
        <v>129414</v>
      </c>
    </row>
    <row r="292" spans="1:3" x14ac:dyDescent="0.3">
      <c r="A292" t="s">
        <v>72</v>
      </c>
      <c r="B292">
        <v>2022</v>
      </c>
      <c r="C292" s="35">
        <v>140159</v>
      </c>
    </row>
    <row r="293" spans="1:3" x14ac:dyDescent="0.3">
      <c r="A293" t="s">
        <v>72</v>
      </c>
      <c r="B293">
        <v>2023</v>
      </c>
      <c r="C293" s="35">
        <v>126880</v>
      </c>
    </row>
    <row r="294" spans="1:3" x14ac:dyDescent="0.3">
      <c r="A294" t="s">
        <v>72</v>
      </c>
      <c r="B294">
        <v>2024</v>
      </c>
      <c r="C294" s="35">
        <v>134448</v>
      </c>
    </row>
    <row r="295" spans="1:3" x14ac:dyDescent="0.3">
      <c r="A295" t="s">
        <v>72</v>
      </c>
      <c r="B295">
        <v>2025</v>
      </c>
      <c r="C295" s="35">
        <v>139921</v>
      </c>
    </row>
    <row r="296" spans="1:3" x14ac:dyDescent="0.3">
      <c r="A296" t="s">
        <v>73</v>
      </c>
      <c r="B296">
        <v>2019</v>
      </c>
      <c r="C296" s="35">
        <v>1454417</v>
      </c>
    </row>
    <row r="297" spans="1:3" x14ac:dyDescent="0.3">
      <c r="A297" t="s">
        <v>73</v>
      </c>
      <c r="B297">
        <v>2020</v>
      </c>
      <c r="C297" s="35">
        <v>1505310</v>
      </c>
    </row>
    <row r="298" spans="1:3" x14ac:dyDescent="0.3">
      <c r="A298" t="s">
        <v>73</v>
      </c>
      <c r="B298">
        <v>2021</v>
      </c>
      <c r="C298" s="35">
        <v>1594180</v>
      </c>
    </row>
    <row r="299" spans="1:3" x14ac:dyDescent="0.3">
      <c r="A299" t="s">
        <v>73</v>
      </c>
      <c r="B299">
        <v>2022</v>
      </c>
      <c r="C299" s="35">
        <v>1715656</v>
      </c>
    </row>
    <row r="300" spans="1:3" x14ac:dyDescent="0.3">
      <c r="A300" t="s">
        <v>73</v>
      </c>
      <c r="B300">
        <v>2023</v>
      </c>
      <c r="C300" s="35">
        <v>1757854</v>
      </c>
    </row>
    <row r="301" spans="1:3" x14ac:dyDescent="0.3">
      <c r="A301" t="s">
        <v>73</v>
      </c>
      <c r="B301">
        <v>2024</v>
      </c>
      <c r="C301" s="35">
        <v>1484018</v>
      </c>
    </row>
    <row r="302" spans="1:3" x14ac:dyDescent="0.3">
      <c r="A302" t="s">
        <v>73</v>
      </c>
      <c r="B302">
        <v>2025</v>
      </c>
      <c r="C302" s="35">
        <v>1433753</v>
      </c>
    </row>
    <row r="303" spans="1:3" x14ac:dyDescent="0.3">
      <c r="A303" t="s">
        <v>74</v>
      </c>
      <c r="B303">
        <v>2019</v>
      </c>
      <c r="C303" s="35">
        <v>4225110</v>
      </c>
    </row>
    <row r="304" spans="1:3" x14ac:dyDescent="0.3">
      <c r="A304" t="s">
        <v>74</v>
      </c>
      <c r="B304">
        <v>2020</v>
      </c>
      <c r="C304" s="35">
        <v>4485048</v>
      </c>
    </row>
    <row r="305" spans="1:3" x14ac:dyDescent="0.3">
      <c r="A305" t="s">
        <v>74</v>
      </c>
      <c r="B305">
        <v>2021</v>
      </c>
      <c r="C305" s="35">
        <v>5064805</v>
      </c>
    </row>
    <row r="306" spans="1:3" x14ac:dyDescent="0.3">
      <c r="A306" t="s">
        <v>74</v>
      </c>
      <c r="B306">
        <v>2022</v>
      </c>
      <c r="C306" s="35">
        <v>5558143</v>
      </c>
    </row>
    <row r="307" spans="1:3" x14ac:dyDescent="0.3">
      <c r="A307" t="s">
        <v>74</v>
      </c>
      <c r="B307">
        <v>2023</v>
      </c>
      <c r="C307" s="35">
        <v>5476451</v>
      </c>
    </row>
    <row r="308" spans="1:3" x14ac:dyDescent="0.3">
      <c r="A308" t="s">
        <v>74</v>
      </c>
      <c r="B308">
        <v>2024</v>
      </c>
      <c r="C308" s="35">
        <v>4295372</v>
      </c>
    </row>
    <row r="309" spans="1:3" x14ac:dyDescent="0.3">
      <c r="A309" t="s">
        <v>74</v>
      </c>
      <c r="B309">
        <v>2025</v>
      </c>
      <c r="C309" s="35">
        <v>4184378</v>
      </c>
    </row>
    <row r="310" spans="1:3" x14ac:dyDescent="0.3">
      <c r="A310" t="s">
        <v>75</v>
      </c>
      <c r="B310">
        <v>2019</v>
      </c>
      <c r="C310" s="35">
        <v>304088</v>
      </c>
    </row>
    <row r="311" spans="1:3" x14ac:dyDescent="0.3">
      <c r="A311" t="s">
        <v>75</v>
      </c>
      <c r="B311">
        <v>2020</v>
      </c>
      <c r="C311" s="35">
        <v>348383</v>
      </c>
    </row>
    <row r="312" spans="1:3" x14ac:dyDescent="0.3">
      <c r="A312" t="s">
        <v>75</v>
      </c>
      <c r="B312">
        <v>2021</v>
      </c>
      <c r="C312" s="35">
        <v>420113</v>
      </c>
    </row>
    <row r="313" spans="1:3" x14ac:dyDescent="0.3">
      <c r="A313" t="s">
        <v>75</v>
      </c>
      <c r="B313">
        <v>2022</v>
      </c>
      <c r="C313" s="35">
        <v>464211</v>
      </c>
    </row>
    <row r="314" spans="1:3" x14ac:dyDescent="0.3">
      <c r="A314" t="s">
        <v>75</v>
      </c>
      <c r="B314">
        <v>2023</v>
      </c>
      <c r="C314" s="35">
        <v>439543</v>
      </c>
    </row>
    <row r="315" spans="1:3" x14ac:dyDescent="0.3">
      <c r="A315" t="s">
        <v>75</v>
      </c>
      <c r="B315">
        <v>2024</v>
      </c>
      <c r="C315" s="35">
        <v>344986</v>
      </c>
    </row>
    <row r="316" spans="1:3" x14ac:dyDescent="0.3">
      <c r="A316" t="s">
        <v>75</v>
      </c>
      <c r="B316">
        <v>2025</v>
      </c>
      <c r="C316" s="35">
        <v>339252</v>
      </c>
    </row>
    <row r="317" spans="1:3" x14ac:dyDescent="0.3">
      <c r="A317" t="s">
        <v>76</v>
      </c>
      <c r="B317">
        <v>2019</v>
      </c>
      <c r="C317" s="35">
        <v>1328023</v>
      </c>
    </row>
    <row r="318" spans="1:3" x14ac:dyDescent="0.3">
      <c r="A318" t="s">
        <v>76</v>
      </c>
      <c r="B318">
        <v>2020</v>
      </c>
      <c r="C318" s="35">
        <v>1518895</v>
      </c>
    </row>
    <row r="319" spans="1:3" x14ac:dyDescent="0.3">
      <c r="A319" t="s">
        <v>76</v>
      </c>
      <c r="B319">
        <v>2021</v>
      </c>
      <c r="C319" s="35">
        <v>1745529</v>
      </c>
    </row>
    <row r="320" spans="1:3" x14ac:dyDescent="0.3">
      <c r="A320" t="s">
        <v>76</v>
      </c>
      <c r="B320">
        <v>2022</v>
      </c>
      <c r="C320" s="35">
        <v>1930370</v>
      </c>
    </row>
    <row r="321" spans="1:3" x14ac:dyDescent="0.3">
      <c r="A321" t="s">
        <v>76</v>
      </c>
      <c r="B321">
        <v>2023</v>
      </c>
      <c r="C321" s="35">
        <v>2017304</v>
      </c>
    </row>
    <row r="322" spans="1:3" x14ac:dyDescent="0.3">
      <c r="A322" t="s">
        <v>76</v>
      </c>
      <c r="B322">
        <v>2024</v>
      </c>
      <c r="C322" s="35">
        <v>1868327</v>
      </c>
    </row>
    <row r="323" spans="1:3" x14ac:dyDescent="0.3">
      <c r="A323" t="s">
        <v>76</v>
      </c>
      <c r="B323">
        <v>2025</v>
      </c>
      <c r="C323" s="35">
        <v>1742176</v>
      </c>
    </row>
    <row r="324" spans="1:3" x14ac:dyDescent="0.3">
      <c r="A324" t="s">
        <v>77</v>
      </c>
      <c r="B324">
        <v>2019</v>
      </c>
      <c r="C324" s="35">
        <v>154673</v>
      </c>
    </row>
    <row r="325" spans="1:3" x14ac:dyDescent="0.3">
      <c r="A325" t="s">
        <v>77</v>
      </c>
      <c r="B325">
        <v>2020</v>
      </c>
      <c r="C325" s="35">
        <v>161583</v>
      </c>
    </row>
    <row r="326" spans="1:3" x14ac:dyDescent="0.3">
      <c r="A326" t="s">
        <v>77</v>
      </c>
      <c r="B326">
        <v>2021</v>
      </c>
      <c r="C326" s="35">
        <v>179545</v>
      </c>
    </row>
    <row r="327" spans="1:3" x14ac:dyDescent="0.3">
      <c r="A327" t="s">
        <v>77</v>
      </c>
      <c r="B327">
        <v>2022</v>
      </c>
      <c r="C327" s="35">
        <v>189060</v>
      </c>
    </row>
    <row r="328" spans="1:3" x14ac:dyDescent="0.3">
      <c r="A328" t="s">
        <v>77</v>
      </c>
      <c r="B328">
        <v>2023</v>
      </c>
      <c r="C328" s="35">
        <v>185335</v>
      </c>
    </row>
    <row r="329" spans="1:3" x14ac:dyDescent="0.3">
      <c r="A329" t="s">
        <v>77</v>
      </c>
      <c r="B329">
        <v>2024</v>
      </c>
      <c r="C329" s="35">
        <v>162204</v>
      </c>
    </row>
    <row r="330" spans="1:3" x14ac:dyDescent="0.3">
      <c r="A330" t="s">
        <v>77</v>
      </c>
      <c r="B330">
        <v>2025</v>
      </c>
      <c r="C330" s="35">
        <v>155107</v>
      </c>
    </row>
    <row r="331" spans="1:3" x14ac:dyDescent="0.3">
      <c r="A331" t="s">
        <v>78</v>
      </c>
      <c r="B331">
        <v>2019</v>
      </c>
      <c r="C331" s="35">
        <v>1726976</v>
      </c>
    </row>
    <row r="332" spans="1:3" x14ac:dyDescent="0.3">
      <c r="A332" t="s">
        <v>78</v>
      </c>
      <c r="B332">
        <v>2020</v>
      </c>
      <c r="C332" s="35">
        <v>1804065</v>
      </c>
    </row>
    <row r="333" spans="1:3" x14ac:dyDescent="0.3">
      <c r="A333" t="s">
        <v>78</v>
      </c>
      <c r="B333">
        <v>2021</v>
      </c>
      <c r="C333" s="35">
        <v>1988361</v>
      </c>
    </row>
    <row r="334" spans="1:3" x14ac:dyDescent="0.3">
      <c r="A334" t="s">
        <v>78</v>
      </c>
      <c r="B334">
        <v>2022</v>
      </c>
      <c r="C334" s="35">
        <v>2115995</v>
      </c>
    </row>
    <row r="335" spans="1:3" x14ac:dyDescent="0.3">
      <c r="A335" t="s">
        <v>78</v>
      </c>
      <c r="B335">
        <v>2023</v>
      </c>
      <c r="C335" s="35">
        <v>2073497</v>
      </c>
    </row>
    <row r="336" spans="1:3" x14ac:dyDescent="0.3">
      <c r="A336" t="s">
        <v>78</v>
      </c>
      <c r="B336">
        <v>2024</v>
      </c>
      <c r="C336" s="35">
        <v>1858414</v>
      </c>
    </row>
    <row r="337" spans="1:3" x14ac:dyDescent="0.3">
      <c r="A337" t="s">
        <v>78</v>
      </c>
      <c r="B337">
        <v>2025</v>
      </c>
      <c r="C337" s="35">
        <v>1806964</v>
      </c>
    </row>
    <row r="338" spans="1:3" x14ac:dyDescent="0.3">
      <c r="A338" t="s">
        <v>79</v>
      </c>
      <c r="B338">
        <v>2019</v>
      </c>
      <c r="C338" s="35">
        <v>1039266</v>
      </c>
    </row>
    <row r="339" spans="1:3" x14ac:dyDescent="0.3">
      <c r="A339" t="s">
        <v>79</v>
      </c>
      <c r="B339">
        <v>2020</v>
      </c>
      <c r="C339" s="35">
        <v>1126558</v>
      </c>
    </row>
    <row r="340" spans="1:3" x14ac:dyDescent="0.3">
      <c r="A340" t="s">
        <v>79</v>
      </c>
      <c r="B340">
        <v>2021</v>
      </c>
      <c r="C340" s="35">
        <v>1285712</v>
      </c>
    </row>
    <row r="341" spans="1:3" x14ac:dyDescent="0.3">
      <c r="A341" t="s">
        <v>79</v>
      </c>
      <c r="B341">
        <v>2022</v>
      </c>
      <c r="C341" s="35">
        <v>1379023</v>
      </c>
    </row>
    <row r="342" spans="1:3" x14ac:dyDescent="0.3">
      <c r="A342" t="s">
        <v>79</v>
      </c>
      <c r="B342">
        <v>2023</v>
      </c>
      <c r="C342" s="35">
        <v>1413800</v>
      </c>
    </row>
    <row r="343" spans="1:3" x14ac:dyDescent="0.3">
      <c r="A343" t="s">
        <v>79</v>
      </c>
      <c r="B343">
        <v>2024</v>
      </c>
      <c r="C343" s="35">
        <v>1232508</v>
      </c>
    </row>
    <row r="344" spans="1:3" x14ac:dyDescent="0.3">
      <c r="A344" t="s">
        <v>79</v>
      </c>
      <c r="B344">
        <v>2025</v>
      </c>
      <c r="C344" s="35">
        <v>1149023</v>
      </c>
    </row>
    <row r="345" spans="1:3" x14ac:dyDescent="0.3">
      <c r="A345" t="s">
        <v>80</v>
      </c>
      <c r="B345">
        <v>2019</v>
      </c>
      <c r="C345" s="35">
        <v>517558</v>
      </c>
    </row>
    <row r="346" spans="1:3" x14ac:dyDescent="0.3">
      <c r="A346" t="s">
        <v>80</v>
      </c>
      <c r="B346">
        <v>2020</v>
      </c>
      <c r="C346" s="35">
        <v>537886</v>
      </c>
    </row>
    <row r="347" spans="1:3" x14ac:dyDescent="0.3">
      <c r="A347" t="s">
        <v>80</v>
      </c>
      <c r="B347">
        <v>2021</v>
      </c>
      <c r="C347" s="35">
        <v>594722</v>
      </c>
    </row>
    <row r="348" spans="1:3" x14ac:dyDescent="0.3">
      <c r="A348" t="s">
        <v>80</v>
      </c>
      <c r="B348">
        <v>2022</v>
      </c>
      <c r="C348" s="35">
        <v>635724</v>
      </c>
    </row>
    <row r="349" spans="1:3" x14ac:dyDescent="0.3">
      <c r="A349" t="s">
        <v>80</v>
      </c>
      <c r="B349">
        <v>2023</v>
      </c>
      <c r="C349" s="35">
        <v>613191</v>
      </c>
    </row>
    <row r="350" spans="1:3" x14ac:dyDescent="0.3">
      <c r="A350" t="s">
        <v>80</v>
      </c>
      <c r="B350">
        <v>2024</v>
      </c>
      <c r="C350" s="35">
        <v>522075</v>
      </c>
    </row>
    <row r="351" spans="1:3" x14ac:dyDescent="0.3">
      <c r="A351" t="s">
        <v>80</v>
      </c>
      <c r="B351">
        <v>2025</v>
      </c>
      <c r="C351" s="35">
        <v>501577</v>
      </c>
    </row>
    <row r="352" spans="1:3" x14ac:dyDescent="0.3">
      <c r="A352" t="s">
        <v>81</v>
      </c>
      <c r="B352">
        <v>2019</v>
      </c>
      <c r="C352" s="35">
        <v>56580</v>
      </c>
    </row>
    <row r="353" spans="1:3" x14ac:dyDescent="0.3">
      <c r="A353" t="s">
        <v>81</v>
      </c>
      <c r="B353">
        <v>2020</v>
      </c>
      <c r="C353" s="35">
        <v>60378</v>
      </c>
    </row>
    <row r="354" spans="1:3" x14ac:dyDescent="0.3">
      <c r="A354" t="s">
        <v>81</v>
      </c>
      <c r="B354">
        <v>2021</v>
      </c>
      <c r="C354" s="35">
        <v>69630</v>
      </c>
    </row>
    <row r="355" spans="1:3" x14ac:dyDescent="0.3">
      <c r="A355" t="s">
        <v>81</v>
      </c>
      <c r="B355">
        <v>2022</v>
      </c>
      <c r="C355" s="35">
        <v>78254</v>
      </c>
    </row>
    <row r="356" spans="1:3" x14ac:dyDescent="0.3">
      <c r="A356" t="s">
        <v>81</v>
      </c>
      <c r="B356">
        <v>2023</v>
      </c>
      <c r="C356" s="35">
        <v>81219</v>
      </c>
    </row>
    <row r="357" spans="1:3" x14ac:dyDescent="0.3">
      <c r="A357" t="s">
        <v>81</v>
      </c>
      <c r="B357">
        <v>2024</v>
      </c>
      <c r="C357" s="35">
        <v>67932</v>
      </c>
    </row>
    <row r="358" spans="1:3" x14ac:dyDescent="0.3">
      <c r="A358" t="s">
        <v>81</v>
      </c>
      <c r="B358">
        <v>2025</v>
      </c>
      <c r="C358" s="35">
        <v>62025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4A3B8"/>
  </sheetPr>
  <dimension ref="A1:D120"/>
  <sheetViews>
    <sheetView showGridLines="0" workbookViewId="0">
      <pane ySplit="1" topLeftCell="A2" activePane="bottomLeft" state="frozen"/>
      <selection pane="bottomLeft"/>
    </sheetView>
  </sheetViews>
  <sheetFormatPr defaultRowHeight="14.4" x14ac:dyDescent="0.3"/>
  <cols>
    <col min="1" max="1" width="8.6640625" customWidth="1"/>
    <col min="2" max="2" width="34.6640625" customWidth="1"/>
    <col min="3" max="4" width="18.6640625" style="35" customWidth="1"/>
  </cols>
  <sheetData>
    <row r="1" spans="1:4" x14ac:dyDescent="0.3">
      <c r="A1" s="9" t="s">
        <v>26</v>
      </c>
      <c r="B1" s="9" t="s">
        <v>27</v>
      </c>
      <c r="C1" s="9" t="s">
        <v>28</v>
      </c>
      <c r="D1" s="9" t="s">
        <v>29</v>
      </c>
    </row>
    <row r="2" spans="1:4" x14ac:dyDescent="0.3">
      <c r="A2">
        <v>2019</v>
      </c>
      <c r="B2" t="s">
        <v>10</v>
      </c>
      <c r="C2" s="35">
        <v>3008773699.23</v>
      </c>
      <c r="D2" s="35">
        <v>107534353</v>
      </c>
    </row>
    <row r="3" spans="1:4" x14ac:dyDescent="0.3">
      <c r="A3">
        <v>2019</v>
      </c>
      <c r="B3" t="s">
        <v>4</v>
      </c>
      <c r="C3" s="35">
        <v>7015441447.9500008</v>
      </c>
      <c r="D3" s="35">
        <v>30419783</v>
      </c>
    </row>
    <row r="4" spans="1:4" x14ac:dyDescent="0.3">
      <c r="A4">
        <v>2019</v>
      </c>
      <c r="B4" t="s">
        <v>13</v>
      </c>
      <c r="C4" s="35">
        <v>2795068606.8499999</v>
      </c>
      <c r="D4" s="35">
        <v>33767159</v>
      </c>
    </row>
    <row r="5" spans="1:4" x14ac:dyDescent="0.3">
      <c r="A5">
        <v>2019</v>
      </c>
      <c r="B5" t="s">
        <v>16</v>
      </c>
      <c r="C5" s="35">
        <v>754669963.87000012</v>
      </c>
      <c r="D5" s="35">
        <v>3484687</v>
      </c>
    </row>
    <row r="6" spans="1:4" x14ac:dyDescent="0.3">
      <c r="A6">
        <v>2019</v>
      </c>
      <c r="B6" t="s">
        <v>14</v>
      </c>
      <c r="C6" s="35">
        <v>1872816765.5899999</v>
      </c>
      <c r="D6" s="35">
        <v>42650480</v>
      </c>
    </row>
    <row r="7" spans="1:4" x14ac:dyDescent="0.3">
      <c r="A7">
        <v>2019</v>
      </c>
      <c r="B7" t="s">
        <v>7</v>
      </c>
      <c r="C7" s="35">
        <v>5212808440.0700006</v>
      </c>
      <c r="D7" s="35">
        <v>2450139</v>
      </c>
    </row>
    <row r="8" spans="1:4" x14ac:dyDescent="0.3">
      <c r="A8">
        <v>2019</v>
      </c>
      <c r="B8" t="s">
        <v>11</v>
      </c>
      <c r="C8" s="35">
        <v>3933722148.039999</v>
      </c>
      <c r="D8" s="35">
        <v>6379172</v>
      </c>
    </row>
    <row r="9" spans="1:4" x14ac:dyDescent="0.3">
      <c r="A9">
        <v>2019</v>
      </c>
      <c r="B9" t="s">
        <v>3</v>
      </c>
      <c r="C9" s="35">
        <v>6330818452.5300007</v>
      </c>
      <c r="D9" s="35">
        <v>29199763</v>
      </c>
    </row>
    <row r="10" spans="1:4" x14ac:dyDescent="0.3">
      <c r="A10">
        <v>2019</v>
      </c>
      <c r="B10" t="s">
        <v>12</v>
      </c>
      <c r="C10" s="35">
        <v>4756353825.4000015</v>
      </c>
      <c r="D10" s="35">
        <v>72840841</v>
      </c>
    </row>
    <row r="11" spans="1:4" x14ac:dyDescent="0.3">
      <c r="A11">
        <v>2019</v>
      </c>
      <c r="B11" t="s">
        <v>2</v>
      </c>
      <c r="C11" s="35">
        <v>14931494700.690001</v>
      </c>
      <c r="D11" s="35">
        <v>158788551</v>
      </c>
    </row>
    <row r="12" spans="1:4" x14ac:dyDescent="0.3">
      <c r="A12">
        <v>2019</v>
      </c>
      <c r="B12" t="s">
        <v>5</v>
      </c>
      <c r="C12" s="35">
        <v>5088974625.0200005</v>
      </c>
      <c r="D12" s="35">
        <v>3013537</v>
      </c>
    </row>
    <row r="13" spans="1:4" x14ac:dyDescent="0.3">
      <c r="A13">
        <v>2019</v>
      </c>
      <c r="B13" t="s">
        <v>17</v>
      </c>
      <c r="C13" s="35">
        <v>738833890.7299999</v>
      </c>
      <c r="D13" s="35">
        <v>12027593</v>
      </c>
    </row>
    <row r="14" spans="1:4" x14ac:dyDescent="0.3">
      <c r="A14">
        <v>2019</v>
      </c>
      <c r="B14" t="s">
        <v>9</v>
      </c>
      <c r="C14" s="35">
        <v>3620402050.52</v>
      </c>
      <c r="D14" s="35">
        <v>77506448</v>
      </c>
    </row>
    <row r="15" spans="1:4" x14ac:dyDescent="0.3">
      <c r="A15">
        <v>2019</v>
      </c>
      <c r="B15" t="s">
        <v>8</v>
      </c>
      <c r="C15" s="35">
        <v>3021060638.9500008</v>
      </c>
      <c r="D15" s="35">
        <v>261346</v>
      </c>
    </row>
    <row r="16" spans="1:4" x14ac:dyDescent="0.3">
      <c r="A16">
        <v>2019</v>
      </c>
      <c r="B16" t="s">
        <v>6</v>
      </c>
      <c r="C16" s="35">
        <v>6350354587.8100004</v>
      </c>
      <c r="D16" s="35">
        <v>92125508</v>
      </c>
    </row>
    <row r="17" spans="1:4" x14ac:dyDescent="0.3">
      <c r="A17">
        <v>2019</v>
      </c>
      <c r="B17" t="s">
        <v>15</v>
      </c>
      <c r="C17" s="35">
        <v>2897084548.5500002</v>
      </c>
      <c r="D17" s="35">
        <v>54017965</v>
      </c>
    </row>
    <row r="18" spans="1:4" x14ac:dyDescent="0.3">
      <c r="A18">
        <v>2019</v>
      </c>
      <c r="B18" t="s">
        <v>18</v>
      </c>
      <c r="C18" s="35">
        <v>720614492.69000006</v>
      </c>
      <c r="D18" s="35">
        <v>4884210</v>
      </c>
    </row>
    <row r="19" spans="1:4" x14ac:dyDescent="0.3">
      <c r="A19">
        <v>2020</v>
      </c>
      <c r="B19" t="s">
        <v>10</v>
      </c>
      <c r="C19" s="35">
        <v>3449960664.0299988</v>
      </c>
      <c r="D19" s="35">
        <v>107600521</v>
      </c>
    </row>
    <row r="20" spans="1:4" x14ac:dyDescent="0.3">
      <c r="A20">
        <v>2020</v>
      </c>
      <c r="B20" t="s">
        <v>4</v>
      </c>
      <c r="C20" s="35">
        <v>7973567678.1400003</v>
      </c>
      <c r="D20" s="35">
        <v>31177597</v>
      </c>
    </row>
    <row r="21" spans="1:4" x14ac:dyDescent="0.3">
      <c r="A21">
        <v>2020</v>
      </c>
      <c r="B21" t="s">
        <v>13</v>
      </c>
      <c r="C21" s="35">
        <v>2846846951</v>
      </c>
      <c r="D21" s="35">
        <v>33973684</v>
      </c>
    </row>
    <row r="22" spans="1:4" x14ac:dyDescent="0.3">
      <c r="A22">
        <v>2020</v>
      </c>
      <c r="B22" t="s">
        <v>16</v>
      </c>
      <c r="C22" s="35">
        <v>809626344.20000005</v>
      </c>
      <c r="D22" s="35">
        <v>3530924</v>
      </c>
    </row>
    <row r="23" spans="1:4" x14ac:dyDescent="0.3">
      <c r="A23">
        <v>2020</v>
      </c>
      <c r="B23" t="s">
        <v>14</v>
      </c>
      <c r="C23" s="35">
        <v>2068945100.8900001</v>
      </c>
      <c r="D23" s="35">
        <v>43185989</v>
      </c>
    </row>
    <row r="24" spans="1:4" x14ac:dyDescent="0.3">
      <c r="A24">
        <v>2020</v>
      </c>
      <c r="B24" t="s">
        <v>7</v>
      </c>
      <c r="C24" s="35">
        <v>5616563579.0100002</v>
      </c>
      <c r="D24" s="35">
        <v>2367315</v>
      </c>
    </row>
    <row r="25" spans="1:4" x14ac:dyDescent="0.3">
      <c r="A25">
        <v>2020</v>
      </c>
      <c r="B25" t="s">
        <v>11</v>
      </c>
      <c r="C25" s="35">
        <v>4132684883.75</v>
      </c>
      <c r="D25" s="35">
        <v>6877772</v>
      </c>
    </row>
    <row r="26" spans="1:4" x14ac:dyDescent="0.3">
      <c r="A26">
        <v>2020</v>
      </c>
      <c r="B26" t="s">
        <v>3</v>
      </c>
      <c r="C26" s="35">
        <v>7824769339.3600016</v>
      </c>
      <c r="D26" s="35">
        <v>25573127</v>
      </c>
    </row>
    <row r="27" spans="1:4" x14ac:dyDescent="0.3">
      <c r="A27">
        <v>2020</v>
      </c>
      <c r="B27" t="s">
        <v>12</v>
      </c>
      <c r="C27" s="35">
        <v>3916038518.5999999</v>
      </c>
      <c r="D27" s="35">
        <v>60036087</v>
      </c>
    </row>
    <row r="28" spans="1:4" x14ac:dyDescent="0.3">
      <c r="A28">
        <v>2020</v>
      </c>
      <c r="B28" t="s">
        <v>2</v>
      </c>
      <c r="C28" s="35">
        <v>15302193459.83</v>
      </c>
      <c r="D28" s="35">
        <v>162330316</v>
      </c>
    </row>
    <row r="29" spans="1:4" x14ac:dyDescent="0.3">
      <c r="A29">
        <v>2020</v>
      </c>
      <c r="B29" t="s">
        <v>5</v>
      </c>
      <c r="C29" s="35">
        <v>5685536673.4099998</v>
      </c>
      <c r="D29" s="35">
        <v>3044158</v>
      </c>
    </row>
    <row r="30" spans="1:4" x14ac:dyDescent="0.3">
      <c r="A30">
        <v>2020</v>
      </c>
      <c r="B30" t="s">
        <v>17</v>
      </c>
      <c r="C30" s="35">
        <v>831454322.1700002</v>
      </c>
      <c r="D30" s="35">
        <v>11858374</v>
      </c>
    </row>
    <row r="31" spans="1:4" x14ac:dyDescent="0.3">
      <c r="A31">
        <v>2020</v>
      </c>
      <c r="B31" t="s">
        <v>9</v>
      </c>
      <c r="C31" s="35">
        <v>4024804466.3199992</v>
      </c>
      <c r="D31" s="35">
        <v>73963455</v>
      </c>
    </row>
    <row r="32" spans="1:4" x14ac:dyDescent="0.3">
      <c r="A32">
        <v>2020</v>
      </c>
      <c r="B32" t="s">
        <v>8</v>
      </c>
      <c r="C32" s="35">
        <v>3822914664.7199988</v>
      </c>
      <c r="D32" s="35">
        <v>297215</v>
      </c>
    </row>
    <row r="33" spans="1:4" x14ac:dyDescent="0.3">
      <c r="A33">
        <v>2020</v>
      </c>
      <c r="B33" t="s">
        <v>6</v>
      </c>
      <c r="C33" s="35">
        <v>6372513717.0699987</v>
      </c>
      <c r="D33" s="35">
        <v>89940500</v>
      </c>
    </row>
    <row r="34" spans="1:4" x14ac:dyDescent="0.3">
      <c r="A34">
        <v>2020</v>
      </c>
      <c r="B34" t="s">
        <v>15</v>
      </c>
      <c r="C34" s="35">
        <v>2288343959.9699998</v>
      </c>
      <c r="D34" s="35">
        <v>41432548</v>
      </c>
    </row>
    <row r="35" spans="1:4" x14ac:dyDescent="0.3">
      <c r="A35">
        <v>2020</v>
      </c>
      <c r="B35" t="s">
        <v>18</v>
      </c>
      <c r="C35" s="35">
        <v>746838862.06000006</v>
      </c>
      <c r="D35" s="35">
        <v>5103635</v>
      </c>
    </row>
    <row r="36" spans="1:4" x14ac:dyDescent="0.3">
      <c r="A36">
        <v>2021</v>
      </c>
      <c r="B36" t="s">
        <v>10</v>
      </c>
      <c r="C36" s="35">
        <v>4113967579.8699999</v>
      </c>
      <c r="D36" s="35">
        <v>110472261</v>
      </c>
    </row>
    <row r="37" spans="1:4" x14ac:dyDescent="0.3">
      <c r="A37">
        <v>2021</v>
      </c>
      <c r="B37" t="s">
        <v>4</v>
      </c>
      <c r="C37" s="35">
        <v>9724667977.8800011</v>
      </c>
      <c r="D37" s="35">
        <v>32855029</v>
      </c>
    </row>
    <row r="38" spans="1:4" x14ac:dyDescent="0.3">
      <c r="A38">
        <v>2021</v>
      </c>
      <c r="B38" t="s">
        <v>13</v>
      </c>
      <c r="C38" s="35">
        <v>3042056671.2599988</v>
      </c>
      <c r="D38" s="35">
        <v>36300508</v>
      </c>
    </row>
    <row r="39" spans="1:4" x14ac:dyDescent="0.3">
      <c r="A39">
        <v>2021</v>
      </c>
      <c r="B39" t="s">
        <v>16</v>
      </c>
      <c r="C39" s="35">
        <v>962344262.10000002</v>
      </c>
      <c r="D39" s="35">
        <v>3958406</v>
      </c>
    </row>
    <row r="40" spans="1:4" x14ac:dyDescent="0.3">
      <c r="A40">
        <v>2021</v>
      </c>
      <c r="B40" t="s">
        <v>14</v>
      </c>
      <c r="C40" s="35">
        <v>2347979059.6999998</v>
      </c>
      <c r="D40" s="35">
        <v>47603235</v>
      </c>
    </row>
    <row r="41" spans="1:4" x14ac:dyDescent="0.3">
      <c r="A41">
        <v>2021</v>
      </c>
      <c r="B41" t="s">
        <v>7</v>
      </c>
      <c r="C41" s="35">
        <v>5950908585.1599998</v>
      </c>
      <c r="D41" s="35">
        <v>2375710</v>
      </c>
    </row>
    <row r="42" spans="1:4" x14ac:dyDescent="0.3">
      <c r="A42">
        <v>2021</v>
      </c>
      <c r="B42" t="s">
        <v>11</v>
      </c>
      <c r="C42" s="35">
        <v>4525980625.1400003</v>
      </c>
      <c r="D42" s="35">
        <v>7728839</v>
      </c>
    </row>
    <row r="43" spans="1:4" x14ac:dyDescent="0.3">
      <c r="A43">
        <v>2021</v>
      </c>
      <c r="B43" t="s">
        <v>3</v>
      </c>
      <c r="C43" s="35">
        <v>10513534298.41</v>
      </c>
      <c r="D43" s="35">
        <v>29413148</v>
      </c>
    </row>
    <row r="44" spans="1:4" x14ac:dyDescent="0.3">
      <c r="A44">
        <v>2021</v>
      </c>
      <c r="B44" t="s">
        <v>12</v>
      </c>
      <c r="C44" s="35">
        <v>3814791913.5</v>
      </c>
      <c r="D44" s="35">
        <v>65256556</v>
      </c>
    </row>
    <row r="45" spans="1:4" x14ac:dyDescent="0.3">
      <c r="A45">
        <v>2021</v>
      </c>
      <c r="B45" t="s">
        <v>2</v>
      </c>
      <c r="C45" s="35">
        <v>17060601822.940001</v>
      </c>
      <c r="D45" s="35">
        <v>170017844</v>
      </c>
    </row>
    <row r="46" spans="1:4" x14ac:dyDescent="0.3">
      <c r="A46">
        <v>2021</v>
      </c>
      <c r="B46" t="s">
        <v>5</v>
      </c>
      <c r="C46" s="35">
        <v>6317824169.2200003</v>
      </c>
      <c r="D46" s="35">
        <v>3202218</v>
      </c>
    </row>
    <row r="47" spans="1:4" x14ac:dyDescent="0.3">
      <c r="A47">
        <v>2021</v>
      </c>
      <c r="B47" t="s">
        <v>17</v>
      </c>
      <c r="C47" s="35">
        <v>874885272.92000008</v>
      </c>
      <c r="D47" s="35">
        <v>12673301</v>
      </c>
    </row>
    <row r="48" spans="1:4" x14ac:dyDescent="0.3">
      <c r="A48">
        <v>2021</v>
      </c>
      <c r="B48" t="s">
        <v>9</v>
      </c>
      <c r="C48" s="35">
        <v>4342746914.1399994</v>
      </c>
      <c r="D48" s="35">
        <v>78482386</v>
      </c>
    </row>
    <row r="49" spans="1:4" x14ac:dyDescent="0.3">
      <c r="A49">
        <v>2021</v>
      </c>
      <c r="B49" t="s">
        <v>8</v>
      </c>
      <c r="C49" s="35">
        <v>4581771083.79</v>
      </c>
      <c r="D49" s="35">
        <v>275080</v>
      </c>
    </row>
    <row r="50" spans="1:4" x14ac:dyDescent="0.3">
      <c r="A50">
        <v>2021</v>
      </c>
      <c r="B50" t="s">
        <v>6</v>
      </c>
      <c r="C50" s="35">
        <v>6855139112.0499992</v>
      </c>
      <c r="D50" s="35">
        <v>93467821</v>
      </c>
    </row>
    <row r="51" spans="1:4" x14ac:dyDescent="0.3">
      <c r="A51">
        <v>2021</v>
      </c>
      <c r="B51" t="s">
        <v>15</v>
      </c>
      <c r="C51" s="35">
        <v>2149316739.27</v>
      </c>
      <c r="D51" s="35">
        <v>38163209</v>
      </c>
    </row>
    <row r="52" spans="1:4" x14ac:dyDescent="0.3">
      <c r="A52">
        <v>2021</v>
      </c>
      <c r="B52" t="s">
        <v>18</v>
      </c>
      <c r="C52" s="35">
        <v>704622980.82000005</v>
      </c>
      <c r="D52" s="35">
        <v>4910882</v>
      </c>
    </row>
    <row r="53" spans="1:4" x14ac:dyDescent="0.3">
      <c r="A53">
        <v>2022</v>
      </c>
      <c r="B53" t="s">
        <v>10</v>
      </c>
      <c r="C53" s="35">
        <v>4774597297.8900003</v>
      </c>
      <c r="D53" s="35">
        <v>111046466</v>
      </c>
    </row>
    <row r="54" spans="1:4" x14ac:dyDescent="0.3">
      <c r="A54">
        <v>2022</v>
      </c>
      <c r="B54" t="s">
        <v>4</v>
      </c>
      <c r="C54" s="35">
        <v>11889356999.290001</v>
      </c>
      <c r="D54" s="35">
        <v>34265713</v>
      </c>
    </row>
    <row r="55" spans="1:4" x14ac:dyDescent="0.3">
      <c r="A55">
        <v>2022</v>
      </c>
      <c r="B55" t="s">
        <v>13</v>
      </c>
      <c r="C55" s="35">
        <v>3198521160.940001</v>
      </c>
      <c r="D55" s="35">
        <v>36160103</v>
      </c>
    </row>
    <row r="56" spans="1:4" x14ac:dyDescent="0.3">
      <c r="A56">
        <v>2022</v>
      </c>
      <c r="B56" t="s">
        <v>16</v>
      </c>
      <c r="C56" s="35">
        <v>1062653376.97</v>
      </c>
      <c r="D56" s="35">
        <v>4010928</v>
      </c>
    </row>
    <row r="57" spans="1:4" x14ac:dyDescent="0.3">
      <c r="A57">
        <v>2022</v>
      </c>
      <c r="B57" t="s">
        <v>14</v>
      </c>
      <c r="C57" s="35">
        <v>2733523935.0100002</v>
      </c>
      <c r="D57" s="35">
        <v>50727707</v>
      </c>
    </row>
    <row r="58" spans="1:4" x14ac:dyDescent="0.3">
      <c r="A58">
        <v>2022</v>
      </c>
      <c r="B58" t="s">
        <v>7</v>
      </c>
      <c r="C58" s="35">
        <v>6245988202.1499987</v>
      </c>
      <c r="D58" s="35">
        <v>2375699</v>
      </c>
    </row>
    <row r="59" spans="1:4" x14ac:dyDescent="0.3">
      <c r="A59">
        <v>2022</v>
      </c>
      <c r="B59" t="s">
        <v>11</v>
      </c>
      <c r="C59" s="35">
        <v>4571557275.6300001</v>
      </c>
      <c r="D59" s="35">
        <v>7579674</v>
      </c>
    </row>
    <row r="60" spans="1:4" x14ac:dyDescent="0.3">
      <c r="A60">
        <v>2022</v>
      </c>
      <c r="B60" t="s">
        <v>3</v>
      </c>
      <c r="C60" s="35">
        <v>13428508458.440001</v>
      </c>
      <c r="D60" s="35">
        <v>32227851</v>
      </c>
    </row>
    <row r="61" spans="1:4" x14ac:dyDescent="0.3">
      <c r="A61">
        <v>2022</v>
      </c>
      <c r="B61" t="s">
        <v>12</v>
      </c>
      <c r="C61" s="35">
        <v>4121506558.1999989</v>
      </c>
      <c r="D61" s="35">
        <v>76118301</v>
      </c>
    </row>
    <row r="62" spans="1:4" x14ac:dyDescent="0.3">
      <c r="A62">
        <v>2022</v>
      </c>
      <c r="B62" t="s">
        <v>2</v>
      </c>
      <c r="C62" s="35">
        <v>19280030936.389999</v>
      </c>
      <c r="D62" s="35">
        <v>175560689</v>
      </c>
    </row>
    <row r="63" spans="1:4" x14ac:dyDescent="0.3">
      <c r="A63">
        <v>2022</v>
      </c>
      <c r="B63" t="s">
        <v>5</v>
      </c>
      <c r="C63" s="35">
        <v>6988138405.6200008</v>
      </c>
      <c r="D63" s="35">
        <v>3271912</v>
      </c>
    </row>
    <row r="64" spans="1:4" x14ac:dyDescent="0.3">
      <c r="A64">
        <v>2022</v>
      </c>
      <c r="B64" t="s">
        <v>17</v>
      </c>
      <c r="C64" s="35">
        <v>1183167656.5899999</v>
      </c>
      <c r="D64" s="35">
        <v>12728542</v>
      </c>
    </row>
    <row r="65" spans="1:4" x14ac:dyDescent="0.3">
      <c r="A65">
        <v>2022</v>
      </c>
      <c r="B65" t="s">
        <v>9</v>
      </c>
      <c r="C65" s="35">
        <v>5060504960.0899992</v>
      </c>
      <c r="D65" s="35">
        <v>83161390</v>
      </c>
    </row>
    <row r="66" spans="1:4" x14ac:dyDescent="0.3">
      <c r="A66">
        <v>2022</v>
      </c>
      <c r="B66" t="s">
        <v>8</v>
      </c>
      <c r="C66" s="35">
        <v>5416923035.6100006</v>
      </c>
      <c r="D66" s="35">
        <v>281633</v>
      </c>
    </row>
    <row r="67" spans="1:4" x14ac:dyDescent="0.3">
      <c r="A67">
        <v>2022</v>
      </c>
      <c r="B67" t="s">
        <v>6</v>
      </c>
      <c r="C67" s="35">
        <v>7541784673.9300003</v>
      </c>
      <c r="D67" s="35">
        <v>99172285</v>
      </c>
    </row>
    <row r="68" spans="1:4" x14ac:dyDescent="0.3">
      <c r="A68">
        <v>2022</v>
      </c>
      <c r="B68" t="s">
        <v>15</v>
      </c>
      <c r="C68" s="35">
        <v>1941172161.1000011</v>
      </c>
      <c r="D68" s="35">
        <v>33823298</v>
      </c>
    </row>
    <row r="69" spans="1:4" x14ac:dyDescent="0.3">
      <c r="A69">
        <v>2022</v>
      </c>
      <c r="B69" t="s">
        <v>18</v>
      </c>
      <c r="C69" s="35">
        <v>635291699.38999999</v>
      </c>
      <c r="D69" s="35">
        <v>4240076</v>
      </c>
    </row>
    <row r="70" spans="1:4" x14ac:dyDescent="0.3">
      <c r="A70">
        <v>2023</v>
      </c>
      <c r="B70" t="s">
        <v>10</v>
      </c>
      <c r="C70" s="35">
        <v>5194162041.0599995</v>
      </c>
      <c r="D70" s="35">
        <v>112946874</v>
      </c>
    </row>
    <row r="71" spans="1:4" x14ac:dyDescent="0.3">
      <c r="A71">
        <v>2023</v>
      </c>
      <c r="B71" t="s">
        <v>4</v>
      </c>
      <c r="C71" s="35">
        <v>15410516055.07</v>
      </c>
      <c r="D71" s="35">
        <v>36887512</v>
      </c>
    </row>
    <row r="72" spans="1:4" x14ac:dyDescent="0.3">
      <c r="A72">
        <v>2023</v>
      </c>
      <c r="B72" t="s">
        <v>13</v>
      </c>
      <c r="C72" s="35">
        <v>3186383066.48</v>
      </c>
      <c r="D72" s="35">
        <v>36581378</v>
      </c>
    </row>
    <row r="73" spans="1:4" x14ac:dyDescent="0.3">
      <c r="A73">
        <v>2023</v>
      </c>
      <c r="B73" t="s">
        <v>16</v>
      </c>
      <c r="C73" s="35">
        <v>1229253251.3900001</v>
      </c>
      <c r="D73" s="35">
        <v>4286132</v>
      </c>
    </row>
    <row r="74" spans="1:4" x14ac:dyDescent="0.3">
      <c r="A74">
        <v>2023</v>
      </c>
      <c r="B74" t="s">
        <v>14</v>
      </c>
      <c r="C74" s="35">
        <v>3046674705.4099998</v>
      </c>
      <c r="D74" s="35">
        <v>53097582</v>
      </c>
    </row>
    <row r="75" spans="1:4" x14ac:dyDescent="0.3">
      <c r="A75">
        <v>2023</v>
      </c>
      <c r="B75" t="s">
        <v>7</v>
      </c>
      <c r="C75" s="35">
        <v>6582491514.0100002</v>
      </c>
      <c r="D75" s="35">
        <v>2292635</v>
      </c>
    </row>
    <row r="76" spans="1:4" x14ac:dyDescent="0.3">
      <c r="A76">
        <v>2023</v>
      </c>
      <c r="B76" t="s">
        <v>11</v>
      </c>
      <c r="C76" s="35">
        <v>4906163302.2099991</v>
      </c>
      <c r="D76" s="35">
        <v>7319501</v>
      </c>
    </row>
    <row r="77" spans="1:4" x14ac:dyDescent="0.3">
      <c r="A77">
        <v>2023</v>
      </c>
      <c r="B77" t="s">
        <v>3</v>
      </c>
      <c r="C77" s="35">
        <v>16539185073.75</v>
      </c>
      <c r="D77" s="35">
        <v>33823186</v>
      </c>
    </row>
    <row r="78" spans="1:4" x14ac:dyDescent="0.3">
      <c r="A78">
        <v>2023</v>
      </c>
      <c r="B78" t="s">
        <v>12</v>
      </c>
      <c r="C78" s="35">
        <v>4172443186.2800002</v>
      </c>
      <c r="D78" s="35">
        <v>82171436</v>
      </c>
    </row>
    <row r="79" spans="1:4" x14ac:dyDescent="0.3">
      <c r="A79">
        <v>2023</v>
      </c>
      <c r="B79" t="s">
        <v>2</v>
      </c>
      <c r="C79" s="35">
        <v>20254335129.049999</v>
      </c>
      <c r="D79" s="35">
        <v>180056932</v>
      </c>
    </row>
    <row r="80" spans="1:4" x14ac:dyDescent="0.3">
      <c r="A80">
        <v>2023</v>
      </c>
      <c r="B80" t="s">
        <v>5</v>
      </c>
      <c r="C80" s="35">
        <v>8068882972.9100018</v>
      </c>
      <c r="D80" s="35">
        <v>3456041</v>
      </c>
    </row>
    <row r="81" spans="1:4" x14ac:dyDescent="0.3">
      <c r="A81">
        <v>2023</v>
      </c>
      <c r="B81" t="s">
        <v>17</v>
      </c>
      <c r="C81" s="35">
        <v>1475865087.4000001</v>
      </c>
      <c r="D81" s="35">
        <v>13730296</v>
      </c>
    </row>
    <row r="82" spans="1:4" x14ac:dyDescent="0.3">
      <c r="A82">
        <v>2023</v>
      </c>
      <c r="B82" t="s">
        <v>9</v>
      </c>
      <c r="C82" s="35">
        <v>5508613287.7099991</v>
      </c>
      <c r="D82" s="35">
        <v>84449586</v>
      </c>
    </row>
    <row r="83" spans="1:4" x14ac:dyDescent="0.3">
      <c r="A83">
        <v>2023</v>
      </c>
      <c r="B83" t="s">
        <v>8</v>
      </c>
      <c r="C83" s="35">
        <v>5994996988.9399996</v>
      </c>
      <c r="D83" s="35">
        <v>291691</v>
      </c>
    </row>
    <row r="84" spans="1:4" x14ac:dyDescent="0.3">
      <c r="A84">
        <v>2023</v>
      </c>
      <c r="B84" t="s">
        <v>6</v>
      </c>
      <c r="C84" s="35">
        <v>7731687294.9200001</v>
      </c>
      <c r="D84" s="35">
        <v>101137162</v>
      </c>
    </row>
    <row r="85" spans="1:4" x14ac:dyDescent="0.3">
      <c r="A85">
        <v>2023</v>
      </c>
      <c r="B85" t="s">
        <v>15</v>
      </c>
      <c r="C85" s="35">
        <v>1810471216.49</v>
      </c>
      <c r="D85" s="35">
        <v>28561602</v>
      </c>
    </row>
    <row r="86" spans="1:4" x14ac:dyDescent="0.3">
      <c r="A86">
        <v>2023</v>
      </c>
      <c r="B86" t="s">
        <v>18</v>
      </c>
      <c r="C86" s="35">
        <v>630247310.91999996</v>
      </c>
      <c r="D86" s="35">
        <v>3357135</v>
      </c>
    </row>
    <row r="87" spans="1:4" x14ac:dyDescent="0.3">
      <c r="A87">
        <v>2024</v>
      </c>
      <c r="B87" t="s">
        <v>10</v>
      </c>
      <c r="C87" s="35">
        <v>5332477046.8199997</v>
      </c>
      <c r="D87" s="35">
        <v>104710900</v>
      </c>
    </row>
    <row r="88" spans="1:4" x14ac:dyDescent="0.3">
      <c r="A88">
        <v>2024</v>
      </c>
      <c r="B88" t="s">
        <v>4</v>
      </c>
      <c r="C88" s="35">
        <v>15377275434.58</v>
      </c>
      <c r="D88" s="35">
        <v>36030242</v>
      </c>
    </row>
    <row r="89" spans="1:4" x14ac:dyDescent="0.3">
      <c r="A89">
        <v>2024</v>
      </c>
      <c r="B89" t="s">
        <v>13</v>
      </c>
      <c r="C89" s="35">
        <v>3129250322.8400002</v>
      </c>
      <c r="D89" s="35">
        <v>32594955</v>
      </c>
    </row>
    <row r="90" spans="1:4" x14ac:dyDescent="0.3">
      <c r="A90">
        <v>2024</v>
      </c>
      <c r="B90" t="s">
        <v>16</v>
      </c>
      <c r="C90" s="35">
        <v>1289992162.21</v>
      </c>
      <c r="D90" s="35">
        <v>4151671</v>
      </c>
    </row>
    <row r="91" spans="1:4" x14ac:dyDescent="0.3">
      <c r="A91">
        <v>2024</v>
      </c>
      <c r="B91" t="s">
        <v>14</v>
      </c>
      <c r="C91" s="35">
        <v>2829417258.6999998</v>
      </c>
      <c r="D91" s="35">
        <v>50900689</v>
      </c>
    </row>
    <row r="92" spans="1:4" x14ac:dyDescent="0.3">
      <c r="A92">
        <v>2024</v>
      </c>
      <c r="B92" t="s">
        <v>7</v>
      </c>
      <c r="C92" s="35">
        <v>6382105261.4700003</v>
      </c>
      <c r="D92" s="35">
        <v>2062950</v>
      </c>
    </row>
    <row r="93" spans="1:4" x14ac:dyDescent="0.3">
      <c r="A93">
        <v>2024</v>
      </c>
      <c r="B93" t="s">
        <v>11</v>
      </c>
      <c r="C93" s="35">
        <v>4574603915.6599998</v>
      </c>
      <c r="D93" s="35">
        <v>6692930</v>
      </c>
    </row>
    <row r="94" spans="1:4" x14ac:dyDescent="0.3">
      <c r="A94">
        <v>2024</v>
      </c>
      <c r="B94" t="s">
        <v>3</v>
      </c>
      <c r="C94" s="35">
        <v>16791466504.559999</v>
      </c>
      <c r="D94" s="35">
        <v>31873343</v>
      </c>
    </row>
    <row r="95" spans="1:4" x14ac:dyDescent="0.3">
      <c r="A95">
        <v>2024</v>
      </c>
      <c r="B95" t="s">
        <v>12</v>
      </c>
      <c r="C95" s="35">
        <v>3869629107.5900011</v>
      </c>
      <c r="D95" s="35">
        <v>76725288</v>
      </c>
    </row>
    <row r="96" spans="1:4" x14ac:dyDescent="0.3">
      <c r="A96">
        <v>2024</v>
      </c>
      <c r="B96" t="s">
        <v>2</v>
      </c>
      <c r="C96" s="35">
        <v>20175297196.560001</v>
      </c>
      <c r="D96" s="35">
        <v>172089810</v>
      </c>
    </row>
    <row r="97" spans="1:4" x14ac:dyDescent="0.3">
      <c r="A97">
        <v>2024</v>
      </c>
      <c r="B97" t="s">
        <v>5</v>
      </c>
      <c r="C97" s="35">
        <v>7848969352.420001</v>
      </c>
      <c r="D97" s="35">
        <v>3238030</v>
      </c>
    </row>
    <row r="98" spans="1:4" x14ac:dyDescent="0.3">
      <c r="A98">
        <v>2024</v>
      </c>
      <c r="B98" t="s">
        <v>17</v>
      </c>
      <c r="C98" s="35">
        <v>905972454.86000037</v>
      </c>
      <c r="D98" s="35">
        <v>12657214</v>
      </c>
    </row>
    <row r="99" spans="1:4" x14ac:dyDescent="0.3">
      <c r="A99">
        <v>2024</v>
      </c>
      <c r="B99" t="s">
        <v>9</v>
      </c>
      <c r="C99" s="35">
        <v>4610441434.5699997</v>
      </c>
      <c r="D99" s="35">
        <v>80804026</v>
      </c>
    </row>
    <row r="100" spans="1:4" x14ac:dyDescent="0.3">
      <c r="A100">
        <v>2024</v>
      </c>
      <c r="B100" t="s">
        <v>8</v>
      </c>
      <c r="C100" s="35">
        <v>6302085056.9299994</v>
      </c>
      <c r="D100" s="35">
        <v>290115</v>
      </c>
    </row>
    <row r="101" spans="1:4" x14ac:dyDescent="0.3">
      <c r="A101">
        <v>2024</v>
      </c>
      <c r="B101" t="s">
        <v>6</v>
      </c>
      <c r="C101" s="35">
        <v>6660182584.9500008</v>
      </c>
      <c r="D101" s="35">
        <v>95951607</v>
      </c>
    </row>
    <row r="102" spans="1:4" x14ac:dyDescent="0.3">
      <c r="A102">
        <v>2024</v>
      </c>
      <c r="B102" t="s">
        <v>15</v>
      </c>
      <c r="C102" s="35">
        <v>1601214345.97</v>
      </c>
      <c r="D102" s="35">
        <v>23609290</v>
      </c>
    </row>
    <row r="103" spans="1:4" x14ac:dyDescent="0.3">
      <c r="A103">
        <v>2024</v>
      </c>
      <c r="B103" t="s">
        <v>18</v>
      </c>
      <c r="C103" s="35">
        <v>637483203.82000005</v>
      </c>
      <c r="D103" s="35">
        <v>3167168</v>
      </c>
    </row>
    <row r="104" spans="1:4" x14ac:dyDescent="0.3">
      <c r="A104">
        <v>2025</v>
      </c>
      <c r="B104" t="s">
        <v>10</v>
      </c>
      <c r="C104" s="35">
        <v>5613903564.7699986</v>
      </c>
      <c r="D104" s="35">
        <v>102576384</v>
      </c>
    </row>
    <row r="105" spans="1:4" x14ac:dyDescent="0.3">
      <c r="A105">
        <v>2025</v>
      </c>
      <c r="B105" t="s">
        <v>4</v>
      </c>
      <c r="C105" s="35">
        <v>18377268415.490002</v>
      </c>
      <c r="D105" s="35">
        <v>37847438</v>
      </c>
    </row>
    <row r="106" spans="1:4" x14ac:dyDescent="0.3">
      <c r="A106">
        <v>2025</v>
      </c>
      <c r="B106" t="s">
        <v>13</v>
      </c>
      <c r="C106" s="35">
        <v>3398245338.1499991</v>
      </c>
      <c r="D106" s="35">
        <v>32048274</v>
      </c>
    </row>
    <row r="107" spans="1:4" x14ac:dyDescent="0.3">
      <c r="A107">
        <v>2025</v>
      </c>
      <c r="B107" t="s">
        <v>16</v>
      </c>
      <c r="C107" s="35">
        <v>1476823549.1199999</v>
      </c>
      <c r="D107" s="35">
        <v>4289810</v>
      </c>
    </row>
    <row r="108" spans="1:4" x14ac:dyDescent="0.3">
      <c r="A108">
        <v>2025</v>
      </c>
      <c r="B108" t="s">
        <v>14</v>
      </c>
      <c r="C108" s="35">
        <v>2903586633.8800001</v>
      </c>
      <c r="D108" s="35">
        <v>50326130</v>
      </c>
    </row>
    <row r="109" spans="1:4" x14ac:dyDescent="0.3">
      <c r="A109">
        <v>2025</v>
      </c>
      <c r="B109" t="s">
        <v>7</v>
      </c>
      <c r="C109" s="35">
        <v>6638337812.5599995</v>
      </c>
      <c r="D109" s="35">
        <v>1987825</v>
      </c>
    </row>
    <row r="110" spans="1:4" x14ac:dyDescent="0.3">
      <c r="A110">
        <v>2025</v>
      </c>
      <c r="B110" t="s">
        <v>11</v>
      </c>
      <c r="C110" s="35">
        <v>4608627265.96</v>
      </c>
      <c r="D110" s="35">
        <v>5976268</v>
      </c>
    </row>
    <row r="111" spans="1:4" x14ac:dyDescent="0.3">
      <c r="A111">
        <v>2025</v>
      </c>
      <c r="B111" t="s">
        <v>3</v>
      </c>
      <c r="C111" s="35">
        <v>18742379880.98</v>
      </c>
      <c r="D111" s="35">
        <v>31300764</v>
      </c>
    </row>
    <row r="112" spans="1:4" x14ac:dyDescent="0.3">
      <c r="A112">
        <v>2025</v>
      </c>
      <c r="B112" t="s">
        <v>12</v>
      </c>
      <c r="C112" s="35">
        <v>3406019010.0100002</v>
      </c>
      <c r="D112" s="35">
        <v>72467803</v>
      </c>
    </row>
    <row r="113" spans="1:4" x14ac:dyDescent="0.3">
      <c r="A113">
        <v>2025</v>
      </c>
      <c r="B113" t="s">
        <v>2</v>
      </c>
      <c r="C113" s="35">
        <v>21906779629.02</v>
      </c>
      <c r="D113" s="35">
        <v>172186425</v>
      </c>
    </row>
    <row r="114" spans="1:4" x14ac:dyDescent="0.3">
      <c r="A114">
        <v>2025</v>
      </c>
      <c r="B114" t="s">
        <v>5</v>
      </c>
      <c r="C114" s="35">
        <v>8650779845.6900005</v>
      </c>
      <c r="D114" s="35">
        <v>3242252</v>
      </c>
    </row>
    <row r="115" spans="1:4" x14ac:dyDescent="0.3">
      <c r="A115">
        <v>2025</v>
      </c>
      <c r="B115" t="s">
        <v>17</v>
      </c>
      <c r="C115" s="35">
        <v>632719185.23000002</v>
      </c>
      <c r="D115" s="35">
        <v>12341529</v>
      </c>
    </row>
    <row r="116" spans="1:4" x14ac:dyDescent="0.3">
      <c r="A116">
        <v>2025</v>
      </c>
      <c r="B116" t="s">
        <v>9</v>
      </c>
      <c r="C116" s="35">
        <v>4572586940.8000011</v>
      </c>
      <c r="D116" s="35">
        <v>81922985</v>
      </c>
    </row>
    <row r="117" spans="1:4" x14ac:dyDescent="0.3">
      <c r="A117">
        <v>2025</v>
      </c>
      <c r="B117" t="s">
        <v>8</v>
      </c>
      <c r="C117" s="35">
        <v>6655279600.9099998</v>
      </c>
      <c r="D117" s="35">
        <v>287774</v>
      </c>
    </row>
    <row r="118" spans="1:4" x14ac:dyDescent="0.3">
      <c r="A118">
        <v>2025</v>
      </c>
      <c r="B118" t="s">
        <v>6</v>
      </c>
      <c r="C118" s="35">
        <v>6716087866.6099987</v>
      </c>
      <c r="D118" s="35">
        <v>92869697</v>
      </c>
    </row>
    <row r="119" spans="1:4" x14ac:dyDescent="0.3">
      <c r="A119">
        <v>2025</v>
      </c>
      <c r="B119" t="s">
        <v>15</v>
      </c>
      <c r="C119" s="35">
        <v>1958771689.1199989</v>
      </c>
      <c r="D119" s="35">
        <v>20697381</v>
      </c>
    </row>
    <row r="120" spans="1:4" x14ac:dyDescent="0.3">
      <c r="A120">
        <v>2025</v>
      </c>
      <c r="B120" t="s">
        <v>18</v>
      </c>
      <c r="C120" s="35">
        <v>633372894.65999997</v>
      </c>
      <c r="D120" s="35">
        <v>3119433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4A3B8"/>
  </sheetPr>
  <dimension ref="A1:E358"/>
  <sheetViews>
    <sheetView showGridLines="0" workbookViewId="0">
      <pane ySplit="1" topLeftCell="A2" activePane="bottomLeft" state="frozen"/>
      <selection pane="bottomLeft"/>
    </sheetView>
  </sheetViews>
  <sheetFormatPr defaultRowHeight="14.4" x14ac:dyDescent="0.3"/>
  <cols>
    <col min="1" max="2" width="8.6640625" customWidth="1"/>
    <col min="3" max="5" width="14.6640625" style="36" customWidth="1"/>
  </cols>
  <sheetData>
    <row r="1" spans="1:5" x14ac:dyDescent="0.3">
      <c r="A1" s="9" t="s">
        <v>25</v>
      </c>
      <c r="B1" s="9" t="s">
        <v>26</v>
      </c>
      <c r="C1" s="9" t="s">
        <v>83</v>
      </c>
      <c r="D1" s="9" t="s">
        <v>84</v>
      </c>
      <c r="E1" s="9" t="s">
        <v>85</v>
      </c>
    </row>
    <row r="2" spans="1:5" x14ac:dyDescent="0.3">
      <c r="A2" t="s">
        <v>31</v>
      </c>
      <c r="B2">
        <v>2019</v>
      </c>
      <c r="C2" s="36">
        <v>1</v>
      </c>
    </row>
    <row r="3" spans="1:5" x14ac:dyDescent="0.3">
      <c r="A3" t="s">
        <v>31</v>
      </c>
      <c r="B3">
        <v>2020</v>
      </c>
      <c r="C3" s="36">
        <v>1</v>
      </c>
      <c r="D3" s="36">
        <v>-4.2099999999999999E-2</v>
      </c>
      <c r="E3" s="36">
        <f t="shared" ref="E3:E8" si="0">ABS(D3)</f>
        <v>4.2099999999999999E-2</v>
      </c>
    </row>
    <row r="4" spans="1:5" x14ac:dyDescent="0.3">
      <c r="A4" t="s">
        <v>31</v>
      </c>
      <c r="B4">
        <v>2021</v>
      </c>
      <c r="C4" s="36">
        <v>1</v>
      </c>
      <c r="D4" s="36">
        <v>0.17430000000000001</v>
      </c>
      <c r="E4" s="36">
        <f t="shared" si="0"/>
        <v>0.17430000000000001</v>
      </c>
    </row>
    <row r="5" spans="1:5" x14ac:dyDescent="0.3">
      <c r="A5" t="s">
        <v>31</v>
      </c>
      <c r="B5">
        <v>2022</v>
      </c>
      <c r="C5" s="36">
        <v>1</v>
      </c>
      <c r="D5" s="36">
        <v>0.1888</v>
      </c>
      <c r="E5" s="36">
        <f t="shared" si="0"/>
        <v>0.1888</v>
      </c>
    </row>
    <row r="6" spans="1:5" x14ac:dyDescent="0.3">
      <c r="A6" t="s">
        <v>31</v>
      </c>
      <c r="B6">
        <v>2023</v>
      </c>
      <c r="C6" s="36">
        <v>1</v>
      </c>
      <c r="D6" s="36">
        <v>2.18E-2</v>
      </c>
      <c r="E6" s="36">
        <f t="shared" si="0"/>
        <v>2.18E-2</v>
      </c>
    </row>
    <row r="7" spans="1:5" x14ac:dyDescent="0.3">
      <c r="A7" t="s">
        <v>31</v>
      </c>
      <c r="B7">
        <v>2024</v>
      </c>
      <c r="C7" s="36">
        <v>1</v>
      </c>
      <c r="D7" s="36">
        <v>-1.9099999999999999E-2</v>
      </c>
      <c r="E7" s="36">
        <f t="shared" si="0"/>
        <v>1.9099999999999999E-2</v>
      </c>
    </row>
    <row r="8" spans="1:5" x14ac:dyDescent="0.3">
      <c r="A8" t="s">
        <v>31</v>
      </c>
      <c r="B8">
        <v>2025</v>
      </c>
      <c r="C8" s="36">
        <v>0.99990000000000001</v>
      </c>
      <c r="D8" s="36">
        <v>-1.4999999999999999E-2</v>
      </c>
      <c r="E8" s="36">
        <f t="shared" si="0"/>
        <v>1.4999999999999999E-2</v>
      </c>
    </row>
    <row r="9" spans="1:5" x14ac:dyDescent="0.3">
      <c r="A9" t="s">
        <v>32</v>
      </c>
      <c r="B9">
        <v>2019</v>
      </c>
      <c r="C9" s="36">
        <v>1</v>
      </c>
    </row>
    <row r="10" spans="1:5" x14ac:dyDescent="0.3">
      <c r="A10" t="s">
        <v>32</v>
      </c>
      <c r="B10">
        <v>2020</v>
      </c>
      <c r="C10" s="36">
        <v>1</v>
      </c>
      <c r="D10" s="36">
        <v>2.4799999999999999E-2</v>
      </c>
      <c r="E10" s="36">
        <f t="shared" ref="E10:E15" si="1">ABS(D10)</f>
        <v>2.4799999999999999E-2</v>
      </c>
    </row>
    <row r="11" spans="1:5" x14ac:dyDescent="0.3">
      <c r="A11" t="s">
        <v>32</v>
      </c>
      <c r="B11">
        <v>2021</v>
      </c>
      <c r="C11" s="36">
        <v>1</v>
      </c>
      <c r="D11" s="36">
        <v>0.15310000000000001</v>
      </c>
      <c r="E11" s="36">
        <f t="shared" si="1"/>
        <v>0.15310000000000001</v>
      </c>
    </row>
    <row r="12" spans="1:5" x14ac:dyDescent="0.3">
      <c r="A12" t="s">
        <v>32</v>
      </c>
      <c r="B12">
        <v>2022</v>
      </c>
      <c r="C12" s="36">
        <v>1</v>
      </c>
      <c r="D12" s="36">
        <v>6.4600000000000005E-2</v>
      </c>
      <c r="E12" s="36">
        <f t="shared" si="1"/>
        <v>6.4600000000000005E-2</v>
      </c>
    </row>
    <row r="13" spans="1:5" x14ac:dyDescent="0.3">
      <c r="A13" t="s">
        <v>32</v>
      </c>
      <c r="B13">
        <v>2023</v>
      </c>
      <c r="C13" s="36">
        <v>1</v>
      </c>
      <c r="D13" s="36">
        <v>6.8699999999999997E-2</v>
      </c>
      <c r="E13" s="36">
        <f t="shared" si="1"/>
        <v>6.8699999999999997E-2</v>
      </c>
    </row>
    <row r="14" spans="1:5" x14ac:dyDescent="0.3">
      <c r="A14" t="s">
        <v>32</v>
      </c>
      <c r="B14">
        <v>2024</v>
      </c>
      <c r="C14" s="36">
        <v>1</v>
      </c>
      <c r="D14" s="36">
        <v>-6.54E-2</v>
      </c>
      <c r="E14" s="36">
        <f t="shared" si="1"/>
        <v>6.54E-2</v>
      </c>
    </row>
    <row r="15" spans="1:5" x14ac:dyDescent="0.3">
      <c r="A15" t="s">
        <v>32</v>
      </c>
      <c r="B15">
        <v>2025</v>
      </c>
      <c r="C15" s="36">
        <v>1</v>
      </c>
      <c r="D15" s="36">
        <v>-1.6199999999999999E-2</v>
      </c>
      <c r="E15" s="36">
        <f t="shared" si="1"/>
        <v>1.6199999999999999E-2</v>
      </c>
    </row>
    <row r="16" spans="1:5" x14ac:dyDescent="0.3">
      <c r="A16" t="s">
        <v>33</v>
      </c>
      <c r="B16">
        <v>2019</v>
      </c>
      <c r="C16" s="36">
        <v>0.83199999999999996</v>
      </c>
    </row>
    <row r="17" spans="1:5" x14ac:dyDescent="0.3">
      <c r="A17" t="s">
        <v>33</v>
      </c>
      <c r="B17">
        <v>2020</v>
      </c>
      <c r="C17" s="36">
        <v>0.80579999999999996</v>
      </c>
      <c r="D17" s="36">
        <v>-5.1000000000000004E-3</v>
      </c>
      <c r="E17" s="36">
        <f t="shared" ref="E17:E22" si="2">ABS(D17)</f>
        <v>5.1000000000000004E-3</v>
      </c>
    </row>
    <row r="18" spans="1:5" x14ac:dyDescent="0.3">
      <c r="A18" t="s">
        <v>33</v>
      </c>
      <c r="B18">
        <v>2021</v>
      </c>
      <c r="C18" s="36">
        <v>0.79790000000000005</v>
      </c>
      <c r="D18" s="36">
        <v>3.8699999999999998E-2</v>
      </c>
      <c r="E18" s="36">
        <f t="shared" si="2"/>
        <v>3.8699999999999998E-2</v>
      </c>
    </row>
    <row r="19" spans="1:5" x14ac:dyDescent="0.3">
      <c r="A19" t="s">
        <v>33</v>
      </c>
      <c r="B19">
        <v>2022</v>
      </c>
      <c r="C19" s="36">
        <v>0.80910000000000004</v>
      </c>
      <c r="D19" s="36">
        <v>0.2135</v>
      </c>
      <c r="E19" s="36">
        <f t="shared" si="2"/>
        <v>0.2135</v>
      </c>
    </row>
    <row r="20" spans="1:5" x14ac:dyDescent="0.3">
      <c r="A20" t="s">
        <v>33</v>
      </c>
      <c r="B20">
        <v>2023</v>
      </c>
      <c r="C20" s="36">
        <v>0.81179999999999997</v>
      </c>
      <c r="D20" s="36">
        <v>4.41E-2</v>
      </c>
      <c r="E20" s="36">
        <f t="shared" si="2"/>
        <v>4.41E-2</v>
      </c>
    </row>
    <row r="21" spans="1:5" x14ac:dyDescent="0.3">
      <c r="A21" t="s">
        <v>33</v>
      </c>
      <c r="B21">
        <v>2024</v>
      </c>
      <c r="C21" s="36">
        <v>0.81669999999999998</v>
      </c>
      <c r="D21" s="36">
        <v>-0.12330000000000001</v>
      </c>
      <c r="E21" s="36">
        <f t="shared" si="2"/>
        <v>0.12330000000000001</v>
      </c>
    </row>
    <row r="22" spans="1:5" x14ac:dyDescent="0.3">
      <c r="A22" t="s">
        <v>33</v>
      </c>
      <c r="B22">
        <v>2025</v>
      </c>
      <c r="C22" s="36">
        <v>0.82140000000000002</v>
      </c>
      <c r="D22" s="36">
        <v>4.7500000000000001E-2</v>
      </c>
      <c r="E22" s="36">
        <f t="shared" si="2"/>
        <v>4.7500000000000001E-2</v>
      </c>
    </row>
    <row r="23" spans="1:5" x14ac:dyDescent="0.3">
      <c r="A23" t="s">
        <v>34</v>
      </c>
      <c r="B23">
        <v>2019</v>
      </c>
      <c r="C23" s="36">
        <v>1.7100000000000001E-2</v>
      </c>
    </row>
    <row r="24" spans="1:5" x14ac:dyDescent="0.3">
      <c r="A24" t="s">
        <v>34</v>
      </c>
      <c r="B24">
        <v>2020</v>
      </c>
      <c r="C24" s="36">
        <v>1.43E-2</v>
      </c>
      <c r="D24" s="36">
        <v>0.1174</v>
      </c>
      <c r="E24" s="36">
        <f t="shared" ref="E24:E29" si="3">ABS(D24)</f>
        <v>0.1174</v>
      </c>
    </row>
    <row r="25" spans="1:5" x14ac:dyDescent="0.3">
      <c r="A25" t="s">
        <v>34</v>
      </c>
      <c r="B25">
        <v>2021</v>
      </c>
      <c r="C25" s="36">
        <v>1.7899999999999999E-2</v>
      </c>
      <c r="D25" s="36">
        <v>8.5300000000000001E-2</v>
      </c>
      <c r="E25" s="36">
        <f t="shared" si="3"/>
        <v>8.5300000000000001E-2</v>
      </c>
    </row>
    <row r="26" spans="1:5" x14ac:dyDescent="0.3">
      <c r="A26" t="s">
        <v>34</v>
      </c>
      <c r="B26">
        <v>2022</v>
      </c>
      <c r="C26" s="36">
        <v>1.7500000000000002E-2</v>
      </c>
      <c r="D26" s="36">
        <v>0.15260000000000001</v>
      </c>
      <c r="E26" s="36">
        <f t="shared" si="3"/>
        <v>0.15260000000000001</v>
      </c>
    </row>
    <row r="27" spans="1:5" x14ac:dyDescent="0.3">
      <c r="A27" t="s">
        <v>34</v>
      </c>
      <c r="B27">
        <v>2023</v>
      </c>
      <c r="C27" s="36">
        <v>2.58E-2</v>
      </c>
      <c r="D27" s="36">
        <v>5.4999999999999997E-3</v>
      </c>
      <c r="E27" s="36">
        <f t="shared" si="3"/>
        <v>5.4999999999999997E-3</v>
      </c>
    </row>
    <row r="28" spans="1:5" x14ac:dyDescent="0.3">
      <c r="A28" t="s">
        <v>34</v>
      </c>
      <c r="B28">
        <v>2024</v>
      </c>
      <c r="C28" s="36">
        <v>1.77E-2</v>
      </c>
      <c r="D28" s="36">
        <v>3.2500000000000001E-2</v>
      </c>
      <c r="E28" s="36">
        <f t="shared" si="3"/>
        <v>3.2500000000000001E-2</v>
      </c>
    </row>
    <row r="29" spans="1:5" x14ac:dyDescent="0.3">
      <c r="A29" t="s">
        <v>34</v>
      </c>
      <c r="B29">
        <v>2025</v>
      </c>
      <c r="C29" s="36">
        <v>2.8199999999999999E-2</v>
      </c>
      <c r="D29" s="36">
        <v>1.1000000000000001E-3</v>
      </c>
      <c r="E29" s="36">
        <f t="shared" si="3"/>
        <v>1.1000000000000001E-3</v>
      </c>
    </row>
    <row r="30" spans="1:5" x14ac:dyDescent="0.3">
      <c r="A30" t="s">
        <v>35</v>
      </c>
      <c r="B30">
        <v>2019</v>
      </c>
      <c r="C30" s="36">
        <v>0.51529999999999998</v>
      </c>
    </row>
    <row r="31" spans="1:5" x14ac:dyDescent="0.3">
      <c r="A31" t="s">
        <v>35</v>
      </c>
      <c r="B31">
        <v>2020</v>
      </c>
      <c r="C31" s="36">
        <v>0.50009999999999999</v>
      </c>
      <c r="D31" s="36">
        <v>2.3699999999999999E-2</v>
      </c>
      <c r="E31" s="36">
        <f t="shared" ref="E31:E36" si="4">ABS(D31)</f>
        <v>2.3699999999999999E-2</v>
      </c>
    </row>
    <row r="32" spans="1:5" x14ac:dyDescent="0.3">
      <c r="A32" t="s">
        <v>35</v>
      </c>
      <c r="B32">
        <v>2021</v>
      </c>
      <c r="C32" s="36">
        <v>0.4975</v>
      </c>
      <c r="D32" s="36">
        <v>9.4500000000000001E-2</v>
      </c>
      <c r="E32" s="36">
        <f t="shared" si="4"/>
        <v>9.4500000000000001E-2</v>
      </c>
    </row>
    <row r="33" spans="1:5" x14ac:dyDescent="0.3">
      <c r="A33" t="s">
        <v>35</v>
      </c>
      <c r="B33">
        <v>2022</v>
      </c>
      <c r="C33" s="36">
        <v>0.9194</v>
      </c>
      <c r="D33" s="36">
        <v>0.2752</v>
      </c>
      <c r="E33" s="36">
        <f t="shared" si="4"/>
        <v>0.2752</v>
      </c>
    </row>
    <row r="34" spans="1:5" x14ac:dyDescent="0.3">
      <c r="A34" t="s">
        <v>35</v>
      </c>
      <c r="B34">
        <v>2023</v>
      </c>
      <c r="C34" s="36">
        <v>0.90680000000000005</v>
      </c>
      <c r="D34" s="36">
        <v>0.2319</v>
      </c>
      <c r="E34" s="36">
        <f t="shared" si="4"/>
        <v>0.2319</v>
      </c>
    </row>
    <row r="35" spans="1:5" x14ac:dyDescent="0.3">
      <c r="A35" t="s">
        <v>35</v>
      </c>
      <c r="B35">
        <v>2024</v>
      </c>
      <c r="C35" s="36">
        <v>0.94350000000000001</v>
      </c>
      <c r="D35" s="36">
        <v>8.1600000000000006E-2</v>
      </c>
      <c r="E35" s="36">
        <f t="shared" si="4"/>
        <v>8.1600000000000006E-2</v>
      </c>
    </row>
    <row r="36" spans="1:5" x14ac:dyDescent="0.3">
      <c r="A36" t="s">
        <v>35</v>
      </c>
      <c r="B36">
        <v>2025</v>
      </c>
      <c r="C36" s="36">
        <v>0.96260000000000001</v>
      </c>
      <c r="D36" s="36">
        <v>0.12820000000000001</v>
      </c>
      <c r="E36" s="36">
        <f t="shared" si="4"/>
        <v>0.12820000000000001</v>
      </c>
    </row>
    <row r="37" spans="1:5" x14ac:dyDescent="0.3">
      <c r="A37" t="s">
        <v>36</v>
      </c>
      <c r="B37">
        <v>2019</v>
      </c>
      <c r="C37" s="36">
        <v>0.95589999999999997</v>
      </c>
    </row>
    <row r="38" spans="1:5" x14ac:dyDescent="0.3">
      <c r="A38" t="s">
        <v>36</v>
      </c>
      <c r="B38">
        <v>2020</v>
      </c>
      <c r="C38" s="36">
        <v>0.95720000000000005</v>
      </c>
      <c r="D38" s="36">
        <v>7.22E-2</v>
      </c>
      <c r="E38" s="36">
        <f t="shared" ref="E38:E43" si="5">ABS(D38)</f>
        <v>7.22E-2</v>
      </c>
    </row>
    <row r="39" spans="1:5" x14ac:dyDescent="0.3">
      <c r="A39" t="s">
        <v>36</v>
      </c>
      <c r="B39">
        <v>2021</v>
      </c>
      <c r="C39" s="36">
        <v>0.95820000000000005</v>
      </c>
      <c r="D39" s="36">
        <v>0.1522</v>
      </c>
      <c r="E39" s="36">
        <f t="shared" si="5"/>
        <v>0.1522</v>
      </c>
    </row>
    <row r="40" spans="1:5" x14ac:dyDescent="0.3">
      <c r="A40" t="s">
        <v>36</v>
      </c>
      <c r="B40">
        <v>2022</v>
      </c>
      <c r="C40" s="36">
        <v>0.95779999999999998</v>
      </c>
      <c r="D40" s="36">
        <v>0.12520000000000001</v>
      </c>
      <c r="E40" s="36">
        <f t="shared" si="5"/>
        <v>0.12520000000000001</v>
      </c>
    </row>
    <row r="41" spans="1:5" x14ac:dyDescent="0.3">
      <c r="A41" t="s">
        <v>36</v>
      </c>
      <c r="B41">
        <v>2023</v>
      </c>
      <c r="C41" s="36">
        <v>0.9627</v>
      </c>
      <c r="D41" s="36">
        <v>9.4600000000000004E-2</v>
      </c>
      <c r="E41" s="36">
        <f t="shared" si="5"/>
        <v>9.4600000000000004E-2</v>
      </c>
    </row>
    <row r="42" spans="1:5" x14ac:dyDescent="0.3">
      <c r="A42" t="s">
        <v>36</v>
      </c>
      <c r="B42">
        <v>2024</v>
      </c>
      <c r="C42" s="36">
        <v>0.96240000000000003</v>
      </c>
      <c r="D42" s="36">
        <v>-5.8999999999999997E-2</v>
      </c>
      <c r="E42" s="36">
        <f t="shared" si="5"/>
        <v>5.8999999999999997E-2</v>
      </c>
    </row>
    <row r="43" spans="1:5" x14ac:dyDescent="0.3">
      <c r="A43" t="s">
        <v>36</v>
      </c>
      <c r="B43">
        <v>2025</v>
      </c>
      <c r="C43" s="36">
        <v>0.95950000000000002</v>
      </c>
      <c r="D43" s="36">
        <v>0.10390000000000001</v>
      </c>
      <c r="E43" s="36">
        <f t="shared" si="5"/>
        <v>0.10390000000000001</v>
      </c>
    </row>
    <row r="44" spans="1:5" x14ac:dyDescent="0.3">
      <c r="A44" t="s">
        <v>37</v>
      </c>
      <c r="B44">
        <v>2019</v>
      </c>
      <c r="C44" s="36">
        <v>1</v>
      </c>
    </row>
    <row r="45" spans="1:5" x14ac:dyDescent="0.3">
      <c r="A45" t="s">
        <v>37</v>
      </c>
      <c r="B45">
        <v>2020</v>
      </c>
      <c r="C45" s="36">
        <v>1</v>
      </c>
      <c r="D45" s="36">
        <v>4.9200000000000001E-2</v>
      </c>
      <c r="E45" s="36">
        <f t="shared" ref="E45:E50" si="6">ABS(D45)</f>
        <v>4.9200000000000001E-2</v>
      </c>
    </row>
    <row r="46" spans="1:5" x14ac:dyDescent="0.3">
      <c r="A46" t="s">
        <v>37</v>
      </c>
      <c r="B46">
        <v>2021</v>
      </c>
      <c r="C46" s="36">
        <v>1</v>
      </c>
      <c r="D46" s="36">
        <v>8.9899999999999994E-2</v>
      </c>
      <c r="E46" s="36">
        <f t="shared" si="6"/>
        <v>8.9899999999999994E-2</v>
      </c>
    </row>
    <row r="47" spans="1:5" x14ac:dyDescent="0.3">
      <c r="A47" t="s">
        <v>37</v>
      </c>
      <c r="B47">
        <v>2022</v>
      </c>
      <c r="C47" s="36">
        <v>1</v>
      </c>
      <c r="D47" s="36">
        <v>0.12540000000000001</v>
      </c>
      <c r="E47" s="36">
        <f t="shared" si="6"/>
        <v>0.12540000000000001</v>
      </c>
    </row>
    <row r="48" spans="1:5" x14ac:dyDescent="0.3">
      <c r="A48" t="s">
        <v>37</v>
      </c>
      <c r="B48">
        <v>2023</v>
      </c>
      <c r="C48" s="36">
        <v>1</v>
      </c>
      <c r="D48" s="36">
        <v>8.5599999999999996E-2</v>
      </c>
      <c r="E48" s="36">
        <f t="shared" si="6"/>
        <v>8.5599999999999996E-2</v>
      </c>
    </row>
    <row r="49" spans="1:5" x14ac:dyDescent="0.3">
      <c r="A49" t="s">
        <v>37</v>
      </c>
      <c r="B49">
        <v>2024</v>
      </c>
      <c r="C49" s="36">
        <v>1</v>
      </c>
      <c r="D49" s="36">
        <v>1.2999999999999999E-2</v>
      </c>
      <c r="E49" s="36">
        <f t="shared" si="6"/>
        <v>1.2999999999999999E-2</v>
      </c>
    </row>
    <row r="50" spans="1:5" x14ac:dyDescent="0.3">
      <c r="A50" t="s">
        <v>37</v>
      </c>
      <c r="B50">
        <v>2025</v>
      </c>
      <c r="C50" s="36">
        <v>1</v>
      </c>
      <c r="D50" s="36">
        <v>-3.2000000000000002E-3</v>
      </c>
      <c r="E50" s="36">
        <f t="shared" si="6"/>
        <v>3.2000000000000002E-3</v>
      </c>
    </row>
    <row r="51" spans="1:5" x14ac:dyDescent="0.3">
      <c r="A51" t="s">
        <v>38</v>
      </c>
      <c r="B51">
        <v>2019</v>
      </c>
      <c r="C51" s="36">
        <v>0.71199999999999997</v>
      </c>
    </row>
    <row r="52" spans="1:5" x14ac:dyDescent="0.3">
      <c r="A52" t="s">
        <v>38</v>
      </c>
      <c r="B52">
        <v>2020</v>
      </c>
      <c r="C52" s="36">
        <v>0.68210000000000004</v>
      </c>
      <c r="D52" s="36">
        <v>1.7000000000000001E-2</v>
      </c>
      <c r="E52" s="36">
        <f t="shared" ref="E52:E57" si="7">ABS(D52)</f>
        <v>1.7000000000000001E-2</v>
      </c>
    </row>
    <row r="53" spans="1:5" x14ac:dyDescent="0.3">
      <c r="A53" t="s">
        <v>38</v>
      </c>
      <c r="B53">
        <v>2021</v>
      </c>
      <c r="C53" s="36">
        <v>0.501</v>
      </c>
      <c r="D53" s="36">
        <v>4.5199999999999997E-2</v>
      </c>
      <c r="E53" s="36">
        <f t="shared" si="7"/>
        <v>4.5199999999999997E-2</v>
      </c>
    </row>
    <row r="54" spans="1:5" x14ac:dyDescent="0.3">
      <c r="A54" t="s">
        <v>38</v>
      </c>
      <c r="B54">
        <v>2022</v>
      </c>
      <c r="C54" s="36">
        <v>0.44319999999999998</v>
      </c>
      <c r="D54" s="36">
        <v>0.1598</v>
      </c>
      <c r="E54" s="36">
        <f t="shared" si="7"/>
        <v>0.1598</v>
      </c>
    </row>
    <row r="55" spans="1:5" x14ac:dyDescent="0.3">
      <c r="A55" t="s">
        <v>38</v>
      </c>
      <c r="B55">
        <v>2023</v>
      </c>
      <c r="C55" s="36">
        <v>0.45</v>
      </c>
      <c r="D55" s="36">
        <v>7.3000000000000001E-3</v>
      </c>
      <c r="E55" s="36">
        <f t="shared" si="7"/>
        <v>7.3000000000000001E-3</v>
      </c>
    </row>
    <row r="56" spans="1:5" x14ac:dyDescent="0.3">
      <c r="A56" t="s">
        <v>38</v>
      </c>
      <c r="B56">
        <v>2024</v>
      </c>
      <c r="C56" s="36">
        <v>0.39419999999999999</v>
      </c>
      <c r="D56" s="36">
        <v>0.16239999999999999</v>
      </c>
      <c r="E56" s="36">
        <f t="shared" si="7"/>
        <v>0.16239999999999999</v>
      </c>
    </row>
    <row r="57" spans="1:5" x14ac:dyDescent="0.3">
      <c r="A57" t="s">
        <v>38</v>
      </c>
      <c r="B57">
        <v>2025</v>
      </c>
      <c r="C57" s="36">
        <v>0.47320000000000001</v>
      </c>
      <c r="D57" s="36">
        <v>-0.14410000000000001</v>
      </c>
      <c r="E57" s="36">
        <f t="shared" si="7"/>
        <v>0.14410000000000001</v>
      </c>
    </row>
    <row r="58" spans="1:5" x14ac:dyDescent="0.3">
      <c r="A58" t="s">
        <v>39</v>
      </c>
      <c r="B58">
        <v>2019</v>
      </c>
      <c r="C58" s="36">
        <v>1.7500000000000002E-2</v>
      </c>
    </row>
    <row r="59" spans="1:5" x14ac:dyDescent="0.3">
      <c r="A59" t="s">
        <v>39</v>
      </c>
      <c r="B59">
        <v>2020</v>
      </c>
      <c r="C59" s="36">
        <v>6.1000000000000004E-3</v>
      </c>
      <c r="D59" s="36">
        <v>0.52610000000000001</v>
      </c>
      <c r="E59" s="36">
        <f t="shared" ref="E59:E64" si="8">ABS(D59)</f>
        <v>0.52610000000000001</v>
      </c>
    </row>
    <row r="60" spans="1:5" x14ac:dyDescent="0.3">
      <c r="A60" t="s">
        <v>39</v>
      </c>
      <c r="B60">
        <v>2021</v>
      </c>
      <c r="C60" s="36">
        <v>5.1999999999999998E-3</v>
      </c>
      <c r="D60" s="36">
        <v>0.1497</v>
      </c>
      <c r="E60" s="36">
        <f t="shared" si="8"/>
        <v>0.1497</v>
      </c>
    </row>
    <row r="61" spans="1:5" x14ac:dyDescent="0.3">
      <c r="A61" t="s">
        <v>39</v>
      </c>
      <c r="B61">
        <v>2022</v>
      </c>
      <c r="C61" s="36">
        <v>5.4000000000000003E-3</v>
      </c>
      <c r="D61" s="36">
        <v>-0.1164</v>
      </c>
      <c r="E61" s="36">
        <f t="shared" si="8"/>
        <v>0.1164</v>
      </c>
    </row>
    <row r="62" spans="1:5" x14ac:dyDescent="0.3">
      <c r="A62" t="s">
        <v>39</v>
      </c>
      <c r="B62">
        <v>2023</v>
      </c>
      <c r="C62" s="36">
        <v>4.1999999999999997E-3</v>
      </c>
      <c r="D62" s="36">
        <v>3.78E-2</v>
      </c>
      <c r="E62" s="36">
        <f t="shared" si="8"/>
        <v>3.78E-2</v>
      </c>
    </row>
    <row r="63" spans="1:5" x14ac:dyDescent="0.3">
      <c r="A63" t="s">
        <v>39</v>
      </c>
      <c r="B63">
        <v>2024</v>
      </c>
      <c r="C63" s="36">
        <v>5.4000000000000003E-3</v>
      </c>
      <c r="D63" s="36">
        <v>-0.1007</v>
      </c>
      <c r="E63" s="36">
        <f t="shared" si="8"/>
        <v>0.1007</v>
      </c>
    </row>
    <row r="64" spans="1:5" x14ac:dyDescent="0.3">
      <c r="A64" t="s">
        <v>39</v>
      </c>
      <c r="B64">
        <v>2025</v>
      </c>
      <c r="C64" s="36">
        <v>5.1000000000000004E-3</v>
      </c>
      <c r="D64" s="36">
        <v>-7.4999999999999997E-3</v>
      </c>
      <c r="E64" s="36">
        <f t="shared" si="8"/>
        <v>7.4999999999999997E-3</v>
      </c>
    </row>
    <row r="65" spans="1:5" x14ac:dyDescent="0.3">
      <c r="A65" t="s">
        <v>40</v>
      </c>
      <c r="B65">
        <v>2019</v>
      </c>
      <c r="C65" s="36">
        <v>0.111</v>
      </c>
    </row>
    <row r="66" spans="1:5" x14ac:dyDescent="0.3">
      <c r="A66" t="s">
        <v>40</v>
      </c>
      <c r="B66">
        <v>2020</v>
      </c>
      <c r="C66" s="36">
        <v>9.9400000000000002E-2</v>
      </c>
      <c r="D66" s="36">
        <v>6.3299999999999995E-2</v>
      </c>
      <c r="E66" s="36">
        <f t="shared" ref="E66:E71" si="9">ABS(D66)</f>
        <v>6.3299999999999995E-2</v>
      </c>
    </row>
    <row r="67" spans="1:5" x14ac:dyDescent="0.3">
      <c r="A67" t="s">
        <v>40</v>
      </c>
      <c r="B67">
        <v>2021</v>
      </c>
      <c r="C67" s="36">
        <v>8.2199999999999995E-2</v>
      </c>
      <c r="D67" s="36">
        <v>0.10199999999999999</v>
      </c>
      <c r="E67" s="36">
        <f t="shared" si="9"/>
        <v>0.10199999999999999</v>
      </c>
    </row>
    <row r="68" spans="1:5" x14ac:dyDescent="0.3">
      <c r="A68" t="s">
        <v>40</v>
      </c>
      <c r="B68">
        <v>2022</v>
      </c>
      <c r="C68" s="36">
        <v>6.8400000000000002E-2</v>
      </c>
      <c r="D68" s="36">
        <v>9.6699999999999994E-2</v>
      </c>
      <c r="E68" s="36">
        <f t="shared" si="9"/>
        <v>9.6699999999999994E-2</v>
      </c>
    </row>
    <row r="69" spans="1:5" x14ac:dyDescent="0.3">
      <c r="A69" t="s">
        <v>40</v>
      </c>
      <c r="B69">
        <v>2023</v>
      </c>
      <c r="C69" s="36">
        <v>6.6600000000000006E-2</v>
      </c>
      <c r="D69" s="36">
        <v>3.78E-2</v>
      </c>
      <c r="E69" s="36">
        <f t="shared" si="9"/>
        <v>3.78E-2</v>
      </c>
    </row>
    <row r="70" spans="1:5" x14ac:dyDescent="0.3">
      <c r="A70" t="s">
        <v>40</v>
      </c>
      <c r="B70">
        <v>2024</v>
      </c>
      <c r="C70" s="36">
        <v>6.4399999999999999E-2</v>
      </c>
      <c r="D70" s="36">
        <v>-0.17499999999999999</v>
      </c>
      <c r="E70" s="36">
        <f t="shared" si="9"/>
        <v>0.17499999999999999</v>
      </c>
    </row>
    <row r="71" spans="1:5" x14ac:dyDescent="0.3">
      <c r="A71" t="s">
        <v>40</v>
      </c>
      <c r="B71">
        <v>2025</v>
      </c>
      <c r="C71" s="36">
        <v>5.33E-2</v>
      </c>
      <c r="D71" s="36">
        <v>-3.5999999999999999E-3</v>
      </c>
      <c r="E71" s="36">
        <f t="shared" si="9"/>
        <v>3.5999999999999999E-3</v>
      </c>
    </row>
    <row r="72" spans="1:5" x14ac:dyDescent="0.3">
      <c r="A72" t="s">
        <v>41</v>
      </c>
      <c r="B72">
        <v>2019</v>
      </c>
      <c r="C72" s="36">
        <v>0.64859999999999995</v>
      </c>
    </row>
    <row r="73" spans="1:5" x14ac:dyDescent="0.3">
      <c r="A73" t="s">
        <v>41</v>
      </c>
      <c r="B73">
        <v>2020</v>
      </c>
      <c r="C73" s="36">
        <v>0.66120000000000001</v>
      </c>
      <c r="D73" s="36">
        <v>3.6600000000000001E-2</v>
      </c>
      <c r="E73" s="36">
        <f t="shared" ref="E73:E78" si="10">ABS(D73)</f>
        <v>3.6600000000000001E-2</v>
      </c>
    </row>
    <row r="74" spans="1:5" x14ac:dyDescent="0.3">
      <c r="A74" t="s">
        <v>41</v>
      </c>
      <c r="B74">
        <v>2021</v>
      </c>
      <c r="C74" s="36">
        <v>0.6482</v>
      </c>
      <c r="D74" s="36">
        <v>7.2400000000000006E-2</v>
      </c>
      <c r="E74" s="36">
        <f t="shared" si="10"/>
        <v>7.2400000000000006E-2</v>
      </c>
    </row>
    <row r="75" spans="1:5" x14ac:dyDescent="0.3">
      <c r="A75" t="s">
        <v>41</v>
      </c>
      <c r="B75">
        <v>2022</v>
      </c>
      <c r="C75" s="36">
        <v>0.62119999999999997</v>
      </c>
      <c r="D75" s="36">
        <v>5.5100000000000003E-2</v>
      </c>
      <c r="E75" s="36">
        <f t="shared" si="10"/>
        <v>5.5100000000000003E-2</v>
      </c>
    </row>
    <row r="76" spans="1:5" x14ac:dyDescent="0.3">
      <c r="A76" t="s">
        <v>41</v>
      </c>
      <c r="B76">
        <v>2023</v>
      </c>
      <c r="C76" s="36">
        <v>0.59940000000000004</v>
      </c>
      <c r="D76" s="36">
        <v>5.4899999999999997E-2</v>
      </c>
      <c r="E76" s="36">
        <f t="shared" si="10"/>
        <v>5.4899999999999997E-2</v>
      </c>
    </row>
    <row r="77" spans="1:5" x14ac:dyDescent="0.3">
      <c r="A77" t="s">
        <v>41</v>
      </c>
      <c r="B77">
        <v>2024</v>
      </c>
      <c r="C77" s="36">
        <v>0.61170000000000002</v>
      </c>
      <c r="D77" s="36">
        <v>-0.14069999999999999</v>
      </c>
      <c r="E77" s="36">
        <f t="shared" si="10"/>
        <v>0.14069999999999999</v>
      </c>
    </row>
    <row r="78" spans="1:5" x14ac:dyDescent="0.3">
      <c r="A78" t="s">
        <v>41</v>
      </c>
      <c r="B78">
        <v>2025</v>
      </c>
      <c r="C78" s="36">
        <v>0.6371</v>
      </c>
      <c r="D78" s="36">
        <v>-2.1399999999999999E-2</v>
      </c>
      <c r="E78" s="36">
        <f t="shared" si="10"/>
        <v>2.1399999999999999E-2</v>
      </c>
    </row>
    <row r="79" spans="1:5" x14ac:dyDescent="0.3">
      <c r="A79" t="s">
        <v>42</v>
      </c>
      <c r="B79">
        <v>2019</v>
      </c>
      <c r="C79" s="36">
        <v>6.9999999999999999E-4</v>
      </c>
    </row>
    <row r="80" spans="1:5" x14ac:dyDescent="0.3">
      <c r="A80" t="s">
        <v>42</v>
      </c>
      <c r="B80">
        <v>2020</v>
      </c>
      <c r="C80" s="36">
        <v>1E-4</v>
      </c>
      <c r="D80" s="36">
        <v>6.1899999999999997E-2</v>
      </c>
      <c r="E80" s="36">
        <f t="shared" ref="E80:E85" si="11">ABS(D80)</f>
        <v>6.1899999999999997E-2</v>
      </c>
    </row>
    <row r="81" spans="1:5" x14ac:dyDescent="0.3">
      <c r="A81" t="s">
        <v>42</v>
      </c>
      <c r="B81">
        <v>2021</v>
      </c>
      <c r="C81" s="36">
        <v>2.0000000000000001E-4</v>
      </c>
      <c r="D81" s="36">
        <v>8.2299999999999998E-2</v>
      </c>
      <c r="E81" s="36">
        <f t="shared" si="11"/>
        <v>8.2299999999999998E-2</v>
      </c>
    </row>
    <row r="82" spans="1:5" x14ac:dyDescent="0.3">
      <c r="A82" t="s">
        <v>42</v>
      </c>
      <c r="B82">
        <v>2022</v>
      </c>
      <c r="C82" s="36">
        <v>2.9999999999999997E-4</v>
      </c>
      <c r="D82" s="36">
        <v>7.7399999999999997E-2</v>
      </c>
      <c r="E82" s="36">
        <f t="shared" si="11"/>
        <v>7.7399999999999997E-2</v>
      </c>
    </row>
    <row r="83" spans="1:5" x14ac:dyDescent="0.3">
      <c r="A83" t="s">
        <v>42</v>
      </c>
      <c r="B83">
        <v>2023</v>
      </c>
      <c r="C83" s="36">
        <v>1.1999999999999999E-3</v>
      </c>
      <c r="D83" s="36">
        <v>0.2165</v>
      </c>
      <c r="E83" s="36">
        <f t="shared" si="11"/>
        <v>0.2165</v>
      </c>
    </row>
    <row r="84" spans="1:5" x14ac:dyDescent="0.3">
      <c r="A84" t="s">
        <v>42</v>
      </c>
      <c r="B84">
        <v>2024</v>
      </c>
      <c r="C84" s="36">
        <v>1.5E-3</v>
      </c>
      <c r="D84" s="36">
        <v>3.4299999999999997E-2</v>
      </c>
      <c r="E84" s="36">
        <f t="shared" si="11"/>
        <v>3.4299999999999997E-2</v>
      </c>
    </row>
    <row r="85" spans="1:5" x14ac:dyDescent="0.3">
      <c r="A85" t="s">
        <v>42</v>
      </c>
      <c r="B85">
        <v>2025</v>
      </c>
      <c r="C85" s="36">
        <v>1.5E-3</v>
      </c>
      <c r="D85" s="36">
        <v>-9.2600000000000002E-2</v>
      </c>
      <c r="E85" s="36">
        <f t="shared" si="11"/>
        <v>9.2600000000000002E-2</v>
      </c>
    </row>
    <row r="86" spans="1:5" x14ac:dyDescent="0.3">
      <c r="A86" t="s">
        <v>43</v>
      </c>
      <c r="B86">
        <v>2019</v>
      </c>
      <c r="C86" s="36">
        <v>1.55E-2</v>
      </c>
    </row>
    <row r="87" spans="1:5" x14ac:dyDescent="0.3">
      <c r="A87" t="s">
        <v>43</v>
      </c>
      <c r="B87">
        <v>2020</v>
      </c>
      <c r="C87" s="36">
        <v>8.0999999999999996E-3</v>
      </c>
      <c r="D87" s="36">
        <v>0.18310000000000001</v>
      </c>
      <c r="E87" s="36">
        <f t="shared" ref="E87:E92" si="12">ABS(D87)</f>
        <v>0.18310000000000001</v>
      </c>
    </row>
    <row r="88" spans="1:5" x14ac:dyDescent="0.3">
      <c r="A88" t="s">
        <v>43</v>
      </c>
      <c r="B88">
        <v>2021</v>
      </c>
      <c r="C88" s="36">
        <v>6.6E-3</v>
      </c>
      <c r="D88" s="36">
        <v>0.29549999999999998</v>
      </c>
      <c r="E88" s="36">
        <f t="shared" si="12"/>
        <v>0.29549999999999998</v>
      </c>
    </row>
    <row r="89" spans="1:5" x14ac:dyDescent="0.3">
      <c r="A89" t="s">
        <v>43</v>
      </c>
      <c r="B89">
        <v>2022</v>
      </c>
      <c r="C89" s="36">
        <v>6.1999999999999998E-3</v>
      </c>
      <c r="D89" s="36">
        <v>0.23749999999999999</v>
      </c>
      <c r="E89" s="36">
        <f t="shared" si="12"/>
        <v>0.23749999999999999</v>
      </c>
    </row>
    <row r="90" spans="1:5" x14ac:dyDescent="0.3">
      <c r="A90" t="s">
        <v>43</v>
      </c>
      <c r="B90">
        <v>2023</v>
      </c>
      <c r="C90" s="36">
        <v>6.0000000000000001E-3</v>
      </c>
      <c r="D90" s="36">
        <v>9.2200000000000004E-2</v>
      </c>
      <c r="E90" s="36">
        <f t="shared" si="12"/>
        <v>9.2200000000000004E-2</v>
      </c>
    </row>
    <row r="91" spans="1:5" x14ac:dyDescent="0.3">
      <c r="A91" t="s">
        <v>43</v>
      </c>
      <c r="B91">
        <v>2024</v>
      </c>
      <c r="C91" s="36">
        <v>6.7000000000000002E-3</v>
      </c>
      <c r="D91" s="36">
        <v>-6.4799999999999996E-2</v>
      </c>
      <c r="E91" s="36">
        <f t="shared" si="12"/>
        <v>6.4799999999999996E-2</v>
      </c>
    </row>
    <row r="92" spans="1:5" x14ac:dyDescent="0.3">
      <c r="A92" t="s">
        <v>43</v>
      </c>
      <c r="B92">
        <v>2025</v>
      </c>
      <c r="C92" s="36">
        <v>6.4999999999999997E-3</v>
      </c>
      <c r="D92" s="36">
        <v>5.5599999999999997E-2</v>
      </c>
      <c r="E92" s="36">
        <f t="shared" si="12"/>
        <v>5.5599999999999997E-2</v>
      </c>
    </row>
    <row r="93" spans="1:5" x14ac:dyDescent="0.3">
      <c r="A93" t="s">
        <v>44</v>
      </c>
      <c r="B93">
        <v>2019</v>
      </c>
      <c r="C93" s="36">
        <v>1</v>
      </c>
    </row>
    <row r="94" spans="1:5" x14ac:dyDescent="0.3">
      <c r="A94" t="s">
        <v>44</v>
      </c>
      <c r="B94">
        <v>2020</v>
      </c>
      <c r="C94" s="36">
        <v>1</v>
      </c>
      <c r="D94" s="36">
        <v>0.58860000000000001</v>
      </c>
      <c r="E94" s="36">
        <f t="shared" ref="E94:E99" si="13">ABS(D94)</f>
        <v>0.58860000000000001</v>
      </c>
    </row>
    <row r="95" spans="1:5" x14ac:dyDescent="0.3">
      <c r="A95" t="s">
        <v>44</v>
      </c>
      <c r="B95">
        <v>2021</v>
      </c>
      <c r="C95" s="36">
        <v>1</v>
      </c>
      <c r="D95" s="36">
        <v>0.32490000000000002</v>
      </c>
      <c r="E95" s="36">
        <f t="shared" si="13"/>
        <v>0.32490000000000002</v>
      </c>
    </row>
    <row r="96" spans="1:5" x14ac:dyDescent="0.3">
      <c r="A96" t="s">
        <v>44</v>
      </c>
      <c r="B96">
        <v>2022</v>
      </c>
      <c r="C96" s="36">
        <v>1</v>
      </c>
      <c r="D96" s="36">
        <v>0.20230000000000001</v>
      </c>
      <c r="E96" s="36">
        <f t="shared" si="13"/>
        <v>0.20230000000000001</v>
      </c>
    </row>
    <row r="97" spans="1:5" x14ac:dyDescent="0.3">
      <c r="A97" t="s">
        <v>44</v>
      </c>
      <c r="B97">
        <v>2023</v>
      </c>
      <c r="C97" s="36">
        <v>1</v>
      </c>
      <c r="D97" s="36">
        <v>5.6399999999999999E-2</v>
      </c>
      <c r="E97" s="36">
        <f t="shared" si="13"/>
        <v>5.6399999999999999E-2</v>
      </c>
    </row>
    <row r="98" spans="1:5" x14ac:dyDescent="0.3">
      <c r="A98" t="s">
        <v>44</v>
      </c>
      <c r="B98">
        <v>2024</v>
      </c>
      <c r="C98" s="36">
        <v>1</v>
      </c>
      <c r="D98" s="36">
        <v>-3.6700000000000003E-2</v>
      </c>
      <c r="E98" s="36">
        <f t="shared" si="13"/>
        <v>3.6700000000000003E-2</v>
      </c>
    </row>
    <row r="99" spans="1:5" x14ac:dyDescent="0.3">
      <c r="A99" t="s">
        <v>44</v>
      </c>
      <c r="B99">
        <v>2025</v>
      </c>
      <c r="C99" s="36">
        <v>1</v>
      </c>
      <c r="D99" s="36">
        <v>3.44E-2</v>
      </c>
      <c r="E99" s="36">
        <f t="shared" si="13"/>
        <v>3.44E-2</v>
      </c>
    </row>
    <row r="100" spans="1:5" x14ac:dyDescent="0.3">
      <c r="A100" t="s">
        <v>45</v>
      </c>
      <c r="B100">
        <v>2019</v>
      </c>
      <c r="C100" s="36">
        <v>0.1167</v>
      </c>
    </row>
    <row r="101" spans="1:5" x14ac:dyDescent="0.3">
      <c r="A101" t="s">
        <v>45</v>
      </c>
      <c r="B101">
        <v>2020</v>
      </c>
      <c r="C101" s="36">
        <v>8.1100000000000005E-2</v>
      </c>
      <c r="D101" s="36">
        <v>1.06E-2</v>
      </c>
      <c r="E101" s="36">
        <f t="shared" ref="E101:E106" si="14">ABS(D101)</f>
        <v>1.06E-2</v>
      </c>
    </row>
    <row r="102" spans="1:5" x14ac:dyDescent="0.3">
      <c r="A102" t="s">
        <v>45</v>
      </c>
      <c r="B102">
        <v>2021</v>
      </c>
      <c r="C102" s="36">
        <v>6.4899999999999999E-2</v>
      </c>
      <c r="D102" s="36">
        <v>0.23710000000000001</v>
      </c>
      <c r="E102" s="36">
        <f t="shared" si="14"/>
        <v>0.23710000000000001</v>
      </c>
    </row>
    <row r="103" spans="1:5" x14ac:dyDescent="0.3">
      <c r="A103" t="s">
        <v>45</v>
      </c>
      <c r="B103">
        <v>2022</v>
      </c>
      <c r="C103" s="36">
        <v>5.9400000000000001E-2</v>
      </c>
      <c r="D103" s="36">
        <v>0.2112</v>
      </c>
      <c r="E103" s="36">
        <f t="shared" si="14"/>
        <v>0.2112</v>
      </c>
    </row>
    <row r="104" spans="1:5" x14ac:dyDescent="0.3">
      <c r="A104" t="s">
        <v>45</v>
      </c>
      <c r="B104">
        <v>2023</v>
      </c>
      <c r="C104" s="36">
        <v>7.0999999999999994E-2</v>
      </c>
      <c r="D104" s="36">
        <v>-4.2700000000000002E-2</v>
      </c>
      <c r="E104" s="36">
        <f t="shared" si="14"/>
        <v>4.2700000000000002E-2</v>
      </c>
    </row>
    <row r="105" spans="1:5" x14ac:dyDescent="0.3">
      <c r="A105" t="s">
        <v>45</v>
      </c>
      <c r="B105">
        <v>2024</v>
      </c>
      <c r="C105" s="36">
        <v>7.3999999999999996E-2</v>
      </c>
      <c r="D105" s="36">
        <v>-9.3299999999999994E-2</v>
      </c>
      <c r="E105" s="36">
        <f t="shared" si="14"/>
        <v>9.3299999999999994E-2</v>
      </c>
    </row>
    <row r="106" spans="1:5" x14ac:dyDescent="0.3">
      <c r="A106" t="s">
        <v>45</v>
      </c>
      <c r="B106">
        <v>2025</v>
      </c>
      <c r="C106" s="36">
        <v>7.0900000000000005E-2</v>
      </c>
      <c r="D106" s="36">
        <v>4.4900000000000002E-2</v>
      </c>
      <c r="E106" s="36">
        <f t="shared" si="14"/>
        <v>4.4900000000000002E-2</v>
      </c>
    </row>
    <row r="107" spans="1:5" x14ac:dyDescent="0.3">
      <c r="A107" t="s">
        <v>46</v>
      </c>
      <c r="B107">
        <v>2019</v>
      </c>
      <c r="C107" s="36">
        <v>0.3004</v>
      </c>
    </row>
    <row r="108" spans="1:5" x14ac:dyDescent="0.3">
      <c r="A108" t="s">
        <v>46</v>
      </c>
      <c r="B108">
        <v>2020</v>
      </c>
      <c r="C108" s="36">
        <v>0.32669999999999999</v>
      </c>
      <c r="D108" s="36">
        <v>9.69E-2</v>
      </c>
      <c r="E108" s="36">
        <f t="shared" ref="E108:E113" si="15">ABS(D108)</f>
        <v>9.69E-2</v>
      </c>
    </row>
    <row r="109" spans="1:5" x14ac:dyDescent="0.3">
      <c r="A109" t="s">
        <v>46</v>
      </c>
      <c r="B109">
        <v>2021</v>
      </c>
      <c r="C109" s="36">
        <v>0.28599999999999998</v>
      </c>
      <c r="D109" s="36">
        <v>0.16969999999999999</v>
      </c>
      <c r="E109" s="36">
        <f t="shared" si="15"/>
        <v>0.16969999999999999</v>
      </c>
    </row>
    <row r="110" spans="1:5" x14ac:dyDescent="0.3">
      <c r="A110" t="s">
        <v>46</v>
      </c>
      <c r="B110">
        <v>2022</v>
      </c>
      <c r="C110" s="36">
        <v>0.21490000000000001</v>
      </c>
      <c r="D110" s="36">
        <v>7.3499999999999996E-2</v>
      </c>
      <c r="E110" s="36">
        <f t="shared" si="15"/>
        <v>7.3499999999999996E-2</v>
      </c>
    </row>
    <row r="111" spans="1:5" x14ac:dyDescent="0.3">
      <c r="A111" t="s">
        <v>46</v>
      </c>
      <c r="B111">
        <v>2023</v>
      </c>
      <c r="C111" s="36">
        <v>0.1993</v>
      </c>
      <c r="D111" s="36">
        <v>8.4500000000000006E-2</v>
      </c>
      <c r="E111" s="36">
        <f t="shared" si="15"/>
        <v>8.4500000000000006E-2</v>
      </c>
    </row>
    <row r="112" spans="1:5" x14ac:dyDescent="0.3">
      <c r="A112" t="s">
        <v>46</v>
      </c>
      <c r="B112">
        <v>2024</v>
      </c>
      <c r="C112" s="36">
        <v>0.19620000000000001</v>
      </c>
      <c r="D112" s="36">
        <v>-1.6899999999999998E-2</v>
      </c>
      <c r="E112" s="36">
        <f t="shared" si="15"/>
        <v>1.6899999999999998E-2</v>
      </c>
    </row>
    <row r="113" spans="1:5" x14ac:dyDescent="0.3">
      <c r="A113" t="s">
        <v>46</v>
      </c>
      <c r="B113">
        <v>2025</v>
      </c>
      <c r="C113" s="36">
        <v>0.17899999999999999</v>
      </c>
      <c r="D113" s="36">
        <v>3.3599999999999998E-2</v>
      </c>
      <c r="E113" s="36">
        <f t="shared" si="15"/>
        <v>3.3599999999999998E-2</v>
      </c>
    </row>
    <row r="114" spans="1:5" x14ac:dyDescent="0.3">
      <c r="A114" t="s">
        <v>47</v>
      </c>
      <c r="B114">
        <v>2019</v>
      </c>
      <c r="C114" s="36">
        <v>1.14E-2</v>
      </c>
    </row>
    <row r="115" spans="1:5" x14ac:dyDescent="0.3">
      <c r="A115" t="s">
        <v>47</v>
      </c>
      <c r="B115">
        <v>2020</v>
      </c>
      <c r="C115" s="36">
        <v>4.8999999999999998E-3</v>
      </c>
      <c r="D115" s="36">
        <v>5.8599999999999999E-2</v>
      </c>
      <c r="E115" s="36">
        <f t="shared" ref="E115:E120" si="16">ABS(D115)</f>
        <v>5.8599999999999999E-2</v>
      </c>
    </row>
    <row r="116" spans="1:5" x14ac:dyDescent="0.3">
      <c r="A116" t="s">
        <v>47</v>
      </c>
      <c r="B116">
        <v>2021</v>
      </c>
      <c r="C116" s="36">
        <v>4.1999999999999997E-3</v>
      </c>
      <c r="D116" s="36">
        <v>0.17780000000000001</v>
      </c>
      <c r="E116" s="36">
        <f t="shared" si="16"/>
        <v>0.17780000000000001</v>
      </c>
    </row>
    <row r="117" spans="1:5" x14ac:dyDescent="0.3">
      <c r="A117" t="s">
        <v>47</v>
      </c>
      <c r="B117">
        <v>2022</v>
      </c>
      <c r="C117" s="36">
        <v>3.2000000000000002E-3</v>
      </c>
      <c r="D117" s="36">
        <v>0.12509999999999999</v>
      </c>
      <c r="E117" s="36">
        <f t="shared" si="16"/>
        <v>0.12509999999999999</v>
      </c>
    </row>
    <row r="118" spans="1:5" x14ac:dyDescent="0.3">
      <c r="A118" t="s">
        <v>47</v>
      </c>
      <c r="B118">
        <v>2023</v>
      </c>
      <c r="C118" s="36">
        <v>3.8999999999999998E-3</v>
      </c>
      <c r="D118" s="36">
        <v>-3.1300000000000001E-2</v>
      </c>
      <c r="E118" s="36">
        <f t="shared" si="16"/>
        <v>3.1300000000000001E-2</v>
      </c>
    </row>
    <row r="119" spans="1:5" x14ac:dyDescent="0.3">
      <c r="A119" t="s">
        <v>47</v>
      </c>
      <c r="B119">
        <v>2024</v>
      </c>
      <c r="C119" s="36">
        <v>3.3E-3</v>
      </c>
      <c r="D119" s="36">
        <v>-0.16569999999999999</v>
      </c>
      <c r="E119" s="36">
        <f t="shared" si="16"/>
        <v>0.16569999999999999</v>
      </c>
    </row>
    <row r="120" spans="1:5" x14ac:dyDescent="0.3">
      <c r="A120" t="s">
        <v>47</v>
      </c>
      <c r="B120">
        <v>2025</v>
      </c>
      <c r="C120" s="36">
        <v>6.1000000000000004E-3</v>
      </c>
      <c r="D120" s="36">
        <v>2.3599999999999999E-2</v>
      </c>
      <c r="E120" s="36">
        <f t="shared" si="16"/>
        <v>2.3599999999999999E-2</v>
      </c>
    </row>
    <row r="121" spans="1:5" x14ac:dyDescent="0.3">
      <c r="A121" t="s">
        <v>48</v>
      </c>
      <c r="B121">
        <v>2019</v>
      </c>
      <c r="C121" s="36">
        <v>0.06</v>
      </c>
    </row>
    <row r="122" spans="1:5" x14ac:dyDescent="0.3">
      <c r="A122" t="s">
        <v>48</v>
      </c>
      <c r="B122">
        <v>2020</v>
      </c>
      <c r="C122" s="36">
        <v>9.6799999999999997E-2</v>
      </c>
      <c r="D122" s="36">
        <v>7.7299999999999994E-2</v>
      </c>
      <c r="E122" s="36">
        <f t="shared" ref="E122:E127" si="17">ABS(D122)</f>
        <v>7.7299999999999994E-2</v>
      </c>
    </row>
    <row r="123" spans="1:5" x14ac:dyDescent="0.3">
      <c r="A123" t="s">
        <v>48</v>
      </c>
      <c r="B123">
        <v>2021</v>
      </c>
      <c r="C123" s="36">
        <v>4.8300000000000003E-2</v>
      </c>
      <c r="D123" s="36">
        <v>0.34029999999999999</v>
      </c>
      <c r="E123" s="36">
        <f t="shared" si="17"/>
        <v>0.34029999999999999</v>
      </c>
    </row>
    <row r="124" spans="1:5" x14ac:dyDescent="0.3">
      <c r="A124" t="s">
        <v>48</v>
      </c>
      <c r="B124">
        <v>2022</v>
      </c>
      <c r="C124" s="36">
        <v>4.5100000000000001E-2</v>
      </c>
      <c r="D124" s="36">
        <v>0.1142</v>
      </c>
      <c r="E124" s="36">
        <f t="shared" si="17"/>
        <v>0.1142</v>
      </c>
    </row>
    <row r="125" spans="1:5" x14ac:dyDescent="0.3">
      <c r="A125" t="s">
        <v>48</v>
      </c>
      <c r="B125">
        <v>2023</v>
      </c>
      <c r="C125" s="36">
        <v>4.8399999999999999E-2</v>
      </c>
      <c r="D125" s="36">
        <v>-8.5000000000000006E-3</v>
      </c>
      <c r="E125" s="36">
        <f t="shared" si="17"/>
        <v>8.5000000000000006E-3</v>
      </c>
    </row>
    <row r="126" spans="1:5" x14ac:dyDescent="0.3">
      <c r="A126" t="s">
        <v>48</v>
      </c>
      <c r="B126">
        <v>2024</v>
      </c>
      <c r="C126" s="36">
        <v>4.1300000000000003E-2</v>
      </c>
      <c r="D126" s="36">
        <v>0.2293</v>
      </c>
      <c r="E126" s="36">
        <f t="shared" si="17"/>
        <v>0.2293</v>
      </c>
    </row>
    <row r="127" spans="1:5" x14ac:dyDescent="0.3">
      <c r="A127" t="s">
        <v>48</v>
      </c>
      <c r="B127">
        <v>2025</v>
      </c>
      <c r="C127" s="36">
        <v>3.8800000000000001E-2</v>
      </c>
      <c r="D127" s="36">
        <v>0.23430000000000001</v>
      </c>
      <c r="E127" s="36">
        <f t="shared" si="17"/>
        <v>0.23430000000000001</v>
      </c>
    </row>
    <row r="128" spans="1:5" x14ac:dyDescent="0.3">
      <c r="A128" t="s">
        <v>49</v>
      </c>
      <c r="B128">
        <v>2019</v>
      </c>
      <c r="C128" s="36">
        <v>4.0599999999999997E-2</v>
      </c>
    </row>
    <row r="129" spans="1:5" x14ac:dyDescent="0.3">
      <c r="A129" t="s">
        <v>49</v>
      </c>
      <c r="B129">
        <v>2020</v>
      </c>
      <c r="C129" s="36">
        <v>3.0099999999999998E-2</v>
      </c>
      <c r="D129" s="36">
        <v>0.24149999999999999</v>
      </c>
      <c r="E129" s="36">
        <f t="shared" ref="E129:E134" si="18">ABS(D129)</f>
        <v>0.24149999999999999</v>
      </c>
    </row>
    <row r="130" spans="1:5" x14ac:dyDescent="0.3">
      <c r="A130" t="s">
        <v>49</v>
      </c>
      <c r="B130">
        <v>2021</v>
      </c>
      <c r="C130" s="36">
        <v>2.5499999999999998E-2</v>
      </c>
      <c r="D130" s="36">
        <v>0.14660000000000001</v>
      </c>
      <c r="E130" s="36">
        <f t="shared" si="18"/>
        <v>0.14660000000000001</v>
      </c>
    </row>
    <row r="131" spans="1:5" x14ac:dyDescent="0.3">
      <c r="A131" t="s">
        <v>49</v>
      </c>
      <c r="B131">
        <v>2022</v>
      </c>
      <c r="C131" s="36">
        <v>2.18E-2</v>
      </c>
      <c r="D131" s="36">
        <v>0.18920000000000001</v>
      </c>
      <c r="E131" s="36">
        <f t="shared" si="18"/>
        <v>0.18920000000000001</v>
      </c>
    </row>
    <row r="132" spans="1:5" x14ac:dyDescent="0.3">
      <c r="A132" t="s">
        <v>49</v>
      </c>
      <c r="B132">
        <v>2023</v>
      </c>
      <c r="C132" s="36">
        <v>2.9399999999999999E-2</v>
      </c>
      <c r="D132" s="36">
        <v>0.12280000000000001</v>
      </c>
      <c r="E132" s="36">
        <f t="shared" si="18"/>
        <v>0.12280000000000001</v>
      </c>
    </row>
    <row r="133" spans="1:5" x14ac:dyDescent="0.3">
      <c r="A133" t="s">
        <v>49</v>
      </c>
      <c r="B133">
        <v>2024</v>
      </c>
      <c r="C133" s="36">
        <v>4.2700000000000002E-2</v>
      </c>
      <c r="D133" s="36">
        <v>-9.4200000000000006E-2</v>
      </c>
      <c r="E133" s="36">
        <f t="shared" si="18"/>
        <v>9.4200000000000006E-2</v>
      </c>
    </row>
    <row r="134" spans="1:5" x14ac:dyDescent="0.3">
      <c r="A134" t="s">
        <v>49</v>
      </c>
      <c r="B134">
        <v>2025</v>
      </c>
      <c r="C134" s="36">
        <v>4.2999999999999997E-2</v>
      </c>
      <c r="D134" s="36">
        <v>-6.7999999999999996E-3</v>
      </c>
      <c r="E134" s="36">
        <f t="shared" si="18"/>
        <v>6.7999999999999996E-3</v>
      </c>
    </row>
    <row r="135" spans="1:5" x14ac:dyDescent="0.3">
      <c r="A135" t="s">
        <v>50</v>
      </c>
      <c r="B135">
        <v>2019</v>
      </c>
      <c r="C135" s="36">
        <v>0.4829</v>
      </c>
    </row>
    <row r="136" spans="1:5" x14ac:dyDescent="0.3">
      <c r="A136" t="s">
        <v>50</v>
      </c>
      <c r="B136">
        <v>2020</v>
      </c>
      <c r="C136" s="36">
        <v>0.50119999999999998</v>
      </c>
      <c r="D136" s="36">
        <v>7.2099999999999997E-2</v>
      </c>
      <c r="E136" s="36">
        <f t="shared" ref="E136:E141" si="19">ABS(D136)</f>
        <v>7.2099999999999997E-2</v>
      </c>
    </row>
    <row r="137" spans="1:5" x14ac:dyDescent="0.3">
      <c r="A137" t="s">
        <v>50</v>
      </c>
      <c r="B137">
        <v>2021</v>
      </c>
      <c r="C137" s="36">
        <v>0.498</v>
      </c>
      <c r="D137" s="36">
        <v>0.1628</v>
      </c>
      <c r="E137" s="36">
        <f t="shared" si="19"/>
        <v>0.1628</v>
      </c>
    </row>
    <row r="138" spans="1:5" x14ac:dyDescent="0.3">
      <c r="A138" t="s">
        <v>50</v>
      </c>
      <c r="B138">
        <v>2022</v>
      </c>
      <c r="C138" s="36">
        <v>0.47299999999999998</v>
      </c>
      <c r="D138" s="36">
        <v>9.6299999999999997E-2</v>
      </c>
      <c r="E138" s="36">
        <f t="shared" si="19"/>
        <v>9.6299999999999997E-2</v>
      </c>
    </row>
    <row r="139" spans="1:5" x14ac:dyDescent="0.3">
      <c r="A139" t="s">
        <v>50</v>
      </c>
      <c r="B139">
        <v>2023</v>
      </c>
      <c r="C139" s="36">
        <v>0.34339999999999998</v>
      </c>
      <c r="D139" s="36">
        <v>4.0300000000000002E-2</v>
      </c>
      <c r="E139" s="36">
        <f t="shared" si="19"/>
        <v>4.0300000000000002E-2</v>
      </c>
    </row>
    <row r="140" spans="1:5" x14ac:dyDescent="0.3">
      <c r="A140" t="s">
        <v>50</v>
      </c>
      <c r="B140">
        <v>2024</v>
      </c>
      <c r="C140" s="36">
        <v>0.27989999999999998</v>
      </c>
      <c r="D140" s="36">
        <v>1.3299999999999999E-2</v>
      </c>
      <c r="E140" s="36">
        <f t="shared" si="19"/>
        <v>1.3299999999999999E-2</v>
      </c>
    </row>
    <row r="141" spans="1:5" x14ac:dyDescent="0.3">
      <c r="A141" t="s">
        <v>50</v>
      </c>
      <c r="B141">
        <v>2025</v>
      </c>
      <c r="C141" s="36">
        <v>0.27360000000000001</v>
      </c>
      <c r="D141" s="36">
        <v>7.0900000000000005E-2</v>
      </c>
      <c r="E141" s="36">
        <f t="shared" si="19"/>
        <v>7.0900000000000005E-2</v>
      </c>
    </row>
    <row r="142" spans="1:5" x14ac:dyDescent="0.3">
      <c r="A142" t="s">
        <v>51</v>
      </c>
      <c r="B142">
        <v>2019</v>
      </c>
      <c r="C142" s="36">
        <v>0.51719999999999999</v>
      </c>
    </row>
    <row r="143" spans="1:5" x14ac:dyDescent="0.3">
      <c r="A143" t="s">
        <v>51</v>
      </c>
      <c r="B143">
        <v>2020</v>
      </c>
      <c r="C143" s="36">
        <v>0.34849999999999998</v>
      </c>
      <c r="D143" s="36">
        <v>7.51E-2</v>
      </c>
      <c r="E143" s="36">
        <f t="shared" ref="E143:E148" si="20">ABS(D143)</f>
        <v>7.51E-2</v>
      </c>
    </row>
    <row r="144" spans="1:5" x14ac:dyDescent="0.3">
      <c r="A144" t="s">
        <v>51</v>
      </c>
      <c r="B144">
        <v>2021</v>
      </c>
      <c r="C144" s="36">
        <v>0.34470000000000001</v>
      </c>
      <c r="D144" s="36">
        <v>0.16489999999999999</v>
      </c>
      <c r="E144" s="36">
        <f t="shared" si="20"/>
        <v>0.16489999999999999</v>
      </c>
    </row>
    <row r="145" spans="1:5" x14ac:dyDescent="0.3">
      <c r="A145" t="s">
        <v>51</v>
      </c>
      <c r="B145">
        <v>2022</v>
      </c>
      <c r="C145" s="36">
        <v>0.32750000000000001</v>
      </c>
      <c r="D145" s="36">
        <v>0.11559999999999999</v>
      </c>
      <c r="E145" s="36">
        <f t="shared" si="20"/>
        <v>0.11559999999999999</v>
      </c>
    </row>
    <row r="146" spans="1:5" x14ac:dyDescent="0.3">
      <c r="A146" t="s">
        <v>51</v>
      </c>
      <c r="B146">
        <v>2023</v>
      </c>
      <c r="C146" s="36">
        <v>0.3281</v>
      </c>
      <c r="D146" s="36">
        <v>2.1999999999999999E-2</v>
      </c>
      <c r="E146" s="36">
        <f t="shared" si="20"/>
        <v>2.1999999999999999E-2</v>
      </c>
    </row>
    <row r="147" spans="1:5" x14ac:dyDescent="0.3">
      <c r="A147" t="s">
        <v>51</v>
      </c>
      <c r="B147">
        <v>2024</v>
      </c>
      <c r="C147" s="36">
        <v>0.35120000000000001</v>
      </c>
      <c r="D147" s="36">
        <v>-2.5999999999999999E-3</v>
      </c>
      <c r="E147" s="36">
        <f t="shared" si="20"/>
        <v>2.5999999999999999E-3</v>
      </c>
    </row>
    <row r="148" spans="1:5" x14ac:dyDescent="0.3">
      <c r="A148" t="s">
        <v>51</v>
      </c>
      <c r="B148">
        <v>2025</v>
      </c>
      <c r="C148" s="36">
        <v>0.36230000000000001</v>
      </c>
      <c r="D148" s="36">
        <v>-2.3400000000000001E-2</v>
      </c>
      <c r="E148" s="36">
        <f t="shared" si="20"/>
        <v>2.3400000000000001E-2</v>
      </c>
    </row>
    <row r="149" spans="1:5" x14ac:dyDescent="0.3">
      <c r="A149" t="s">
        <v>52</v>
      </c>
      <c r="B149">
        <v>2019</v>
      </c>
      <c r="C149" s="36">
        <v>1</v>
      </c>
    </row>
    <row r="150" spans="1:5" x14ac:dyDescent="0.3">
      <c r="A150" t="s">
        <v>52</v>
      </c>
      <c r="B150">
        <v>2020</v>
      </c>
      <c r="C150" s="36">
        <v>1</v>
      </c>
      <c r="D150" s="36">
        <v>0.30809999999999998</v>
      </c>
      <c r="E150" s="36">
        <f t="shared" ref="E150:E155" si="21">ABS(D150)</f>
        <v>0.30809999999999998</v>
      </c>
    </row>
    <row r="151" spans="1:5" x14ac:dyDescent="0.3">
      <c r="A151" t="s">
        <v>52</v>
      </c>
      <c r="B151">
        <v>2021</v>
      </c>
      <c r="C151" s="36">
        <v>1</v>
      </c>
      <c r="D151" s="36">
        <v>0.18340000000000001</v>
      </c>
      <c r="E151" s="36">
        <f t="shared" si="21"/>
        <v>0.18340000000000001</v>
      </c>
    </row>
    <row r="152" spans="1:5" x14ac:dyDescent="0.3">
      <c r="A152" t="s">
        <v>52</v>
      </c>
      <c r="B152">
        <v>2022</v>
      </c>
      <c r="C152" s="36">
        <v>1</v>
      </c>
      <c r="D152" s="36">
        <v>0.1018</v>
      </c>
      <c r="E152" s="36">
        <f t="shared" si="21"/>
        <v>0.1018</v>
      </c>
    </row>
    <row r="153" spans="1:5" x14ac:dyDescent="0.3">
      <c r="A153" t="s">
        <v>52</v>
      </c>
      <c r="B153">
        <v>2023</v>
      </c>
      <c r="C153" s="36">
        <v>1</v>
      </c>
      <c r="D153" s="36">
        <v>9.2999999999999999E-2</v>
      </c>
      <c r="E153" s="36">
        <f t="shared" si="21"/>
        <v>9.2999999999999999E-2</v>
      </c>
    </row>
    <row r="154" spans="1:5" x14ac:dyDescent="0.3">
      <c r="A154" t="s">
        <v>52</v>
      </c>
      <c r="B154">
        <v>2024</v>
      </c>
      <c r="C154" s="36">
        <v>1</v>
      </c>
      <c r="D154" s="36">
        <v>-3.0000000000000001E-3</v>
      </c>
      <c r="E154" s="36">
        <f t="shared" si="21"/>
        <v>3.0000000000000001E-3</v>
      </c>
    </row>
    <row r="155" spans="1:5" x14ac:dyDescent="0.3">
      <c r="A155" t="s">
        <v>52</v>
      </c>
      <c r="B155">
        <v>2025</v>
      </c>
      <c r="C155" s="36">
        <v>1</v>
      </c>
      <c r="D155" s="36">
        <v>1.32E-2</v>
      </c>
      <c r="E155" s="36">
        <f t="shared" si="21"/>
        <v>1.32E-2</v>
      </c>
    </row>
    <row r="156" spans="1:5" x14ac:dyDescent="0.3">
      <c r="A156" t="s">
        <v>53</v>
      </c>
      <c r="B156">
        <v>2019</v>
      </c>
      <c r="C156" s="36">
        <v>0.56059999999999999</v>
      </c>
    </row>
    <row r="157" spans="1:5" x14ac:dyDescent="0.3">
      <c r="A157" t="s">
        <v>53</v>
      </c>
      <c r="B157">
        <v>2020</v>
      </c>
      <c r="C157" s="36">
        <v>0.55130000000000001</v>
      </c>
      <c r="D157" s="36">
        <v>7.5999999999999998E-2</v>
      </c>
      <c r="E157" s="36">
        <f t="shared" ref="E157:E162" si="22">ABS(D157)</f>
        <v>7.5999999999999998E-2</v>
      </c>
    </row>
    <row r="158" spans="1:5" x14ac:dyDescent="0.3">
      <c r="A158" t="s">
        <v>53</v>
      </c>
      <c r="B158">
        <v>2021</v>
      </c>
      <c r="C158" s="36">
        <v>0.47120000000000001</v>
      </c>
      <c r="D158" s="36">
        <v>0.24979999999999999</v>
      </c>
      <c r="E158" s="36">
        <f t="shared" si="22"/>
        <v>0.24979999999999999</v>
      </c>
    </row>
    <row r="159" spans="1:5" x14ac:dyDescent="0.3">
      <c r="A159" t="s">
        <v>53</v>
      </c>
      <c r="B159">
        <v>2022</v>
      </c>
      <c r="C159" s="36">
        <v>0.44259999999999999</v>
      </c>
      <c r="D159" s="36">
        <v>0.18459999999999999</v>
      </c>
      <c r="E159" s="36">
        <f t="shared" si="22"/>
        <v>0.18459999999999999</v>
      </c>
    </row>
    <row r="160" spans="1:5" x14ac:dyDescent="0.3">
      <c r="A160" t="s">
        <v>53</v>
      </c>
      <c r="B160">
        <v>2023</v>
      </c>
      <c r="C160" s="36">
        <v>0.4073</v>
      </c>
      <c r="D160" s="36">
        <v>0.13159999999999999</v>
      </c>
      <c r="E160" s="36">
        <f t="shared" si="22"/>
        <v>0.13159999999999999</v>
      </c>
    </row>
    <row r="161" spans="1:5" x14ac:dyDescent="0.3">
      <c r="A161" t="s">
        <v>53</v>
      </c>
      <c r="B161">
        <v>2024</v>
      </c>
      <c r="C161" s="36">
        <v>0.39679999999999999</v>
      </c>
      <c r="D161" s="36">
        <v>-8.2400000000000001E-2</v>
      </c>
      <c r="E161" s="36">
        <f t="shared" si="22"/>
        <v>8.2400000000000001E-2</v>
      </c>
    </row>
    <row r="162" spans="1:5" x14ac:dyDescent="0.3">
      <c r="A162" t="s">
        <v>53</v>
      </c>
      <c r="B162">
        <v>2025</v>
      </c>
      <c r="C162" s="36">
        <v>0.4032</v>
      </c>
      <c r="D162" s="36">
        <v>0.10979999999999999</v>
      </c>
      <c r="E162" s="36">
        <f t="shared" si="22"/>
        <v>0.10979999999999999</v>
      </c>
    </row>
    <row r="163" spans="1:5" x14ac:dyDescent="0.3">
      <c r="A163" t="s">
        <v>54</v>
      </c>
      <c r="B163">
        <v>2019</v>
      </c>
      <c r="C163" s="36">
        <v>0.1938</v>
      </c>
    </row>
    <row r="164" spans="1:5" x14ac:dyDescent="0.3">
      <c r="A164" t="s">
        <v>54</v>
      </c>
      <c r="B164">
        <v>2020</v>
      </c>
      <c r="C164" s="36">
        <v>0.1678</v>
      </c>
      <c r="D164" s="36">
        <v>0.19420000000000001</v>
      </c>
      <c r="E164" s="36">
        <f t="shared" ref="E164:E169" si="23">ABS(D164)</f>
        <v>0.19420000000000001</v>
      </c>
    </row>
    <row r="165" spans="1:5" x14ac:dyDescent="0.3">
      <c r="A165" t="s">
        <v>54</v>
      </c>
      <c r="B165">
        <v>2021</v>
      </c>
      <c r="C165" s="36">
        <v>0.1426</v>
      </c>
      <c r="D165" s="36">
        <v>0.13769999999999999</v>
      </c>
      <c r="E165" s="36">
        <f t="shared" si="23"/>
        <v>0.13769999999999999</v>
      </c>
    </row>
    <row r="166" spans="1:5" x14ac:dyDescent="0.3">
      <c r="A166" t="s">
        <v>54</v>
      </c>
      <c r="B166">
        <v>2022</v>
      </c>
      <c r="C166" s="36">
        <v>0.13639999999999999</v>
      </c>
      <c r="D166" s="36">
        <v>0.08</v>
      </c>
      <c r="E166" s="36">
        <f t="shared" si="23"/>
        <v>0.08</v>
      </c>
    </row>
    <row r="167" spans="1:5" x14ac:dyDescent="0.3">
      <c r="A167" t="s">
        <v>54</v>
      </c>
      <c r="B167">
        <v>2023</v>
      </c>
      <c r="C167" s="36">
        <v>0.1236</v>
      </c>
      <c r="D167" s="36">
        <v>0.1147</v>
      </c>
      <c r="E167" s="36">
        <f t="shared" si="23"/>
        <v>0.1147</v>
      </c>
    </row>
    <row r="168" spans="1:5" x14ac:dyDescent="0.3">
      <c r="A168" t="s">
        <v>54</v>
      </c>
      <c r="B168">
        <v>2024</v>
      </c>
      <c r="C168" s="36">
        <v>0.1128</v>
      </c>
      <c r="D168" s="36">
        <v>-0.16750000000000001</v>
      </c>
      <c r="E168" s="36">
        <f t="shared" si="23"/>
        <v>0.16750000000000001</v>
      </c>
    </row>
    <row r="169" spans="1:5" x14ac:dyDescent="0.3">
      <c r="A169" t="s">
        <v>54</v>
      </c>
      <c r="B169">
        <v>2025</v>
      </c>
      <c r="C169" s="36">
        <v>0.13370000000000001</v>
      </c>
      <c r="D169" s="36">
        <v>0.17599999999999999</v>
      </c>
      <c r="E169" s="36">
        <f t="shared" si="23"/>
        <v>0.17599999999999999</v>
      </c>
    </row>
    <row r="170" spans="1:5" x14ac:dyDescent="0.3">
      <c r="A170" t="s">
        <v>55</v>
      </c>
      <c r="B170">
        <v>2019</v>
      </c>
      <c r="C170" s="36">
        <v>1</v>
      </c>
    </row>
    <row r="171" spans="1:5" x14ac:dyDescent="0.3">
      <c r="A171" t="s">
        <v>55</v>
      </c>
      <c r="B171">
        <v>2020</v>
      </c>
      <c r="C171" s="36">
        <v>1</v>
      </c>
      <c r="D171" s="36">
        <v>4.1000000000000003E-3</v>
      </c>
      <c r="E171" s="36">
        <f t="shared" ref="E171:E176" si="24">ABS(D171)</f>
        <v>4.1000000000000003E-3</v>
      </c>
    </row>
    <row r="172" spans="1:5" x14ac:dyDescent="0.3">
      <c r="A172" t="s">
        <v>55</v>
      </c>
      <c r="B172">
        <v>2021</v>
      </c>
      <c r="C172" s="36">
        <v>1</v>
      </c>
      <c r="D172" s="36">
        <v>3.0099999999999998E-2</v>
      </c>
      <c r="E172" s="36">
        <f t="shared" si="24"/>
        <v>3.0099999999999998E-2</v>
      </c>
    </row>
    <row r="173" spans="1:5" x14ac:dyDescent="0.3">
      <c r="A173" t="s">
        <v>55</v>
      </c>
      <c r="B173">
        <v>2022</v>
      </c>
      <c r="C173" s="36">
        <v>1</v>
      </c>
      <c r="D173" s="36">
        <v>0.1968</v>
      </c>
      <c r="E173" s="36">
        <f t="shared" si="24"/>
        <v>0.1968</v>
      </c>
    </row>
    <row r="174" spans="1:5" x14ac:dyDescent="0.3">
      <c r="A174" t="s">
        <v>55</v>
      </c>
      <c r="B174">
        <v>2023</v>
      </c>
      <c r="C174" s="36">
        <v>1</v>
      </c>
      <c r="D174" s="36">
        <v>0.1981</v>
      </c>
      <c r="E174" s="36">
        <f t="shared" si="24"/>
        <v>0.1981</v>
      </c>
    </row>
    <row r="175" spans="1:5" x14ac:dyDescent="0.3">
      <c r="A175" t="s">
        <v>55</v>
      </c>
      <c r="B175">
        <v>2024</v>
      </c>
      <c r="C175" s="36">
        <v>1</v>
      </c>
      <c r="D175" s="36">
        <v>-5.7500000000000002E-2</v>
      </c>
      <c r="E175" s="36">
        <f t="shared" si="24"/>
        <v>5.7500000000000002E-2</v>
      </c>
    </row>
    <row r="176" spans="1:5" x14ac:dyDescent="0.3">
      <c r="A176" t="s">
        <v>55</v>
      </c>
      <c r="B176">
        <v>2025</v>
      </c>
      <c r="C176" s="36">
        <v>1</v>
      </c>
      <c r="D176" s="36">
        <v>0.13750000000000001</v>
      </c>
      <c r="E176" s="36">
        <f t="shared" si="24"/>
        <v>0.13750000000000001</v>
      </c>
    </row>
    <row r="177" spans="1:5" x14ac:dyDescent="0.3">
      <c r="A177" t="s">
        <v>56</v>
      </c>
      <c r="B177">
        <v>2019</v>
      </c>
      <c r="C177" s="36">
        <v>0.1772</v>
      </c>
    </row>
    <row r="178" spans="1:5" x14ac:dyDescent="0.3">
      <c r="A178" t="s">
        <v>56</v>
      </c>
      <c r="B178">
        <v>2020</v>
      </c>
      <c r="C178" s="36">
        <v>0.17660000000000001</v>
      </c>
      <c r="D178" s="36">
        <v>-4.9700000000000001E-2</v>
      </c>
      <c r="E178" s="36">
        <f t="shared" ref="E178:E183" si="25">ABS(D178)</f>
        <v>4.9700000000000001E-2</v>
      </c>
    </row>
    <row r="179" spans="1:5" x14ac:dyDescent="0.3">
      <c r="A179" t="s">
        <v>56</v>
      </c>
      <c r="B179">
        <v>2021</v>
      </c>
      <c r="C179" s="36">
        <v>0.2104</v>
      </c>
      <c r="D179" s="36">
        <v>0.128</v>
      </c>
      <c r="E179" s="36">
        <f t="shared" si="25"/>
        <v>0.128</v>
      </c>
    </row>
    <row r="180" spans="1:5" x14ac:dyDescent="0.3">
      <c r="A180" t="s">
        <v>56</v>
      </c>
      <c r="B180">
        <v>2022</v>
      </c>
      <c r="C180" s="36">
        <v>0.28160000000000002</v>
      </c>
      <c r="D180" s="36">
        <v>0.15579999999999999</v>
      </c>
      <c r="E180" s="36">
        <f t="shared" si="25"/>
        <v>0.15579999999999999</v>
      </c>
    </row>
    <row r="181" spans="1:5" x14ac:dyDescent="0.3">
      <c r="A181" t="s">
        <v>56</v>
      </c>
      <c r="B181">
        <v>2023</v>
      </c>
      <c r="C181" s="36">
        <v>0.27400000000000002</v>
      </c>
      <c r="D181" s="36">
        <v>3.9199999999999999E-2</v>
      </c>
      <c r="E181" s="36">
        <f t="shared" si="25"/>
        <v>3.9199999999999999E-2</v>
      </c>
    </row>
    <row r="182" spans="1:5" x14ac:dyDescent="0.3">
      <c r="A182" t="s">
        <v>56</v>
      </c>
      <c r="B182">
        <v>2024</v>
      </c>
      <c r="C182" s="36">
        <v>0.158</v>
      </c>
      <c r="D182" s="36">
        <v>-9.5000000000000001E-2</v>
      </c>
      <c r="E182" s="36">
        <f t="shared" si="25"/>
        <v>9.5000000000000001E-2</v>
      </c>
    </row>
    <row r="183" spans="1:5" x14ac:dyDescent="0.3">
      <c r="A183" t="s">
        <v>56</v>
      </c>
      <c r="B183">
        <v>2025</v>
      </c>
      <c r="C183" s="36">
        <v>0.14410000000000001</v>
      </c>
      <c r="D183" s="36">
        <v>4.4400000000000002E-2</v>
      </c>
      <c r="E183" s="36">
        <f t="shared" si="25"/>
        <v>4.4400000000000002E-2</v>
      </c>
    </row>
    <row r="184" spans="1:5" x14ac:dyDescent="0.3">
      <c r="A184" t="s">
        <v>57</v>
      </c>
      <c r="B184">
        <v>2019</v>
      </c>
      <c r="C184" s="36">
        <v>1</v>
      </c>
    </row>
    <row r="185" spans="1:5" x14ac:dyDescent="0.3">
      <c r="A185" t="s">
        <v>57</v>
      </c>
      <c r="B185">
        <v>2020</v>
      </c>
      <c r="C185" s="36">
        <v>1</v>
      </c>
      <c r="D185" s="36">
        <v>0.1021</v>
      </c>
      <c r="E185" s="36">
        <f t="shared" ref="E185:E190" si="26">ABS(D185)</f>
        <v>0.1021</v>
      </c>
    </row>
    <row r="186" spans="1:5" x14ac:dyDescent="0.3">
      <c r="A186" t="s">
        <v>57</v>
      </c>
      <c r="B186">
        <v>2021</v>
      </c>
      <c r="C186" s="36">
        <v>1</v>
      </c>
      <c r="D186" s="36">
        <v>0.1464</v>
      </c>
      <c r="E186" s="36">
        <f t="shared" si="26"/>
        <v>0.1464</v>
      </c>
    </row>
    <row r="187" spans="1:5" x14ac:dyDescent="0.3">
      <c r="A187" t="s">
        <v>57</v>
      </c>
      <c r="B187">
        <v>2022</v>
      </c>
      <c r="C187" s="36">
        <v>1</v>
      </c>
      <c r="D187" s="36">
        <v>0.18559999999999999</v>
      </c>
      <c r="E187" s="36">
        <f t="shared" si="26"/>
        <v>0.18559999999999999</v>
      </c>
    </row>
    <row r="188" spans="1:5" x14ac:dyDescent="0.3">
      <c r="A188" t="s">
        <v>57</v>
      </c>
      <c r="B188">
        <v>2023</v>
      </c>
      <c r="C188" s="36">
        <v>1</v>
      </c>
      <c r="D188" s="36">
        <v>3.5099999999999999E-2</v>
      </c>
      <c r="E188" s="36">
        <f t="shared" si="26"/>
        <v>3.5099999999999999E-2</v>
      </c>
    </row>
    <row r="189" spans="1:5" x14ac:dyDescent="0.3">
      <c r="A189" t="s">
        <v>57</v>
      </c>
      <c r="B189">
        <v>2024</v>
      </c>
      <c r="C189" s="36">
        <v>1</v>
      </c>
      <c r="D189" s="36">
        <v>-0.1192</v>
      </c>
      <c r="E189" s="36">
        <f t="shared" si="26"/>
        <v>0.1192</v>
      </c>
    </row>
    <row r="190" spans="1:5" x14ac:dyDescent="0.3">
      <c r="A190" t="s">
        <v>57</v>
      </c>
      <c r="B190">
        <v>2025</v>
      </c>
      <c r="C190" s="36">
        <v>1</v>
      </c>
      <c r="D190" s="36">
        <v>-6.7500000000000004E-2</v>
      </c>
      <c r="E190" s="36">
        <f t="shared" si="26"/>
        <v>6.7500000000000004E-2</v>
      </c>
    </row>
    <row r="191" spans="1:5" x14ac:dyDescent="0.3">
      <c r="A191" t="s">
        <v>58</v>
      </c>
      <c r="B191">
        <v>2019</v>
      </c>
      <c r="C191" s="36">
        <v>0.99990000000000001</v>
      </c>
    </row>
    <row r="192" spans="1:5" x14ac:dyDescent="0.3">
      <c r="A192" t="s">
        <v>58</v>
      </c>
      <c r="B192">
        <v>2020</v>
      </c>
      <c r="C192" s="36">
        <v>1</v>
      </c>
      <c r="D192" s="36">
        <v>-1.84E-2</v>
      </c>
      <c r="E192" s="36">
        <f t="shared" ref="E192:E197" si="27">ABS(D192)</f>
        <v>1.84E-2</v>
      </c>
    </row>
    <row r="193" spans="1:5" x14ac:dyDescent="0.3">
      <c r="A193" t="s">
        <v>58</v>
      </c>
      <c r="B193">
        <v>2021</v>
      </c>
      <c r="C193" s="36">
        <v>0.70230000000000004</v>
      </c>
      <c r="D193" s="36">
        <v>0.13300000000000001</v>
      </c>
      <c r="E193" s="36">
        <f t="shared" si="27"/>
        <v>0.13300000000000001</v>
      </c>
    </row>
    <row r="194" spans="1:5" x14ac:dyDescent="0.3">
      <c r="A194" t="s">
        <v>58</v>
      </c>
      <c r="B194">
        <v>2022</v>
      </c>
      <c r="C194" s="36">
        <v>0.36830000000000002</v>
      </c>
      <c r="D194" s="36">
        <v>5.3900000000000003E-2</v>
      </c>
      <c r="E194" s="36">
        <f t="shared" si="27"/>
        <v>5.3900000000000003E-2</v>
      </c>
    </row>
    <row r="195" spans="1:5" x14ac:dyDescent="0.3">
      <c r="A195" t="s">
        <v>58</v>
      </c>
      <c r="B195">
        <v>2023</v>
      </c>
      <c r="C195" s="36">
        <v>0.32129999999999997</v>
      </c>
      <c r="D195" s="36">
        <v>0.15970000000000001</v>
      </c>
      <c r="E195" s="36">
        <f t="shared" si="27"/>
        <v>0.15970000000000001</v>
      </c>
    </row>
    <row r="196" spans="1:5" x14ac:dyDescent="0.3">
      <c r="A196" t="s">
        <v>58</v>
      </c>
      <c r="B196">
        <v>2024</v>
      </c>
      <c r="C196" s="36">
        <v>0.17599999999999999</v>
      </c>
      <c r="D196" s="36">
        <v>0.2535</v>
      </c>
      <c r="E196" s="36">
        <f t="shared" si="27"/>
        <v>0.2535</v>
      </c>
    </row>
    <row r="197" spans="1:5" x14ac:dyDescent="0.3">
      <c r="A197" t="s">
        <v>58</v>
      </c>
      <c r="B197">
        <v>2025</v>
      </c>
      <c r="C197" s="36">
        <v>5.8900000000000001E-2</v>
      </c>
      <c r="D197" s="36">
        <v>0.31690000000000002</v>
      </c>
      <c r="E197" s="36">
        <f t="shared" si="27"/>
        <v>0.31690000000000002</v>
      </c>
    </row>
    <row r="198" spans="1:5" x14ac:dyDescent="0.3">
      <c r="A198" t="s">
        <v>59</v>
      </c>
      <c r="B198">
        <v>2019</v>
      </c>
      <c r="C198" s="36">
        <v>0.51080000000000003</v>
      </c>
    </row>
    <row r="199" spans="1:5" x14ac:dyDescent="0.3">
      <c r="A199" t="s">
        <v>59</v>
      </c>
      <c r="B199">
        <v>2020</v>
      </c>
      <c r="C199" s="36">
        <v>0.92490000000000006</v>
      </c>
      <c r="D199" s="36">
        <v>0.17130000000000001</v>
      </c>
      <c r="E199" s="36">
        <f t="shared" ref="E199:E204" si="28">ABS(D199)</f>
        <v>0.17130000000000001</v>
      </c>
    </row>
    <row r="200" spans="1:5" x14ac:dyDescent="0.3">
      <c r="A200" t="s">
        <v>59</v>
      </c>
      <c r="B200">
        <v>2021</v>
      </c>
      <c r="C200" s="36">
        <v>0.93830000000000002</v>
      </c>
      <c r="D200" s="36">
        <v>0.23949999999999999</v>
      </c>
      <c r="E200" s="36">
        <f t="shared" si="28"/>
        <v>0.23949999999999999</v>
      </c>
    </row>
    <row r="201" spans="1:5" x14ac:dyDescent="0.3">
      <c r="A201" t="s">
        <v>59</v>
      </c>
      <c r="B201">
        <v>2022</v>
      </c>
      <c r="C201" s="36">
        <v>0.94699999999999995</v>
      </c>
      <c r="D201" s="36">
        <v>7.3899999999999993E-2</v>
      </c>
      <c r="E201" s="36">
        <f t="shared" si="28"/>
        <v>7.3899999999999993E-2</v>
      </c>
    </row>
    <row r="202" spans="1:5" x14ac:dyDescent="0.3">
      <c r="A202" t="s">
        <v>59</v>
      </c>
      <c r="B202">
        <v>2023</v>
      </c>
      <c r="C202" s="36">
        <v>0.93579999999999997</v>
      </c>
      <c r="D202" s="36">
        <v>0.10390000000000001</v>
      </c>
      <c r="E202" s="36">
        <f t="shared" si="28"/>
        <v>0.10390000000000001</v>
      </c>
    </row>
    <row r="203" spans="1:5" x14ac:dyDescent="0.3">
      <c r="A203" t="s">
        <v>59</v>
      </c>
      <c r="B203">
        <v>2024</v>
      </c>
      <c r="C203" s="36">
        <v>0.94320000000000004</v>
      </c>
      <c r="D203" s="36">
        <v>-0.1389</v>
      </c>
      <c r="E203" s="36">
        <f t="shared" si="28"/>
        <v>0.1389</v>
      </c>
    </row>
    <row r="204" spans="1:5" x14ac:dyDescent="0.3">
      <c r="A204" t="s">
        <v>59</v>
      </c>
      <c r="B204">
        <v>2025</v>
      </c>
      <c r="C204" s="36">
        <v>0.94450000000000001</v>
      </c>
      <c r="D204" s="36">
        <v>8.8800000000000004E-2</v>
      </c>
      <c r="E204" s="36">
        <f t="shared" si="28"/>
        <v>8.8800000000000004E-2</v>
      </c>
    </row>
    <row r="205" spans="1:5" x14ac:dyDescent="0.3">
      <c r="A205" t="s">
        <v>60</v>
      </c>
      <c r="B205">
        <v>2019</v>
      </c>
      <c r="C205" s="36">
        <v>5.9999999999999995E-4</v>
      </c>
    </row>
    <row r="206" spans="1:5" x14ac:dyDescent="0.3">
      <c r="A206" t="s">
        <v>60</v>
      </c>
      <c r="B206">
        <v>2020</v>
      </c>
      <c r="C206" s="36">
        <v>2.9999999999999997E-4</v>
      </c>
      <c r="D206" s="36">
        <v>0.15140000000000001</v>
      </c>
      <c r="E206" s="36">
        <f t="shared" ref="E206:E211" si="29">ABS(D206)</f>
        <v>0.15140000000000001</v>
      </c>
    </row>
    <row r="207" spans="1:5" x14ac:dyDescent="0.3">
      <c r="A207" t="s">
        <v>60</v>
      </c>
      <c r="B207">
        <v>2021</v>
      </c>
      <c r="C207" s="36">
        <v>1E-4</v>
      </c>
      <c r="D207" s="36">
        <v>0.63870000000000005</v>
      </c>
      <c r="E207" s="36">
        <f t="shared" si="29"/>
        <v>0.63870000000000005</v>
      </c>
    </row>
    <row r="208" spans="1:5" x14ac:dyDescent="0.3">
      <c r="A208" t="s">
        <v>60</v>
      </c>
      <c r="B208">
        <v>2022</v>
      </c>
      <c r="C208" s="36">
        <v>0</v>
      </c>
      <c r="D208" s="36">
        <v>0.245</v>
      </c>
      <c r="E208" s="36">
        <f t="shared" si="29"/>
        <v>0.245</v>
      </c>
    </row>
    <row r="209" spans="1:5" x14ac:dyDescent="0.3">
      <c r="A209" t="s">
        <v>60</v>
      </c>
      <c r="B209">
        <v>2023</v>
      </c>
      <c r="C209" s="36">
        <v>0</v>
      </c>
      <c r="D209" s="36">
        <v>0.114</v>
      </c>
      <c r="E209" s="36">
        <f t="shared" si="29"/>
        <v>0.114</v>
      </c>
    </row>
    <row r="210" spans="1:5" x14ac:dyDescent="0.3">
      <c r="A210" t="s">
        <v>60</v>
      </c>
      <c r="B210">
        <v>2024</v>
      </c>
      <c r="C210" s="36">
        <v>0</v>
      </c>
      <c r="D210" s="36">
        <v>-7.3800000000000004E-2</v>
      </c>
      <c r="E210" s="36">
        <f t="shared" si="29"/>
        <v>7.3800000000000004E-2</v>
      </c>
    </row>
    <row r="211" spans="1:5" x14ac:dyDescent="0.3">
      <c r="A211" t="s">
        <v>60</v>
      </c>
      <c r="B211">
        <v>2025</v>
      </c>
      <c r="C211" s="36">
        <v>0</v>
      </c>
      <c r="D211" s="36">
        <v>4.9500000000000002E-2</v>
      </c>
      <c r="E211" s="36">
        <f t="shared" si="29"/>
        <v>4.9500000000000002E-2</v>
      </c>
    </row>
    <row r="212" spans="1:5" x14ac:dyDescent="0.3">
      <c r="A212" t="s">
        <v>61</v>
      </c>
      <c r="B212">
        <v>2019</v>
      </c>
      <c r="C212" s="36">
        <v>6.7100000000000007E-2</v>
      </c>
    </row>
    <row r="213" spans="1:5" x14ac:dyDescent="0.3">
      <c r="A213" t="s">
        <v>61</v>
      </c>
      <c r="B213">
        <v>2020</v>
      </c>
      <c r="C213" s="36">
        <v>6.4000000000000003E-3</v>
      </c>
      <c r="D213" s="36">
        <v>-4.0000000000000002E-4</v>
      </c>
      <c r="E213" s="36">
        <f t="shared" ref="E213:E218" si="30">ABS(D213)</f>
        <v>4.0000000000000002E-4</v>
      </c>
    </row>
    <row r="214" spans="1:5" x14ac:dyDescent="0.3">
      <c r="A214" t="s">
        <v>61</v>
      </c>
      <c r="B214">
        <v>2021</v>
      </c>
      <c r="C214" s="36">
        <v>5.8999999999999999E-3</v>
      </c>
      <c r="D214" s="36">
        <v>6.4299999999999996E-2</v>
      </c>
      <c r="E214" s="36">
        <f t="shared" si="30"/>
        <v>6.4299999999999996E-2</v>
      </c>
    </row>
    <row r="215" spans="1:5" x14ac:dyDescent="0.3">
      <c r="A215" t="s">
        <v>61</v>
      </c>
      <c r="B215">
        <v>2022</v>
      </c>
      <c r="C215" s="36">
        <v>1.1900000000000001E-2</v>
      </c>
      <c r="D215" s="36">
        <v>0.13089999999999999</v>
      </c>
      <c r="E215" s="36">
        <f t="shared" si="30"/>
        <v>0.13089999999999999</v>
      </c>
    </row>
    <row r="216" spans="1:5" x14ac:dyDescent="0.3">
      <c r="A216" t="s">
        <v>61</v>
      </c>
      <c r="B216">
        <v>2023</v>
      </c>
      <c r="C216" s="36">
        <v>1.4E-2</v>
      </c>
      <c r="D216" s="36">
        <v>-6.25E-2</v>
      </c>
      <c r="E216" s="36">
        <f t="shared" si="30"/>
        <v>6.25E-2</v>
      </c>
    </row>
    <row r="217" spans="1:5" x14ac:dyDescent="0.3">
      <c r="A217" t="s">
        <v>61</v>
      </c>
      <c r="B217">
        <v>2024</v>
      </c>
      <c r="C217" s="36">
        <v>1.09E-2</v>
      </c>
      <c r="D217" s="36">
        <v>-7.9699999999999993E-2</v>
      </c>
      <c r="E217" s="36">
        <f t="shared" si="30"/>
        <v>7.9699999999999993E-2</v>
      </c>
    </row>
    <row r="218" spans="1:5" x14ac:dyDescent="0.3">
      <c r="A218" t="s">
        <v>61</v>
      </c>
      <c r="B218">
        <v>2025</v>
      </c>
      <c r="C218" s="36">
        <v>6.9999999999999999E-4</v>
      </c>
      <c r="D218" s="36">
        <v>0.13</v>
      </c>
      <c r="E218" s="36">
        <f t="shared" si="30"/>
        <v>0.13</v>
      </c>
    </row>
    <row r="219" spans="1:5" x14ac:dyDescent="0.3">
      <c r="A219" t="s">
        <v>62</v>
      </c>
      <c r="B219">
        <v>2019</v>
      </c>
      <c r="C219" s="36">
        <v>1.8200000000000001E-2</v>
      </c>
    </row>
    <row r="220" spans="1:5" x14ac:dyDescent="0.3">
      <c r="A220" t="s">
        <v>62</v>
      </c>
      <c r="B220">
        <v>2020</v>
      </c>
      <c r="C220" s="36">
        <v>1.3299999999999999E-2</v>
      </c>
      <c r="D220" s="36">
        <v>2.53E-2</v>
      </c>
      <c r="E220" s="36">
        <f t="shared" ref="E220:E225" si="31">ABS(D220)</f>
        <v>2.53E-2</v>
      </c>
    </row>
    <row r="221" spans="1:5" x14ac:dyDescent="0.3">
      <c r="A221" t="s">
        <v>62</v>
      </c>
      <c r="B221">
        <v>2021</v>
      </c>
      <c r="C221" s="36">
        <v>8.0000000000000002E-3</v>
      </c>
      <c r="D221" s="36">
        <v>0.13420000000000001</v>
      </c>
      <c r="E221" s="36">
        <f t="shared" si="31"/>
        <v>0.13420000000000001</v>
      </c>
    </row>
    <row r="222" spans="1:5" x14ac:dyDescent="0.3">
      <c r="A222" t="s">
        <v>62</v>
      </c>
      <c r="B222">
        <v>2022</v>
      </c>
      <c r="C222" s="36">
        <v>5.1000000000000004E-3</v>
      </c>
      <c r="D222" s="36">
        <v>0.1452</v>
      </c>
      <c r="E222" s="36">
        <f t="shared" si="31"/>
        <v>0.1452</v>
      </c>
    </row>
    <row r="223" spans="1:5" x14ac:dyDescent="0.3">
      <c r="A223" t="s">
        <v>62</v>
      </c>
      <c r="B223">
        <v>2023</v>
      </c>
      <c r="C223" s="36">
        <v>4.1999999999999997E-3</v>
      </c>
      <c r="D223" s="36">
        <v>9.5100000000000004E-2</v>
      </c>
      <c r="E223" s="36">
        <f t="shared" si="31"/>
        <v>9.5100000000000004E-2</v>
      </c>
    </row>
    <row r="224" spans="1:5" x14ac:dyDescent="0.3">
      <c r="A224" t="s">
        <v>62</v>
      </c>
      <c r="B224">
        <v>2024</v>
      </c>
      <c r="C224" s="36">
        <v>8.8999999999999999E-3</v>
      </c>
      <c r="D224" s="36">
        <v>-5.4899999999999997E-2</v>
      </c>
      <c r="E224" s="36">
        <f t="shared" si="31"/>
        <v>5.4899999999999997E-2</v>
      </c>
    </row>
    <row r="225" spans="1:5" x14ac:dyDescent="0.3">
      <c r="A225" t="s">
        <v>62</v>
      </c>
      <c r="B225">
        <v>2025</v>
      </c>
      <c r="C225" s="36">
        <v>6.8999999999999999E-3</v>
      </c>
      <c r="D225" s="36">
        <v>-2.6800000000000001E-2</v>
      </c>
      <c r="E225" s="36">
        <f t="shared" si="31"/>
        <v>2.6800000000000001E-2</v>
      </c>
    </row>
    <row r="226" spans="1:5" x14ac:dyDescent="0.3">
      <c r="A226" t="s">
        <v>63</v>
      </c>
      <c r="B226">
        <v>2019</v>
      </c>
      <c r="C226" s="36">
        <v>7.3300000000000004E-2</v>
      </c>
    </row>
    <row r="227" spans="1:5" x14ac:dyDescent="0.3">
      <c r="A227" t="s">
        <v>63</v>
      </c>
      <c r="B227">
        <v>2020</v>
      </c>
      <c r="C227" s="36">
        <v>7.0300000000000001E-2</v>
      </c>
      <c r="D227" s="36">
        <v>2.0999999999999999E-3</v>
      </c>
      <c r="E227" s="36">
        <f t="shared" ref="E227:E232" si="32">ABS(D227)</f>
        <v>2.0999999999999999E-3</v>
      </c>
    </row>
    <row r="228" spans="1:5" x14ac:dyDescent="0.3">
      <c r="A228" t="s">
        <v>63</v>
      </c>
      <c r="B228">
        <v>2021</v>
      </c>
      <c r="C228" s="36">
        <v>0.17130000000000001</v>
      </c>
      <c r="D228" s="36">
        <v>0.1086</v>
      </c>
      <c r="E228" s="36">
        <f t="shared" si="32"/>
        <v>0.1086</v>
      </c>
    </row>
    <row r="229" spans="1:5" x14ac:dyDescent="0.3">
      <c r="A229" t="s">
        <v>63</v>
      </c>
      <c r="B229">
        <v>2022</v>
      </c>
      <c r="C229" s="36">
        <v>0.19159999999999999</v>
      </c>
      <c r="D229" s="36">
        <v>0.219</v>
      </c>
      <c r="E229" s="36">
        <f t="shared" si="32"/>
        <v>0.219</v>
      </c>
    </row>
    <row r="230" spans="1:5" x14ac:dyDescent="0.3">
      <c r="A230" t="s">
        <v>63</v>
      </c>
      <c r="B230">
        <v>2023</v>
      </c>
      <c r="C230" s="36">
        <v>0.18890000000000001</v>
      </c>
      <c r="D230" s="36">
        <v>8.8800000000000004E-2</v>
      </c>
      <c r="E230" s="36">
        <f t="shared" si="32"/>
        <v>8.8800000000000004E-2</v>
      </c>
    </row>
    <row r="231" spans="1:5" x14ac:dyDescent="0.3">
      <c r="A231" t="s">
        <v>63</v>
      </c>
      <c r="B231">
        <v>2024</v>
      </c>
      <c r="C231" s="36">
        <v>0.1724</v>
      </c>
      <c r="D231" s="36">
        <v>6.7799999999999999E-2</v>
      </c>
      <c r="E231" s="36">
        <f t="shared" si="32"/>
        <v>6.7799999999999999E-2</v>
      </c>
    </row>
    <row r="232" spans="1:5" x14ac:dyDescent="0.3">
      <c r="A232" t="s">
        <v>63</v>
      </c>
      <c r="B232">
        <v>2025</v>
      </c>
      <c r="C232" s="36">
        <v>0.15579999999999999</v>
      </c>
      <c r="D232" s="36">
        <v>8.3400000000000002E-2</v>
      </c>
      <c r="E232" s="36">
        <f t="shared" si="32"/>
        <v>8.3400000000000002E-2</v>
      </c>
    </row>
    <row r="233" spans="1:5" x14ac:dyDescent="0.3">
      <c r="A233" t="s">
        <v>64</v>
      </c>
      <c r="B233">
        <v>2019</v>
      </c>
      <c r="C233" s="36">
        <v>0.49740000000000001</v>
      </c>
    </row>
    <row r="234" spans="1:5" x14ac:dyDescent="0.3">
      <c r="A234" t="s">
        <v>64</v>
      </c>
      <c r="B234">
        <v>2020</v>
      </c>
      <c r="C234" s="36">
        <v>0.56420000000000003</v>
      </c>
      <c r="D234" s="36">
        <v>3.2099999999999997E-2</v>
      </c>
      <c r="E234" s="36">
        <f t="shared" ref="E234:E239" si="33">ABS(D234)</f>
        <v>3.2099999999999997E-2</v>
      </c>
    </row>
    <row r="235" spans="1:5" x14ac:dyDescent="0.3">
      <c r="A235" t="s">
        <v>64</v>
      </c>
      <c r="B235">
        <v>2021</v>
      </c>
      <c r="C235" s="36">
        <v>0.49940000000000001</v>
      </c>
      <c r="D235" s="36">
        <v>0.27260000000000001</v>
      </c>
      <c r="E235" s="36">
        <f t="shared" si="33"/>
        <v>0.27260000000000001</v>
      </c>
    </row>
    <row r="236" spans="1:5" x14ac:dyDescent="0.3">
      <c r="A236" t="s">
        <v>64</v>
      </c>
      <c r="B236">
        <v>2022</v>
      </c>
      <c r="C236" s="36">
        <v>0.40860000000000002</v>
      </c>
      <c r="D236" s="36">
        <v>0.191</v>
      </c>
      <c r="E236" s="36">
        <f t="shared" si="33"/>
        <v>0.191</v>
      </c>
    </row>
    <row r="237" spans="1:5" x14ac:dyDescent="0.3">
      <c r="A237" t="s">
        <v>64</v>
      </c>
      <c r="B237">
        <v>2023</v>
      </c>
      <c r="C237" s="36">
        <v>0.49430000000000002</v>
      </c>
      <c r="D237" s="36">
        <v>-8.2699999999999996E-2</v>
      </c>
      <c r="E237" s="36">
        <f t="shared" si="33"/>
        <v>8.2699999999999996E-2</v>
      </c>
    </row>
    <row r="238" spans="1:5" x14ac:dyDescent="0.3">
      <c r="A238" t="s">
        <v>64</v>
      </c>
      <c r="B238">
        <v>2024</v>
      </c>
      <c r="C238" s="36">
        <v>0.4461</v>
      </c>
      <c r="D238" s="36">
        <v>0.1031</v>
      </c>
      <c r="E238" s="36">
        <f t="shared" si="33"/>
        <v>0.1031</v>
      </c>
    </row>
    <row r="239" spans="1:5" x14ac:dyDescent="0.3">
      <c r="A239" t="s">
        <v>64</v>
      </c>
      <c r="B239">
        <v>2025</v>
      </c>
      <c r="C239" s="36">
        <v>0.41639999999999999</v>
      </c>
      <c r="D239" s="36">
        <v>0.21729999999999999</v>
      </c>
      <c r="E239" s="36">
        <f t="shared" si="33"/>
        <v>0.21729999999999999</v>
      </c>
    </row>
    <row r="240" spans="1:5" x14ac:dyDescent="0.3">
      <c r="A240" t="s">
        <v>65</v>
      </c>
      <c r="B240">
        <v>2019</v>
      </c>
      <c r="C240" s="36">
        <v>0.1138</v>
      </c>
    </row>
    <row r="241" spans="1:5" x14ac:dyDescent="0.3">
      <c r="A241" t="s">
        <v>65</v>
      </c>
      <c r="B241">
        <v>2020</v>
      </c>
      <c r="C241" s="36">
        <v>0.12509999999999999</v>
      </c>
      <c r="D241" s="36">
        <v>-0.1105</v>
      </c>
      <c r="E241" s="36">
        <f t="shared" ref="E241:E246" si="34">ABS(D241)</f>
        <v>0.1105</v>
      </c>
    </row>
    <row r="242" spans="1:5" x14ac:dyDescent="0.3">
      <c r="A242" t="s">
        <v>65</v>
      </c>
      <c r="B242">
        <v>2021</v>
      </c>
      <c r="C242" s="36">
        <v>0.1145</v>
      </c>
      <c r="D242" s="36">
        <v>0.1026</v>
      </c>
      <c r="E242" s="36">
        <f t="shared" si="34"/>
        <v>0.1026</v>
      </c>
    </row>
    <row r="243" spans="1:5" x14ac:dyDescent="0.3">
      <c r="A243" t="s">
        <v>65</v>
      </c>
      <c r="B243">
        <v>2022</v>
      </c>
      <c r="C243" s="36">
        <v>0.1115</v>
      </c>
      <c r="D243" s="36">
        <v>8.9099999999999999E-2</v>
      </c>
      <c r="E243" s="36">
        <f t="shared" si="34"/>
        <v>8.9099999999999999E-2</v>
      </c>
    </row>
    <row r="244" spans="1:5" x14ac:dyDescent="0.3">
      <c r="A244" t="s">
        <v>65</v>
      </c>
      <c r="B244">
        <v>2023</v>
      </c>
      <c r="C244" s="36">
        <v>0.73150000000000004</v>
      </c>
      <c r="D244" s="36">
        <v>0.31900000000000001</v>
      </c>
      <c r="E244" s="36">
        <f t="shared" si="34"/>
        <v>0.31900000000000001</v>
      </c>
    </row>
    <row r="245" spans="1:5" x14ac:dyDescent="0.3">
      <c r="A245" t="s">
        <v>65</v>
      </c>
      <c r="B245">
        <v>2024</v>
      </c>
      <c r="C245" s="36">
        <v>0.91610000000000003</v>
      </c>
      <c r="D245" s="36">
        <v>0.1066</v>
      </c>
      <c r="E245" s="36">
        <f t="shared" si="34"/>
        <v>0.1066</v>
      </c>
    </row>
    <row r="246" spans="1:5" x14ac:dyDescent="0.3">
      <c r="A246" t="s">
        <v>65</v>
      </c>
      <c r="B246">
        <v>2025</v>
      </c>
      <c r="C246" s="36">
        <v>0.92400000000000004</v>
      </c>
      <c r="D246" s="36">
        <v>0.1462</v>
      </c>
      <c r="E246" s="36">
        <f t="shared" si="34"/>
        <v>0.1462</v>
      </c>
    </row>
    <row r="247" spans="1:5" x14ac:dyDescent="0.3">
      <c r="A247" t="s">
        <v>66</v>
      </c>
      <c r="B247">
        <v>2019</v>
      </c>
      <c r="C247" s="36">
        <v>9.01E-2</v>
      </c>
    </row>
    <row r="248" spans="1:5" x14ac:dyDescent="0.3">
      <c r="A248" t="s">
        <v>66</v>
      </c>
      <c r="B248">
        <v>2020</v>
      </c>
      <c r="C248" s="36">
        <v>8.1100000000000005E-2</v>
      </c>
      <c r="D248" s="36">
        <v>7.3099999999999998E-2</v>
      </c>
      <c r="E248" s="36">
        <f t="shared" ref="E248:E253" si="35">ABS(D248)</f>
        <v>7.3099999999999998E-2</v>
      </c>
    </row>
    <row r="249" spans="1:5" x14ac:dyDescent="0.3">
      <c r="A249" t="s">
        <v>66</v>
      </c>
      <c r="B249">
        <v>2021</v>
      </c>
      <c r="C249" s="36">
        <v>7.2499999999999995E-2</v>
      </c>
      <c r="D249" s="36">
        <v>0.1081</v>
      </c>
      <c r="E249" s="36">
        <f t="shared" si="35"/>
        <v>0.1081</v>
      </c>
    </row>
    <row r="250" spans="1:5" x14ac:dyDescent="0.3">
      <c r="A250" t="s">
        <v>66</v>
      </c>
      <c r="B250">
        <v>2022</v>
      </c>
      <c r="C250" s="36">
        <v>8.0500000000000002E-2</v>
      </c>
      <c r="D250" s="36">
        <v>9.7199999999999995E-2</v>
      </c>
      <c r="E250" s="36">
        <f t="shared" si="35"/>
        <v>9.7199999999999995E-2</v>
      </c>
    </row>
    <row r="251" spans="1:5" x14ac:dyDescent="0.3">
      <c r="A251" t="s">
        <v>66</v>
      </c>
      <c r="B251">
        <v>2023</v>
      </c>
      <c r="C251" s="36">
        <v>6.4600000000000005E-2</v>
      </c>
      <c r="D251" s="36">
        <v>7.17E-2</v>
      </c>
      <c r="E251" s="36">
        <f t="shared" si="35"/>
        <v>7.17E-2</v>
      </c>
    </row>
    <row r="252" spans="1:5" x14ac:dyDescent="0.3">
      <c r="A252" t="s">
        <v>66</v>
      </c>
      <c r="B252">
        <v>2024</v>
      </c>
      <c r="C252" s="36">
        <v>7.9200000000000007E-2</v>
      </c>
      <c r="D252" s="36">
        <v>-8.7900000000000006E-2</v>
      </c>
      <c r="E252" s="36">
        <f t="shared" si="35"/>
        <v>8.7900000000000006E-2</v>
      </c>
    </row>
    <row r="253" spans="1:5" x14ac:dyDescent="0.3">
      <c r="A253" t="s">
        <v>66</v>
      </c>
      <c r="B253">
        <v>2025</v>
      </c>
      <c r="C253" s="36">
        <v>7.3700000000000002E-2</v>
      </c>
      <c r="D253" s="36">
        <v>0.1132</v>
      </c>
      <c r="E253" s="36">
        <f t="shared" si="35"/>
        <v>0.1132</v>
      </c>
    </row>
    <row r="254" spans="1:5" x14ac:dyDescent="0.3">
      <c r="A254" t="s">
        <v>67</v>
      </c>
      <c r="B254">
        <v>2019</v>
      </c>
      <c r="C254" s="36">
        <v>1</v>
      </c>
    </row>
    <row r="255" spans="1:5" x14ac:dyDescent="0.3">
      <c r="A255" t="s">
        <v>67</v>
      </c>
      <c r="B255">
        <v>2020</v>
      </c>
      <c r="C255" s="36">
        <v>1</v>
      </c>
      <c r="D255" s="36">
        <v>1.4200000000000001E-2</v>
      </c>
      <c r="E255" s="36">
        <f t="shared" ref="E255:E260" si="36">ABS(D255)</f>
        <v>1.4200000000000001E-2</v>
      </c>
    </row>
    <row r="256" spans="1:5" x14ac:dyDescent="0.3">
      <c r="A256" t="s">
        <v>67</v>
      </c>
      <c r="B256">
        <v>2021</v>
      </c>
      <c r="C256" s="36">
        <v>1</v>
      </c>
      <c r="D256" s="36">
        <v>0.16289999999999999</v>
      </c>
      <c r="E256" s="36">
        <f t="shared" si="36"/>
        <v>0.16289999999999999</v>
      </c>
    </row>
    <row r="257" spans="1:5" x14ac:dyDescent="0.3">
      <c r="A257" t="s">
        <v>67</v>
      </c>
      <c r="B257">
        <v>2022</v>
      </c>
      <c r="C257" s="36">
        <v>1</v>
      </c>
      <c r="D257" s="36">
        <v>0.39950000000000002</v>
      </c>
      <c r="E257" s="36">
        <f t="shared" si="36"/>
        <v>0.39950000000000002</v>
      </c>
    </row>
    <row r="258" spans="1:5" x14ac:dyDescent="0.3">
      <c r="A258" t="s">
        <v>67</v>
      </c>
      <c r="B258">
        <v>2023</v>
      </c>
      <c r="C258" s="36">
        <v>1</v>
      </c>
      <c r="D258" s="36">
        <v>0.19900000000000001</v>
      </c>
      <c r="E258" s="36">
        <f t="shared" si="36"/>
        <v>0.19900000000000001</v>
      </c>
    </row>
    <row r="259" spans="1:5" x14ac:dyDescent="0.3">
      <c r="A259" t="s">
        <v>67</v>
      </c>
      <c r="B259">
        <v>2024</v>
      </c>
      <c r="C259" s="36">
        <v>0.57479999999999998</v>
      </c>
      <c r="D259" s="36">
        <v>4.0000000000000001E-3</v>
      </c>
      <c r="E259" s="36">
        <f t="shared" si="36"/>
        <v>4.0000000000000001E-3</v>
      </c>
    </row>
    <row r="260" spans="1:5" x14ac:dyDescent="0.3">
      <c r="A260" t="s">
        <v>67</v>
      </c>
      <c r="B260">
        <v>2025</v>
      </c>
      <c r="C260" s="36">
        <v>0.45150000000000001</v>
      </c>
      <c r="D260" s="36">
        <v>-3.7999999999999999E-2</v>
      </c>
      <c r="E260" s="36">
        <f t="shared" si="36"/>
        <v>3.7999999999999999E-2</v>
      </c>
    </row>
    <row r="261" spans="1:5" x14ac:dyDescent="0.3">
      <c r="A261" t="s">
        <v>68</v>
      </c>
      <c r="B261">
        <v>2019</v>
      </c>
      <c r="C261" s="36">
        <v>0.1381</v>
      </c>
    </row>
    <row r="262" spans="1:5" x14ac:dyDescent="0.3">
      <c r="A262" t="s">
        <v>68</v>
      </c>
      <c r="B262">
        <v>2020</v>
      </c>
      <c r="C262" s="36">
        <v>0.13589999999999999</v>
      </c>
      <c r="D262" s="36">
        <v>9.2299999999999993E-2</v>
      </c>
      <c r="E262" s="36">
        <f t="shared" ref="E262:E267" si="37">ABS(D262)</f>
        <v>9.2299999999999993E-2</v>
      </c>
    </row>
    <row r="263" spans="1:5" x14ac:dyDescent="0.3">
      <c r="A263" t="s">
        <v>68</v>
      </c>
      <c r="B263">
        <v>2021</v>
      </c>
      <c r="C263" s="36">
        <v>0.15329999999999999</v>
      </c>
      <c r="D263" s="36">
        <v>1.1900000000000001E-2</v>
      </c>
      <c r="E263" s="36">
        <f t="shared" si="37"/>
        <v>1.1900000000000001E-2</v>
      </c>
    </row>
    <row r="264" spans="1:5" x14ac:dyDescent="0.3">
      <c r="A264" t="s">
        <v>68</v>
      </c>
      <c r="B264">
        <v>2022</v>
      </c>
      <c r="C264" s="36">
        <v>0.16309999999999999</v>
      </c>
      <c r="D264" s="36">
        <v>-0.1019</v>
      </c>
      <c r="E264" s="36">
        <f t="shared" si="37"/>
        <v>0.1019</v>
      </c>
    </row>
    <row r="265" spans="1:5" x14ac:dyDescent="0.3">
      <c r="A265" t="s">
        <v>68</v>
      </c>
      <c r="B265">
        <v>2023</v>
      </c>
      <c r="C265" s="36">
        <v>0.1419</v>
      </c>
      <c r="D265" s="36">
        <v>4.3299999999999998E-2</v>
      </c>
      <c r="E265" s="36">
        <f t="shared" si="37"/>
        <v>4.3299999999999998E-2</v>
      </c>
    </row>
    <row r="266" spans="1:5" x14ac:dyDescent="0.3">
      <c r="A266" t="s">
        <v>68</v>
      </c>
      <c r="B266">
        <v>2024</v>
      </c>
      <c r="C266" s="36">
        <v>0.1419</v>
      </c>
      <c r="D266" s="36">
        <v>5.3499999999999999E-2</v>
      </c>
      <c r="E266" s="36">
        <f t="shared" si="37"/>
        <v>5.3499999999999999E-2</v>
      </c>
    </row>
    <row r="267" spans="1:5" x14ac:dyDescent="0.3">
      <c r="A267" t="s">
        <v>68</v>
      </c>
      <c r="B267">
        <v>2025</v>
      </c>
      <c r="C267" s="36">
        <v>0.15859999999999999</v>
      </c>
      <c r="D267" s="36">
        <v>7.5200000000000003E-2</v>
      </c>
      <c r="E267" s="36">
        <f t="shared" si="37"/>
        <v>7.5200000000000003E-2</v>
      </c>
    </row>
    <row r="268" spans="1:5" x14ac:dyDescent="0.3">
      <c r="A268" t="s">
        <v>69</v>
      </c>
      <c r="B268">
        <v>2019</v>
      </c>
      <c r="C268" s="36">
        <v>2.52E-2</v>
      </c>
    </row>
    <row r="269" spans="1:5" x14ac:dyDescent="0.3">
      <c r="A269" t="s">
        <v>69</v>
      </c>
      <c r="B269">
        <v>2020</v>
      </c>
      <c r="C269" s="36">
        <v>1.1900000000000001E-2</v>
      </c>
      <c r="D269" s="36">
        <v>0.1071</v>
      </c>
      <c r="E269" s="36">
        <f t="shared" ref="E269:E274" si="38">ABS(D269)</f>
        <v>0.1071</v>
      </c>
    </row>
    <row r="270" spans="1:5" x14ac:dyDescent="0.3">
      <c r="A270" t="s">
        <v>69</v>
      </c>
      <c r="B270">
        <v>2021</v>
      </c>
      <c r="C270" s="36">
        <v>9.7000000000000003E-3</v>
      </c>
      <c r="D270" s="36">
        <v>0.14929999999999999</v>
      </c>
      <c r="E270" s="36">
        <f t="shared" si="38"/>
        <v>0.14929999999999999</v>
      </c>
    </row>
    <row r="271" spans="1:5" x14ac:dyDescent="0.3">
      <c r="A271" t="s">
        <v>69</v>
      </c>
      <c r="B271">
        <v>2022</v>
      </c>
      <c r="C271" s="36">
        <v>9.4000000000000004E-3</v>
      </c>
      <c r="D271" s="36">
        <v>0.1149</v>
      </c>
      <c r="E271" s="36">
        <f t="shared" si="38"/>
        <v>0.1149</v>
      </c>
    </row>
    <row r="272" spans="1:5" x14ac:dyDescent="0.3">
      <c r="A272" t="s">
        <v>69</v>
      </c>
      <c r="B272">
        <v>2023</v>
      </c>
      <c r="C272" s="36">
        <v>9.7999999999999997E-3</v>
      </c>
      <c r="D272" s="36">
        <v>6.7599999999999993E-2</v>
      </c>
      <c r="E272" s="36">
        <f t="shared" si="38"/>
        <v>6.7599999999999993E-2</v>
      </c>
    </row>
    <row r="273" spans="1:5" x14ac:dyDescent="0.3">
      <c r="A273" t="s">
        <v>69</v>
      </c>
      <c r="B273">
        <v>2024</v>
      </c>
      <c r="C273" s="36">
        <v>8.5000000000000006E-3</v>
      </c>
      <c r="D273" s="36">
        <v>-2.7099999999999999E-2</v>
      </c>
      <c r="E273" s="36">
        <f t="shared" si="38"/>
        <v>2.7099999999999999E-2</v>
      </c>
    </row>
    <row r="274" spans="1:5" x14ac:dyDescent="0.3">
      <c r="A274" t="s">
        <v>69</v>
      </c>
      <c r="B274">
        <v>2025</v>
      </c>
      <c r="C274" s="36">
        <v>8.2000000000000007E-3</v>
      </c>
      <c r="D274" s="36">
        <v>0.1021</v>
      </c>
      <c r="E274" s="36">
        <f t="shared" si="38"/>
        <v>0.1021</v>
      </c>
    </row>
    <row r="275" spans="1:5" x14ac:dyDescent="0.3">
      <c r="A275" t="s">
        <v>70</v>
      </c>
      <c r="B275">
        <v>2019</v>
      </c>
      <c r="C275" s="36">
        <v>3.4000000000000002E-2</v>
      </c>
    </row>
    <row r="276" spans="1:5" x14ac:dyDescent="0.3">
      <c r="A276" t="s">
        <v>70</v>
      </c>
      <c r="B276">
        <v>2020</v>
      </c>
      <c r="C276" s="36">
        <v>3.3000000000000002E-2</v>
      </c>
      <c r="D276" s="36">
        <v>6.0699999999999997E-2</v>
      </c>
      <c r="E276" s="36">
        <f t="shared" ref="E276:E281" si="39">ABS(D276)</f>
        <v>6.0699999999999997E-2</v>
      </c>
    </row>
    <row r="277" spans="1:5" x14ac:dyDescent="0.3">
      <c r="A277" t="s">
        <v>70</v>
      </c>
      <c r="B277">
        <v>2021</v>
      </c>
      <c r="C277" s="36">
        <v>2.9499999999999998E-2</v>
      </c>
      <c r="D277" s="36">
        <v>0.1062</v>
      </c>
      <c r="E277" s="36">
        <f t="shared" si="39"/>
        <v>0.1062</v>
      </c>
    </row>
    <row r="278" spans="1:5" x14ac:dyDescent="0.3">
      <c r="A278" t="s">
        <v>70</v>
      </c>
      <c r="B278">
        <v>2022</v>
      </c>
      <c r="C278" s="36">
        <v>2.01E-2</v>
      </c>
      <c r="D278" s="36">
        <v>0.2185</v>
      </c>
      <c r="E278" s="36">
        <f t="shared" si="39"/>
        <v>0.2185</v>
      </c>
    </row>
    <row r="279" spans="1:5" x14ac:dyDescent="0.3">
      <c r="A279" t="s">
        <v>70</v>
      </c>
      <c r="B279">
        <v>2023</v>
      </c>
      <c r="C279" s="36">
        <v>2.2700000000000001E-2</v>
      </c>
      <c r="D279" s="36">
        <v>-1.9199999999999998E-2</v>
      </c>
      <c r="E279" s="36">
        <f t="shared" si="39"/>
        <v>1.9199999999999998E-2</v>
      </c>
    </row>
    <row r="280" spans="1:5" x14ac:dyDescent="0.3">
      <c r="A280" t="s">
        <v>70</v>
      </c>
      <c r="B280">
        <v>2024</v>
      </c>
      <c r="C280" s="36">
        <v>2.69E-2</v>
      </c>
      <c r="D280" s="36">
        <v>-9.5399999999999999E-2</v>
      </c>
      <c r="E280" s="36">
        <f t="shared" si="39"/>
        <v>9.5399999999999999E-2</v>
      </c>
    </row>
    <row r="281" spans="1:5" x14ac:dyDescent="0.3">
      <c r="A281" t="s">
        <v>70</v>
      </c>
      <c r="B281">
        <v>2025</v>
      </c>
      <c r="C281" s="36">
        <v>2.75E-2</v>
      </c>
      <c r="D281" s="36">
        <v>1.72E-2</v>
      </c>
      <c r="E281" s="36">
        <f t="shared" si="39"/>
        <v>1.72E-2</v>
      </c>
    </row>
    <row r="282" spans="1:5" x14ac:dyDescent="0.3">
      <c r="A282" t="s">
        <v>71</v>
      </c>
      <c r="B282">
        <v>2019</v>
      </c>
      <c r="C282" s="36">
        <v>0.27929999999999999</v>
      </c>
    </row>
    <row r="283" spans="1:5" x14ac:dyDescent="0.3">
      <c r="A283" t="s">
        <v>71</v>
      </c>
      <c r="B283">
        <v>2020</v>
      </c>
      <c r="C283" s="36">
        <v>0.2351</v>
      </c>
      <c r="D283" s="36">
        <v>4.41E-2</v>
      </c>
      <c r="E283" s="36">
        <f t="shared" ref="E283:E288" si="40">ABS(D283)</f>
        <v>4.41E-2</v>
      </c>
    </row>
    <row r="284" spans="1:5" x14ac:dyDescent="0.3">
      <c r="A284" t="s">
        <v>71</v>
      </c>
      <c r="B284">
        <v>2021</v>
      </c>
      <c r="C284" s="36">
        <v>0.21</v>
      </c>
      <c r="D284" s="36">
        <v>7.22E-2</v>
      </c>
      <c r="E284" s="36">
        <f t="shared" si="40"/>
        <v>7.22E-2</v>
      </c>
    </row>
    <row r="285" spans="1:5" x14ac:dyDescent="0.3">
      <c r="A285" t="s">
        <v>71</v>
      </c>
      <c r="B285">
        <v>2022</v>
      </c>
      <c r="C285" s="36">
        <v>0.18959999999999999</v>
      </c>
      <c r="D285" s="36">
        <v>0.1371</v>
      </c>
      <c r="E285" s="36">
        <f t="shared" si="40"/>
        <v>0.1371</v>
      </c>
    </row>
    <row r="286" spans="1:5" x14ac:dyDescent="0.3">
      <c r="A286" t="s">
        <v>71</v>
      </c>
      <c r="B286">
        <v>2023</v>
      </c>
      <c r="C286" s="36">
        <v>0.1915</v>
      </c>
      <c r="D286" s="36">
        <v>-1.8100000000000002E-2</v>
      </c>
      <c r="E286" s="36">
        <f t="shared" si="40"/>
        <v>1.8100000000000002E-2</v>
      </c>
    </row>
    <row r="287" spans="1:5" x14ac:dyDescent="0.3">
      <c r="A287" t="s">
        <v>71</v>
      </c>
      <c r="B287">
        <v>2024</v>
      </c>
      <c r="C287" s="36">
        <v>0.19439999999999999</v>
      </c>
      <c r="D287" s="36">
        <v>-9.5799999999999996E-2</v>
      </c>
      <c r="E287" s="36">
        <f t="shared" si="40"/>
        <v>9.5799999999999996E-2</v>
      </c>
    </row>
    <row r="288" spans="1:5" x14ac:dyDescent="0.3">
      <c r="A288" t="s">
        <v>71</v>
      </c>
      <c r="B288">
        <v>2025</v>
      </c>
      <c r="C288" s="36">
        <v>0.188</v>
      </c>
      <c r="D288" s="36">
        <v>8.5699999999999998E-2</v>
      </c>
      <c r="E288" s="36">
        <f t="shared" si="40"/>
        <v>8.5699999999999998E-2</v>
      </c>
    </row>
    <row r="289" spans="1:5" x14ac:dyDescent="0.3">
      <c r="A289" t="s">
        <v>72</v>
      </c>
      <c r="B289">
        <v>2019</v>
      </c>
      <c r="C289" s="36">
        <v>1</v>
      </c>
    </row>
    <row r="290" spans="1:5" x14ac:dyDescent="0.3">
      <c r="A290" t="s">
        <v>72</v>
      </c>
      <c r="B290">
        <v>2020</v>
      </c>
      <c r="C290" s="36">
        <v>1</v>
      </c>
      <c r="D290" s="36">
        <v>0.15029999999999999</v>
      </c>
      <c r="E290" s="36">
        <f t="shared" ref="E290:E295" si="41">ABS(D290)</f>
        <v>0.15029999999999999</v>
      </c>
    </row>
    <row r="291" spans="1:5" x14ac:dyDescent="0.3">
      <c r="A291" t="s">
        <v>72</v>
      </c>
      <c r="B291">
        <v>2021</v>
      </c>
      <c r="C291" s="36">
        <v>1</v>
      </c>
      <c r="D291" s="36">
        <v>0.2306</v>
      </c>
      <c r="E291" s="36">
        <f t="shared" si="41"/>
        <v>0.2306</v>
      </c>
    </row>
    <row r="292" spans="1:5" x14ac:dyDescent="0.3">
      <c r="A292" t="s">
        <v>72</v>
      </c>
      <c r="B292">
        <v>2022</v>
      </c>
      <c r="C292" s="36">
        <v>1</v>
      </c>
      <c r="D292" s="36">
        <v>0.1145</v>
      </c>
      <c r="E292" s="36">
        <f t="shared" si="41"/>
        <v>0.1145</v>
      </c>
    </row>
    <row r="293" spans="1:5" x14ac:dyDescent="0.3">
      <c r="A293" t="s">
        <v>72</v>
      </c>
      <c r="B293">
        <v>2023</v>
      </c>
      <c r="C293" s="36">
        <v>1</v>
      </c>
      <c r="D293" s="36">
        <v>-9.1600000000000001E-2</v>
      </c>
      <c r="E293" s="36">
        <f t="shared" si="41"/>
        <v>9.1600000000000001E-2</v>
      </c>
    </row>
    <row r="294" spans="1:5" x14ac:dyDescent="0.3">
      <c r="A294" t="s">
        <v>72</v>
      </c>
      <c r="B294">
        <v>2024</v>
      </c>
      <c r="C294" s="36">
        <v>1</v>
      </c>
      <c r="D294" s="36">
        <v>0.74419999999999997</v>
      </c>
      <c r="E294" s="36">
        <f t="shared" si="41"/>
        <v>0.74419999999999997</v>
      </c>
    </row>
    <row r="295" spans="1:5" x14ac:dyDescent="0.3">
      <c r="A295" t="s">
        <v>72</v>
      </c>
      <c r="B295">
        <v>2025</v>
      </c>
      <c r="C295" s="36">
        <v>1</v>
      </c>
      <c r="D295" s="36">
        <v>6.83E-2</v>
      </c>
      <c r="E295" s="36">
        <f t="shared" si="41"/>
        <v>6.83E-2</v>
      </c>
    </row>
    <row r="296" spans="1:5" x14ac:dyDescent="0.3">
      <c r="A296" t="s">
        <v>73</v>
      </c>
      <c r="B296">
        <v>2019</v>
      </c>
      <c r="C296" s="36">
        <v>0.87160000000000004</v>
      </c>
    </row>
    <row r="297" spans="1:5" x14ac:dyDescent="0.3">
      <c r="A297" t="s">
        <v>73</v>
      </c>
      <c r="B297">
        <v>2020</v>
      </c>
      <c r="C297" s="36">
        <v>0.88729999999999998</v>
      </c>
      <c r="D297" s="36">
        <v>4.58E-2</v>
      </c>
      <c r="E297" s="36">
        <f t="shared" ref="E297:E302" si="42">ABS(D297)</f>
        <v>4.58E-2</v>
      </c>
    </row>
    <row r="298" spans="1:5" x14ac:dyDescent="0.3">
      <c r="A298" t="s">
        <v>73</v>
      </c>
      <c r="B298">
        <v>2021</v>
      </c>
      <c r="C298" s="36">
        <v>0.90900000000000003</v>
      </c>
      <c r="D298" s="36">
        <v>0.1123</v>
      </c>
      <c r="E298" s="36">
        <f t="shared" si="42"/>
        <v>0.1123</v>
      </c>
    </row>
    <row r="299" spans="1:5" x14ac:dyDescent="0.3">
      <c r="A299" t="s">
        <v>73</v>
      </c>
      <c r="B299">
        <v>2022</v>
      </c>
      <c r="C299" s="36">
        <v>0.90780000000000005</v>
      </c>
      <c r="D299" s="36">
        <v>0.1031</v>
      </c>
      <c r="E299" s="36">
        <f t="shared" si="42"/>
        <v>0.1031</v>
      </c>
    </row>
    <row r="300" spans="1:5" x14ac:dyDescent="0.3">
      <c r="A300" t="s">
        <v>73</v>
      </c>
      <c r="B300">
        <v>2023</v>
      </c>
      <c r="C300" s="36">
        <v>0.91200000000000003</v>
      </c>
      <c r="D300" s="36">
        <v>9.01E-2</v>
      </c>
      <c r="E300" s="36">
        <f t="shared" si="42"/>
        <v>9.01E-2</v>
      </c>
    </row>
    <row r="301" spans="1:5" x14ac:dyDescent="0.3">
      <c r="A301" t="s">
        <v>73</v>
      </c>
      <c r="B301">
        <v>2024</v>
      </c>
      <c r="C301" s="36">
        <v>0.90039999999999998</v>
      </c>
      <c r="D301" s="36">
        <v>-0.1179</v>
      </c>
      <c r="E301" s="36">
        <f t="shared" si="42"/>
        <v>0.1179</v>
      </c>
    </row>
    <row r="302" spans="1:5" x14ac:dyDescent="0.3">
      <c r="A302" t="s">
        <v>73</v>
      </c>
      <c r="B302">
        <v>2025</v>
      </c>
      <c r="C302" s="36">
        <v>0.89980000000000004</v>
      </c>
      <c r="D302" s="36">
        <v>6.2100000000000002E-2</v>
      </c>
      <c r="E302" s="36">
        <f t="shared" si="42"/>
        <v>6.2100000000000002E-2</v>
      </c>
    </row>
    <row r="303" spans="1:5" x14ac:dyDescent="0.3">
      <c r="A303" t="s">
        <v>74</v>
      </c>
      <c r="B303">
        <v>2019</v>
      </c>
      <c r="C303" s="36">
        <v>0.02</v>
      </c>
    </row>
    <row r="304" spans="1:5" x14ac:dyDescent="0.3">
      <c r="A304" t="s">
        <v>74</v>
      </c>
      <c r="B304">
        <v>2020</v>
      </c>
      <c r="C304" s="36">
        <v>2.06E-2</v>
      </c>
      <c r="D304" s="36">
        <v>-1.4999999999999999E-2</v>
      </c>
      <c r="E304" s="36">
        <f t="shared" ref="E304:E309" si="43">ABS(D304)</f>
        <v>1.4999999999999999E-2</v>
      </c>
    </row>
    <row r="305" spans="1:5" x14ac:dyDescent="0.3">
      <c r="A305" t="s">
        <v>74</v>
      </c>
      <c r="B305">
        <v>2021</v>
      </c>
      <c r="C305" s="36">
        <v>1.55E-2</v>
      </c>
      <c r="D305" s="36">
        <v>6.7400000000000002E-2</v>
      </c>
      <c r="E305" s="36">
        <f t="shared" si="43"/>
        <v>6.7400000000000002E-2</v>
      </c>
    </row>
    <row r="306" spans="1:5" x14ac:dyDescent="0.3">
      <c r="A306" t="s">
        <v>74</v>
      </c>
      <c r="B306">
        <v>2022</v>
      </c>
      <c r="C306" s="36">
        <v>1.0200000000000001E-2</v>
      </c>
      <c r="D306" s="36">
        <v>0.1399</v>
      </c>
      <c r="E306" s="36">
        <f t="shared" si="43"/>
        <v>0.1399</v>
      </c>
    </row>
    <row r="307" spans="1:5" x14ac:dyDescent="0.3">
      <c r="A307" t="s">
        <v>74</v>
      </c>
      <c r="B307">
        <v>2023</v>
      </c>
      <c r="C307" s="36">
        <v>8.6999999999999994E-3</v>
      </c>
      <c r="D307" s="36">
        <v>2.3E-2</v>
      </c>
      <c r="E307" s="36">
        <f t="shared" si="43"/>
        <v>2.3E-2</v>
      </c>
    </row>
    <row r="308" spans="1:5" x14ac:dyDescent="0.3">
      <c r="A308" t="s">
        <v>74</v>
      </c>
      <c r="B308">
        <v>2024</v>
      </c>
      <c r="C308" s="36">
        <v>8.5000000000000006E-3</v>
      </c>
      <c r="D308" s="36">
        <v>-0.1404</v>
      </c>
      <c r="E308" s="36">
        <f t="shared" si="43"/>
        <v>0.1404</v>
      </c>
    </row>
    <row r="309" spans="1:5" x14ac:dyDescent="0.3">
      <c r="A309" t="s">
        <v>74</v>
      </c>
      <c r="B309">
        <v>2025</v>
      </c>
      <c r="C309" s="36">
        <v>7.7999999999999996E-3</v>
      </c>
      <c r="D309" s="36">
        <v>4.0099999999999997E-2</v>
      </c>
      <c r="E309" s="36">
        <f t="shared" si="43"/>
        <v>4.0099999999999997E-2</v>
      </c>
    </row>
    <row r="310" spans="1:5" x14ac:dyDescent="0.3">
      <c r="A310" t="s">
        <v>75</v>
      </c>
      <c r="B310">
        <v>2019</v>
      </c>
      <c r="C310" s="36">
        <v>0.55779999999999996</v>
      </c>
    </row>
    <row r="311" spans="1:5" x14ac:dyDescent="0.3">
      <c r="A311" t="s">
        <v>75</v>
      </c>
      <c r="B311">
        <v>2020</v>
      </c>
      <c r="C311" s="36">
        <v>0.44590000000000002</v>
      </c>
      <c r="D311" s="36">
        <v>0.3392</v>
      </c>
      <c r="E311" s="36">
        <f t="shared" ref="E311:E316" si="44">ABS(D311)</f>
        <v>0.3392</v>
      </c>
    </row>
    <row r="312" spans="1:5" x14ac:dyDescent="0.3">
      <c r="A312" t="s">
        <v>75</v>
      </c>
      <c r="B312">
        <v>2021</v>
      </c>
      <c r="C312" s="36">
        <v>0.4103</v>
      </c>
      <c r="D312" s="36">
        <v>0.22770000000000001</v>
      </c>
      <c r="E312" s="36">
        <f t="shared" si="44"/>
        <v>0.22770000000000001</v>
      </c>
    </row>
    <row r="313" spans="1:5" x14ac:dyDescent="0.3">
      <c r="A313" t="s">
        <v>75</v>
      </c>
      <c r="B313">
        <v>2022</v>
      </c>
      <c r="C313" s="36">
        <v>0.42830000000000001</v>
      </c>
      <c r="D313" s="36">
        <v>0.15959999999999999</v>
      </c>
      <c r="E313" s="36">
        <f t="shared" si="44"/>
        <v>0.15959999999999999</v>
      </c>
    </row>
    <row r="314" spans="1:5" x14ac:dyDescent="0.3">
      <c r="A314" t="s">
        <v>75</v>
      </c>
      <c r="B314">
        <v>2023</v>
      </c>
      <c r="C314" s="36">
        <v>0.48609999999999998</v>
      </c>
      <c r="D314" s="36">
        <v>-0.1095</v>
      </c>
      <c r="E314" s="36">
        <f t="shared" si="44"/>
        <v>0.1095</v>
      </c>
    </row>
    <row r="315" spans="1:5" x14ac:dyDescent="0.3">
      <c r="A315" t="s">
        <v>75</v>
      </c>
      <c r="B315">
        <v>2024</v>
      </c>
      <c r="C315" s="36">
        <v>0.51180000000000003</v>
      </c>
      <c r="D315" s="36">
        <v>-6.6600000000000006E-2</v>
      </c>
      <c r="E315" s="36">
        <f t="shared" si="44"/>
        <v>6.6600000000000006E-2</v>
      </c>
    </row>
    <row r="316" spans="1:5" x14ac:dyDescent="0.3">
      <c r="A316" t="s">
        <v>75</v>
      </c>
      <c r="B316">
        <v>2025</v>
      </c>
      <c r="C316" s="36">
        <v>0.46350000000000002</v>
      </c>
      <c r="D316" s="36">
        <v>0.20749999999999999</v>
      </c>
      <c r="E316" s="36">
        <f t="shared" si="44"/>
        <v>0.20749999999999999</v>
      </c>
    </row>
    <row r="317" spans="1:5" x14ac:dyDescent="0.3">
      <c r="A317" t="s">
        <v>76</v>
      </c>
      <c r="B317">
        <v>2019</v>
      </c>
      <c r="C317" s="36">
        <v>1.06E-2</v>
      </c>
    </row>
    <row r="318" spans="1:5" x14ac:dyDescent="0.3">
      <c r="A318" t="s">
        <v>76</v>
      </c>
      <c r="B318">
        <v>2020</v>
      </c>
      <c r="C318" s="36">
        <v>6.1999999999999998E-3</v>
      </c>
      <c r="D318" s="36">
        <v>0.38719999999999999</v>
      </c>
      <c r="E318" s="36">
        <f t="shared" ref="E318:E323" si="45">ABS(D318)</f>
        <v>0.38719999999999999</v>
      </c>
    </row>
    <row r="319" spans="1:5" x14ac:dyDescent="0.3">
      <c r="A319" t="s">
        <v>76</v>
      </c>
      <c r="B319">
        <v>2021</v>
      </c>
      <c r="C319" s="36">
        <v>5.8999999999999999E-3</v>
      </c>
      <c r="D319" s="36">
        <v>9.7900000000000001E-2</v>
      </c>
      <c r="E319" s="36">
        <f t="shared" si="45"/>
        <v>9.7900000000000001E-2</v>
      </c>
    </row>
    <row r="320" spans="1:5" x14ac:dyDescent="0.3">
      <c r="A320" t="s">
        <v>76</v>
      </c>
      <c r="B320">
        <v>2022</v>
      </c>
      <c r="C320" s="36">
        <v>5.0000000000000001E-3</v>
      </c>
      <c r="D320" s="36">
        <v>0.17269999999999999</v>
      </c>
      <c r="E320" s="36">
        <f t="shared" si="45"/>
        <v>0.17269999999999999</v>
      </c>
    </row>
    <row r="321" spans="1:5" x14ac:dyDescent="0.3">
      <c r="A321" t="s">
        <v>76</v>
      </c>
      <c r="B321">
        <v>2023</v>
      </c>
      <c r="C321" s="36">
        <v>4.4999999999999997E-3</v>
      </c>
      <c r="D321" s="36">
        <v>-2.0000000000000001E-4</v>
      </c>
      <c r="E321" s="36">
        <f t="shared" si="45"/>
        <v>2.0000000000000001E-4</v>
      </c>
    </row>
    <row r="322" spans="1:5" x14ac:dyDescent="0.3">
      <c r="A322" t="s">
        <v>76</v>
      </c>
      <c r="B322">
        <v>2024</v>
      </c>
      <c r="C322" s="36">
        <v>7.3000000000000001E-3</v>
      </c>
      <c r="D322" s="36">
        <v>-0.41830000000000001</v>
      </c>
      <c r="E322" s="36">
        <f t="shared" si="45"/>
        <v>0.41830000000000001</v>
      </c>
    </row>
    <row r="323" spans="1:5" x14ac:dyDescent="0.3">
      <c r="A323" t="s">
        <v>76</v>
      </c>
      <c r="B323">
        <v>2025</v>
      </c>
      <c r="C323" s="36">
        <v>1.09E-2</v>
      </c>
      <c r="D323" s="36">
        <v>-0.31419999999999998</v>
      </c>
      <c r="E323" s="36">
        <f t="shared" si="45"/>
        <v>0.31419999999999998</v>
      </c>
    </row>
    <row r="324" spans="1:5" x14ac:dyDescent="0.3">
      <c r="A324" t="s">
        <v>77</v>
      </c>
      <c r="B324">
        <v>2019</v>
      </c>
      <c r="C324" s="36">
        <v>0.99939999999999996</v>
      </c>
    </row>
    <row r="325" spans="1:5" x14ac:dyDescent="0.3">
      <c r="A325" t="s">
        <v>77</v>
      </c>
      <c r="B325">
        <v>2020</v>
      </c>
      <c r="C325" s="36">
        <v>0.99919999999999998</v>
      </c>
      <c r="D325" s="36">
        <v>-2.81E-2</v>
      </c>
      <c r="E325" s="36">
        <f t="shared" ref="E325:E330" si="46">ABS(D325)</f>
        <v>2.81E-2</v>
      </c>
    </row>
    <row r="326" spans="1:5" x14ac:dyDescent="0.3">
      <c r="A326" t="s">
        <v>77</v>
      </c>
      <c r="B326">
        <v>2021</v>
      </c>
      <c r="C326" s="36">
        <v>0.99990000000000001</v>
      </c>
      <c r="D326" s="36">
        <v>0.21579999999999999</v>
      </c>
      <c r="E326" s="36">
        <f t="shared" si="46"/>
        <v>0.21579999999999999</v>
      </c>
    </row>
    <row r="327" spans="1:5" x14ac:dyDescent="0.3">
      <c r="A327" t="s">
        <v>77</v>
      </c>
      <c r="B327">
        <v>2022</v>
      </c>
      <c r="C327" s="36">
        <v>0.99970000000000003</v>
      </c>
      <c r="D327" s="36">
        <v>4.58E-2</v>
      </c>
      <c r="E327" s="36">
        <f t="shared" si="46"/>
        <v>4.58E-2</v>
      </c>
    </row>
    <row r="328" spans="1:5" x14ac:dyDescent="0.3">
      <c r="A328" t="s">
        <v>77</v>
      </c>
      <c r="B328">
        <v>2023</v>
      </c>
      <c r="C328" s="36">
        <v>0.99990000000000001</v>
      </c>
      <c r="D328" s="36">
        <v>4.2599999999999999E-2</v>
      </c>
      <c r="E328" s="36">
        <f t="shared" si="46"/>
        <v>4.2599999999999999E-2</v>
      </c>
    </row>
    <row r="329" spans="1:5" x14ac:dyDescent="0.3">
      <c r="A329" t="s">
        <v>77</v>
      </c>
      <c r="B329">
        <v>2024</v>
      </c>
      <c r="C329" s="36">
        <v>0.99970000000000003</v>
      </c>
      <c r="D329" s="36">
        <v>-0.12889999999999999</v>
      </c>
      <c r="E329" s="36">
        <f t="shared" si="46"/>
        <v>0.12889999999999999</v>
      </c>
    </row>
    <row r="330" spans="1:5" x14ac:dyDescent="0.3">
      <c r="A330" t="s">
        <v>77</v>
      </c>
      <c r="B330">
        <v>2025</v>
      </c>
      <c r="C330" s="36">
        <v>0.99990000000000001</v>
      </c>
      <c r="D330" s="36">
        <v>5.1999999999999998E-3</v>
      </c>
      <c r="E330" s="36">
        <f t="shared" si="46"/>
        <v>5.1999999999999998E-3</v>
      </c>
    </row>
    <row r="331" spans="1:5" x14ac:dyDescent="0.3">
      <c r="A331" t="s">
        <v>78</v>
      </c>
      <c r="B331">
        <v>2019</v>
      </c>
      <c r="C331" s="36">
        <v>0.1048</v>
      </c>
    </row>
    <row r="332" spans="1:5" x14ac:dyDescent="0.3">
      <c r="A332" t="s">
        <v>78</v>
      </c>
      <c r="B332">
        <v>2020</v>
      </c>
      <c r="C332" s="36">
        <v>7.8799999999999995E-2</v>
      </c>
      <c r="D332" s="36">
        <v>0.1023</v>
      </c>
      <c r="E332" s="36">
        <f t="shared" ref="E332:E337" si="47">ABS(D332)</f>
        <v>0.1023</v>
      </c>
    </row>
    <row r="333" spans="1:5" x14ac:dyDescent="0.3">
      <c r="A333" t="s">
        <v>78</v>
      </c>
      <c r="B333">
        <v>2021</v>
      </c>
      <c r="C333" s="36">
        <v>7.2300000000000003E-2</v>
      </c>
      <c r="D333" s="36">
        <v>0.1133</v>
      </c>
      <c r="E333" s="36">
        <f t="shared" si="47"/>
        <v>0.1133</v>
      </c>
    </row>
    <row r="334" spans="1:5" x14ac:dyDescent="0.3">
      <c r="A334" t="s">
        <v>78</v>
      </c>
      <c r="B334">
        <v>2022</v>
      </c>
      <c r="C334" s="36">
        <v>8.7099999999999997E-2</v>
      </c>
      <c r="D334" s="36">
        <v>0.10249999999999999</v>
      </c>
      <c r="E334" s="36">
        <f t="shared" si="47"/>
        <v>0.10249999999999999</v>
      </c>
    </row>
    <row r="335" spans="1:5" x14ac:dyDescent="0.3">
      <c r="A335" t="s">
        <v>78</v>
      </c>
      <c r="B335">
        <v>2023</v>
      </c>
      <c r="C335" s="36">
        <v>8.7400000000000005E-2</v>
      </c>
      <c r="D335" s="36">
        <v>4.1099999999999998E-2</v>
      </c>
      <c r="E335" s="36">
        <f t="shared" si="47"/>
        <v>4.1099999999999998E-2</v>
      </c>
    </row>
    <row r="336" spans="1:5" x14ac:dyDescent="0.3">
      <c r="A336" t="s">
        <v>78</v>
      </c>
      <c r="B336">
        <v>2024</v>
      </c>
      <c r="C336" s="36">
        <v>9.1899999999999996E-2</v>
      </c>
      <c r="D336" s="36">
        <v>9.9000000000000008E-3</v>
      </c>
      <c r="E336" s="36">
        <f t="shared" si="47"/>
        <v>9.9000000000000008E-3</v>
      </c>
    </row>
    <row r="337" spans="1:5" x14ac:dyDescent="0.3">
      <c r="A337" t="s">
        <v>78</v>
      </c>
      <c r="B337">
        <v>2025</v>
      </c>
      <c r="C337" s="36">
        <v>0.13450000000000001</v>
      </c>
      <c r="D337" s="36">
        <v>1.5299999999999999E-2</v>
      </c>
      <c r="E337" s="36">
        <f t="shared" si="47"/>
        <v>1.5299999999999999E-2</v>
      </c>
    </row>
    <row r="338" spans="1:5" x14ac:dyDescent="0.3">
      <c r="A338" t="s">
        <v>79</v>
      </c>
      <c r="B338">
        <v>2019</v>
      </c>
      <c r="C338" s="36">
        <v>0.99980000000000002</v>
      </c>
    </row>
    <row r="339" spans="1:5" x14ac:dyDescent="0.3">
      <c r="A339" t="s">
        <v>79</v>
      </c>
      <c r="B339">
        <v>2020</v>
      </c>
      <c r="C339" s="36">
        <v>1</v>
      </c>
      <c r="D339" s="36">
        <v>0.1191</v>
      </c>
      <c r="E339" s="36">
        <f t="shared" ref="E339:E344" si="48">ABS(D339)</f>
        <v>0.1191</v>
      </c>
    </row>
    <row r="340" spans="1:5" x14ac:dyDescent="0.3">
      <c r="A340" t="s">
        <v>79</v>
      </c>
      <c r="B340">
        <v>2021</v>
      </c>
      <c r="C340" s="36">
        <v>1</v>
      </c>
      <c r="D340" s="36">
        <v>0.19409999999999999</v>
      </c>
      <c r="E340" s="36">
        <f t="shared" si="48"/>
        <v>0.19409999999999999</v>
      </c>
    </row>
    <row r="341" spans="1:5" x14ac:dyDescent="0.3">
      <c r="A341" t="s">
        <v>79</v>
      </c>
      <c r="B341">
        <v>2022</v>
      </c>
      <c r="C341" s="36">
        <v>1</v>
      </c>
      <c r="D341" s="36">
        <v>0.1051</v>
      </c>
      <c r="E341" s="36">
        <f t="shared" si="48"/>
        <v>0.1051</v>
      </c>
    </row>
    <row r="342" spans="1:5" x14ac:dyDescent="0.3">
      <c r="A342" t="s">
        <v>79</v>
      </c>
      <c r="B342">
        <v>2023</v>
      </c>
      <c r="C342" s="36">
        <v>1</v>
      </c>
      <c r="D342" s="36">
        <v>5.6000000000000001E-2</v>
      </c>
      <c r="E342" s="36">
        <f t="shared" si="48"/>
        <v>5.6000000000000001E-2</v>
      </c>
    </row>
    <row r="343" spans="1:5" x14ac:dyDescent="0.3">
      <c r="A343" t="s">
        <v>79</v>
      </c>
      <c r="B343">
        <v>2024</v>
      </c>
      <c r="C343" s="36">
        <v>1</v>
      </c>
      <c r="D343" s="36">
        <v>-5.5100000000000003E-2</v>
      </c>
      <c r="E343" s="36">
        <f t="shared" si="48"/>
        <v>5.5100000000000003E-2</v>
      </c>
    </row>
    <row r="344" spans="1:5" x14ac:dyDescent="0.3">
      <c r="A344" t="s">
        <v>79</v>
      </c>
      <c r="B344">
        <v>2025</v>
      </c>
      <c r="C344" s="36">
        <v>1</v>
      </c>
      <c r="D344" s="36">
        <v>6.5199999999999994E-2</v>
      </c>
      <c r="E344" s="36">
        <f t="shared" si="48"/>
        <v>6.5199999999999994E-2</v>
      </c>
    </row>
    <row r="345" spans="1:5" x14ac:dyDescent="0.3">
      <c r="A345" t="s">
        <v>80</v>
      </c>
      <c r="B345">
        <v>2019</v>
      </c>
      <c r="C345" s="36">
        <v>0.95179999999999998</v>
      </c>
    </row>
    <row r="346" spans="1:5" x14ac:dyDescent="0.3">
      <c r="A346" t="s">
        <v>80</v>
      </c>
      <c r="B346">
        <v>2020</v>
      </c>
      <c r="C346" s="36">
        <v>0.96809999999999996</v>
      </c>
      <c r="D346" s="36">
        <v>4.1099999999999998E-2</v>
      </c>
      <c r="E346" s="36">
        <f t="shared" ref="E346:E351" si="49">ABS(D346)</f>
        <v>4.1099999999999998E-2</v>
      </c>
    </row>
    <row r="347" spans="1:5" x14ac:dyDescent="0.3">
      <c r="A347" t="s">
        <v>80</v>
      </c>
      <c r="B347">
        <v>2021</v>
      </c>
      <c r="C347" s="36">
        <v>0.96609999999999996</v>
      </c>
      <c r="D347" s="36">
        <v>0.1234</v>
      </c>
      <c r="E347" s="36">
        <f t="shared" si="49"/>
        <v>0.1234</v>
      </c>
    </row>
    <row r="348" spans="1:5" x14ac:dyDescent="0.3">
      <c r="A348" t="s">
        <v>80</v>
      </c>
      <c r="B348">
        <v>2022</v>
      </c>
      <c r="C348" s="36">
        <v>0.97750000000000004</v>
      </c>
      <c r="D348" s="36">
        <v>6.7400000000000002E-2</v>
      </c>
      <c r="E348" s="36">
        <f t="shared" si="49"/>
        <v>6.7400000000000002E-2</v>
      </c>
    </row>
    <row r="349" spans="1:5" x14ac:dyDescent="0.3">
      <c r="A349" t="s">
        <v>80</v>
      </c>
      <c r="B349">
        <v>2023</v>
      </c>
      <c r="C349" s="36">
        <v>0.98040000000000005</v>
      </c>
      <c r="D349" s="36">
        <v>9.2899999999999996E-2</v>
      </c>
      <c r="E349" s="36">
        <f t="shared" si="49"/>
        <v>9.2899999999999996E-2</v>
      </c>
    </row>
    <row r="350" spans="1:5" x14ac:dyDescent="0.3">
      <c r="A350" t="s">
        <v>80</v>
      </c>
      <c r="B350">
        <v>2024</v>
      </c>
      <c r="C350" s="36">
        <v>0.98029999999999995</v>
      </c>
      <c r="D350" s="36">
        <v>-9.4899999999999998E-2</v>
      </c>
      <c r="E350" s="36">
        <f t="shared" si="49"/>
        <v>9.4899999999999998E-2</v>
      </c>
    </row>
    <row r="351" spans="1:5" x14ac:dyDescent="0.3">
      <c r="A351" t="s">
        <v>80</v>
      </c>
      <c r="B351">
        <v>2025</v>
      </c>
      <c r="C351" s="36">
        <v>0.98470000000000002</v>
      </c>
      <c r="D351" s="36">
        <v>4.1000000000000003E-3</v>
      </c>
      <c r="E351" s="36">
        <f t="shared" si="49"/>
        <v>4.1000000000000003E-3</v>
      </c>
    </row>
    <row r="352" spans="1:5" x14ac:dyDescent="0.3">
      <c r="A352" t="s">
        <v>81</v>
      </c>
      <c r="B352">
        <v>2019</v>
      </c>
      <c r="C352" s="36">
        <v>1</v>
      </c>
    </row>
    <row r="353" spans="1:5" x14ac:dyDescent="0.3">
      <c r="A353" t="s">
        <v>81</v>
      </c>
      <c r="B353">
        <v>2020</v>
      </c>
      <c r="C353" s="36">
        <v>1</v>
      </c>
      <c r="D353" s="36">
        <v>5.2200000000000003E-2</v>
      </c>
      <c r="E353" s="36">
        <f t="shared" ref="E353:E358" si="50">ABS(D353)</f>
        <v>5.2200000000000003E-2</v>
      </c>
    </row>
    <row r="354" spans="1:5" x14ac:dyDescent="0.3">
      <c r="A354" t="s">
        <v>81</v>
      </c>
      <c r="B354">
        <v>2021</v>
      </c>
      <c r="C354" s="36">
        <v>1</v>
      </c>
      <c r="D354" s="36">
        <v>0.16239999999999999</v>
      </c>
      <c r="E354" s="36">
        <f t="shared" si="50"/>
        <v>0.16239999999999999</v>
      </c>
    </row>
    <row r="355" spans="1:5" x14ac:dyDescent="0.3">
      <c r="A355" t="s">
        <v>81</v>
      </c>
      <c r="B355">
        <v>2022</v>
      </c>
      <c r="C355" s="36">
        <v>1</v>
      </c>
      <c r="D355" s="36">
        <v>0.1507</v>
      </c>
      <c r="E355" s="36">
        <f t="shared" si="50"/>
        <v>0.1507</v>
      </c>
    </row>
    <row r="356" spans="1:5" x14ac:dyDescent="0.3">
      <c r="A356" t="s">
        <v>81</v>
      </c>
      <c r="B356">
        <v>2023</v>
      </c>
      <c r="C356" s="36">
        <v>1</v>
      </c>
      <c r="D356" s="36">
        <v>0.1021</v>
      </c>
      <c r="E356" s="36">
        <f t="shared" si="50"/>
        <v>0.1021</v>
      </c>
    </row>
    <row r="357" spans="1:5" x14ac:dyDescent="0.3">
      <c r="A357" t="s">
        <v>81</v>
      </c>
      <c r="B357">
        <v>2024</v>
      </c>
      <c r="C357" s="36">
        <v>1</v>
      </c>
      <c r="D357" s="36">
        <v>-0.1757</v>
      </c>
      <c r="E357" s="36">
        <f t="shared" si="50"/>
        <v>0.1757</v>
      </c>
    </row>
    <row r="358" spans="1:5" x14ac:dyDescent="0.3">
      <c r="A358" t="s">
        <v>81</v>
      </c>
      <c r="B358">
        <v>2025</v>
      </c>
      <c r="C358" s="36">
        <v>1</v>
      </c>
      <c r="D358" s="36">
        <v>2.9999999999999997E-4</v>
      </c>
      <c r="E358" s="36">
        <f t="shared" si="50"/>
        <v>2.9999999999999997E-4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4A3B8"/>
  </sheetPr>
  <dimension ref="A1:E19"/>
  <sheetViews>
    <sheetView showGridLines="0" workbookViewId="0"/>
  </sheetViews>
  <sheetFormatPr defaultRowHeight="14.4" x14ac:dyDescent="0.3"/>
  <cols>
    <col min="1" max="5" width="26.6640625" customWidth="1"/>
  </cols>
  <sheetData>
    <row r="1" spans="1:5" x14ac:dyDescent="0.3">
      <c r="A1" s="9" t="s">
        <v>0</v>
      </c>
      <c r="C1" s="9" t="s">
        <v>19</v>
      </c>
      <c r="E1" s="9" t="s">
        <v>20</v>
      </c>
    </row>
    <row r="2" spans="1:5" x14ac:dyDescent="0.3">
      <c r="A2" t="s">
        <v>1</v>
      </c>
      <c r="C2">
        <v>2019</v>
      </c>
      <c r="E2" t="s">
        <v>21</v>
      </c>
    </row>
    <row r="3" spans="1:5" x14ac:dyDescent="0.3">
      <c r="A3" t="s">
        <v>2</v>
      </c>
      <c r="C3">
        <v>2020</v>
      </c>
      <c r="E3" t="s">
        <v>22</v>
      </c>
    </row>
    <row r="4" spans="1:5" x14ac:dyDescent="0.3">
      <c r="A4" t="s">
        <v>3</v>
      </c>
      <c r="C4">
        <v>2021</v>
      </c>
      <c r="E4" t="s">
        <v>23</v>
      </c>
    </row>
    <row r="5" spans="1:5" x14ac:dyDescent="0.3">
      <c r="A5" t="s">
        <v>4</v>
      </c>
      <c r="C5">
        <v>2022</v>
      </c>
      <c r="E5" t="s">
        <v>24</v>
      </c>
    </row>
    <row r="6" spans="1:5" x14ac:dyDescent="0.3">
      <c r="A6" t="s">
        <v>5</v>
      </c>
      <c r="C6">
        <v>2023</v>
      </c>
    </row>
    <row r="7" spans="1:5" x14ac:dyDescent="0.3">
      <c r="A7" t="s">
        <v>6</v>
      </c>
      <c r="C7">
        <v>2024</v>
      </c>
    </row>
    <row r="8" spans="1:5" x14ac:dyDescent="0.3">
      <c r="A8" t="s">
        <v>7</v>
      </c>
      <c r="C8">
        <v>2025</v>
      </c>
    </row>
    <row r="9" spans="1:5" x14ac:dyDescent="0.3">
      <c r="A9" t="s">
        <v>8</v>
      </c>
    </row>
    <row r="10" spans="1:5" x14ac:dyDescent="0.3">
      <c r="A10" t="s">
        <v>9</v>
      </c>
    </row>
    <row r="11" spans="1:5" x14ac:dyDescent="0.3">
      <c r="A11" t="s">
        <v>10</v>
      </c>
    </row>
    <row r="12" spans="1:5" x14ac:dyDescent="0.3">
      <c r="A12" t="s">
        <v>11</v>
      </c>
    </row>
    <row r="13" spans="1:5" x14ac:dyDescent="0.3">
      <c r="A13" t="s">
        <v>12</v>
      </c>
    </row>
    <row r="14" spans="1:5" x14ac:dyDescent="0.3">
      <c r="A14" t="s">
        <v>13</v>
      </c>
    </row>
    <row r="15" spans="1:5" x14ac:dyDescent="0.3">
      <c r="A15" t="s">
        <v>14</v>
      </c>
    </row>
    <row r="16" spans="1:5" x14ac:dyDescent="0.3">
      <c r="A16" t="s">
        <v>15</v>
      </c>
    </row>
    <row r="17" spans="1:1" x14ac:dyDescent="0.3">
      <c r="A17" t="s">
        <v>16</v>
      </c>
    </row>
    <row r="18" spans="1:1" x14ac:dyDescent="0.3">
      <c r="A18" t="s">
        <v>17</v>
      </c>
    </row>
    <row r="19" spans="1:1" x14ac:dyDescent="0.3">
      <c r="A1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Read me</vt:lpstr>
      <vt:lpstr>Inputs</vt:lpstr>
      <vt:lpstr>Scorecard</vt:lpstr>
      <vt:lpstr>Summary</vt:lpstr>
      <vt:lpstr>Checks</vt:lpstr>
      <vt:lpstr>Data</vt:lpstr>
      <vt:lpstr>Enrollment</vt:lpstr>
      <vt:lpstr>National</vt:lpstr>
      <vt:lpstr>Flags</vt:lpstr>
      <vt:lpstr>Lists</vt:lpstr>
      <vt:lpstr>ffs_thr</vt:lpstr>
      <vt:lpstr>min_base</vt:lpstr>
      <vt:lpstr>neutralise</vt:lpstr>
      <vt:lpstr>sel_area</vt:lpstr>
      <vt:lpstr>sel_lookback</vt:lpstr>
      <vt:lpstr>sel_year</vt:lpstr>
      <vt:lpstr>swing_thr</vt:lpstr>
      <vt:lpstr>target_growth</vt:lpstr>
      <vt:lpstr>tier_a</vt:lpstr>
      <vt:lpstr>tier_b</vt:lpstr>
      <vt:lpstr>w_brand</vt:lpstr>
      <vt:lpstr>w_growth</vt:lpstr>
      <vt:lpstr>w_intensity</vt:lpstr>
      <vt:lpstr>w_size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Territory Targeting Model</dc:title>
  <dc:creator>Mohammad Uzair Khan</dc:creator>
  <dc:description>Built from public Medicaid State Drug Utilization Data (CMS).</dc:description>
  <cp:lastModifiedBy>Mohammad Uzair Khan</cp:lastModifiedBy>
  <dcterms:created xsi:type="dcterms:W3CDTF">2026-10-15T06:30:38Z</dcterms:created>
  <dcterms:modified xsi:type="dcterms:W3CDTF">2026-10-15T06:30:39Z</dcterms:modified>
</cp:coreProperties>
</file>